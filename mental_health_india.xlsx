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Analyst Projects\"/>
    </mc:Choice>
  </mc:AlternateContent>
  <bookViews>
    <workbookView xWindow="0" yWindow="0" windowWidth="20490" windowHeight="7755"/>
  </bookViews>
  <sheets>
    <sheet name="mental_health_india (Autosaved)" sheetId="1" r:id="rId1"/>
    <sheet name="rmpce_reference" sheetId="5" r:id="rId2"/>
    <sheet name="Pivot_analysis" sheetId="8" r:id="rId3"/>
  </sheets>
  <calcPr calcId="152511"/>
  <pivotCaches>
    <pivotCache cacheId="0" r:id="rId4"/>
  </pivotCaches>
</workbook>
</file>

<file path=xl/calcChain.xml><?xml version="1.0" encoding="utf-8"?>
<calcChain xmlns="http://schemas.openxmlformats.org/spreadsheetml/2006/main">
  <c r="Q2" i="1" l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R2" i="1" l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Z2" i="1" l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X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F3" i="5" l="1"/>
  <c r="F2" i="5"/>
  <c r="AA1233" i="1" s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2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2" i="1"/>
  <c r="AA48" i="1" l="1"/>
  <c r="AA108" i="1"/>
  <c r="AA204" i="1"/>
  <c r="AA328" i="1"/>
  <c r="AA508" i="1"/>
  <c r="AA772" i="1"/>
  <c r="AA41" i="1"/>
  <c r="AA169" i="1"/>
  <c r="AA273" i="1"/>
  <c r="AA417" i="1"/>
  <c r="AA509" i="1"/>
  <c r="AA669" i="1"/>
  <c r="AA817" i="1"/>
  <c r="AA925" i="1"/>
  <c r="AA50" i="1"/>
  <c r="AA118" i="1"/>
  <c r="AA214" i="1"/>
  <c r="AA338" i="1"/>
  <c r="AA498" i="1"/>
  <c r="AA674" i="1"/>
  <c r="AA802" i="1"/>
  <c r="AA1010" i="1"/>
  <c r="AA103" i="1"/>
  <c r="AA323" i="1"/>
  <c r="AA615" i="1"/>
  <c r="AA1230" i="1"/>
  <c r="AA1259" i="1"/>
  <c r="AA616" i="1"/>
  <c r="AA904" i="1"/>
  <c r="AA156" i="1"/>
  <c r="AA236" i="1"/>
  <c r="AA356" i="1"/>
  <c r="AA676" i="1"/>
  <c r="AA828" i="1"/>
  <c r="AA57" i="1"/>
  <c r="AA181" i="1"/>
  <c r="AA369" i="1"/>
  <c r="AA449" i="1"/>
  <c r="AA541" i="1"/>
  <c r="AA733" i="1"/>
  <c r="AA861" i="1"/>
  <c r="AA1009" i="1"/>
  <c r="AA54" i="1"/>
  <c r="AA146" i="1"/>
  <c r="AA242" i="1"/>
  <c r="AA386" i="1"/>
  <c r="AA502" i="1"/>
  <c r="AA722" i="1"/>
  <c r="AA886" i="1"/>
  <c r="AA1090" i="1"/>
  <c r="AA147" i="1"/>
  <c r="AA363" i="1"/>
  <c r="AA723" i="1"/>
  <c r="AA1111" i="1"/>
  <c r="AA664" i="1"/>
  <c r="AA1104" i="1"/>
  <c r="AA6" i="1"/>
  <c r="AA72" i="1"/>
  <c r="AA168" i="1"/>
  <c r="AA252" i="1"/>
  <c r="AA388" i="1"/>
  <c r="AA700" i="1"/>
  <c r="AA932" i="1"/>
  <c r="AA101" i="1"/>
  <c r="AA209" i="1"/>
  <c r="AA381" i="1"/>
  <c r="AA465" i="1"/>
  <c r="AA577" i="1"/>
  <c r="AA753" i="1"/>
  <c r="AA881" i="1"/>
  <c r="AA1073" i="1"/>
  <c r="AA86" i="1"/>
  <c r="AA166" i="1"/>
  <c r="AA278" i="1"/>
  <c r="AA406" i="1"/>
  <c r="AA514" i="1"/>
  <c r="AA726" i="1"/>
  <c r="AA918" i="1"/>
  <c r="AA19" i="1"/>
  <c r="AA195" i="1"/>
  <c r="AA423" i="1"/>
  <c r="AA835" i="1"/>
  <c r="AA1151" i="1"/>
  <c r="AA1096" i="1"/>
  <c r="AA29" i="1"/>
  <c r="AA12" i="1"/>
  <c r="AA92" i="1"/>
  <c r="AA172" i="1"/>
  <c r="AA284" i="1"/>
  <c r="AA420" i="1"/>
  <c r="AA740" i="1"/>
  <c r="AA13" i="1"/>
  <c r="AA105" i="1"/>
  <c r="AA269" i="1"/>
  <c r="AA385" i="1"/>
  <c r="AA497" i="1"/>
  <c r="AA625" i="1"/>
  <c r="AA801" i="1"/>
  <c r="AA893" i="1"/>
  <c r="AA38" i="1"/>
  <c r="AA102" i="1"/>
  <c r="AA210" i="1"/>
  <c r="AA322" i="1"/>
  <c r="AA434" i="1"/>
  <c r="AA562" i="1"/>
  <c r="AA790" i="1"/>
  <c r="AA978" i="1"/>
  <c r="AA35" i="1"/>
  <c r="AA291" i="1"/>
  <c r="AA491" i="1"/>
  <c r="AA935" i="1"/>
  <c r="AA1199" i="1"/>
  <c r="AA1149" i="1"/>
  <c r="AA1169" i="1"/>
  <c r="AA593" i="1"/>
  <c r="AA1021" i="1"/>
  <c r="AA898" i="1"/>
  <c r="AA655" i="1"/>
  <c r="AA632" i="1"/>
  <c r="AA1145" i="1"/>
  <c r="AA16" i="1"/>
  <c r="AA124" i="1"/>
  <c r="AA580" i="1"/>
  <c r="AA836" i="1"/>
  <c r="AA313" i="1"/>
  <c r="AA705" i="1"/>
  <c r="AA765" i="1"/>
  <c r="AA833" i="1"/>
  <c r="AA961" i="1"/>
  <c r="AA1053" i="1"/>
  <c r="AA1105" i="1"/>
  <c r="AA178" i="1"/>
  <c r="AA626" i="1"/>
  <c r="AA834" i="1"/>
  <c r="AA1046" i="1"/>
  <c r="AA1142" i="1"/>
  <c r="AA199" i="1"/>
  <c r="AA967" i="1"/>
  <c r="AA687" i="1"/>
  <c r="AA296" i="1"/>
  <c r="AA572" i="1"/>
  <c r="AA673" i="1"/>
  <c r="AA929" i="1"/>
  <c r="AA1089" i="1"/>
  <c r="AA598" i="1"/>
  <c r="AA1138" i="1"/>
  <c r="AA487" i="1"/>
  <c r="AA707" i="1"/>
  <c r="AA1168" i="1"/>
  <c r="AA648" i="1"/>
  <c r="AA44" i="1"/>
  <c r="AA76" i="1"/>
  <c r="AA136" i="1"/>
  <c r="AA200" i="1"/>
  <c r="AA264" i="1"/>
  <c r="AA332" i="1"/>
  <c r="AA484" i="1"/>
  <c r="AA644" i="1"/>
  <c r="AA764" i="1"/>
  <c r="AA900" i="1"/>
  <c r="AA53" i="1"/>
  <c r="AA145" i="1"/>
  <c r="AA229" i="1"/>
  <c r="AA337" i="1"/>
  <c r="AA413" i="1"/>
  <c r="AA477" i="1"/>
  <c r="AA545" i="1"/>
  <c r="AA637" i="1"/>
  <c r="AA721" i="1"/>
  <c r="AA797" i="1"/>
  <c r="AA849" i="1"/>
  <c r="AA897" i="1"/>
  <c r="AA977" i="1"/>
  <c r="AA1057" i="1"/>
  <c r="AA18" i="1"/>
  <c r="AA82" i="1"/>
  <c r="AA134" i="1"/>
  <c r="AA182" i="1"/>
  <c r="AA258" i="1"/>
  <c r="AA374" i="1"/>
  <c r="AA450" i="1"/>
  <c r="AA546" i="1"/>
  <c r="AA662" i="1"/>
  <c r="AA770" i="1"/>
  <c r="AA850" i="1"/>
  <c r="AA962" i="1"/>
  <c r="AA1058" i="1"/>
  <c r="AA1174" i="1"/>
  <c r="AA115" i="1"/>
  <c r="AA275" i="1"/>
  <c r="AA379" i="1"/>
  <c r="AA595" i="1"/>
  <c r="AA827" i="1"/>
  <c r="AA1218" i="1"/>
  <c r="AA1087" i="1"/>
  <c r="AA1215" i="1"/>
  <c r="AA920" i="1"/>
  <c r="AA1173" i="1"/>
  <c r="AA1160" i="1"/>
  <c r="AA220" i="1"/>
  <c r="AA300" i="1"/>
  <c r="AA444" i="1"/>
  <c r="AA516" i="1"/>
  <c r="AA612" i="1"/>
  <c r="AA868" i="1"/>
  <c r="AA121" i="1"/>
  <c r="AA233" i="1"/>
  <c r="AA297" i="1"/>
  <c r="AA349" i="1"/>
  <c r="AA433" i="1"/>
  <c r="AA513" i="1"/>
  <c r="AA561" i="1"/>
  <c r="AA605" i="1"/>
  <c r="AA641" i="1"/>
  <c r="AA689" i="1"/>
  <c r="AA769" i="1"/>
  <c r="AA945" i="1"/>
  <c r="AA989" i="1"/>
  <c r="AA1025" i="1"/>
  <c r="AA290" i="1"/>
  <c r="AA342" i="1"/>
  <c r="AA466" i="1"/>
  <c r="AA578" i="1"/>
  <c r="AA630" i="1"/>
  <c r="AA690" i="1"/>
  <c r="AA754" i="1"/>
  <c r="AA854" i="1"/>
  <c r="AA67" i="1"/>
  <c r="AA231" i="1"/>
  <c r="AA535" i="1"/>
  <c r="AA659" i="1"/>
  <c r="AA763" i="1"/>
  <c r="AA875" i="1"/>
  <c r="AA1031" i="1"/>
  <c r="AA1262" i="1"/>
  <c r="AA939" i="1"/>
  <c r="AA93" i="1"/>
  <c r="AA1237" i="1"/>
  <c r="AA1219" i="1"/>
  <c r="AA1187" i="1"/>
  <c r="AA1241" i="1"/>
  <c r="AA1177" i="1"/>
  <c r="AA1113" i="1"/>
  <c r="AA1248" i="1"/>
  <c r="AA1112" i="1"/>
  <c r="AA984" i="1"/>
  <c r="AA776" i="1"/>
  <c r="AA520" i="1"/>
  <c r="AA1245" i="1"/>
  <c r="AA1181" i="1"/>
  <c r="AA1117" i="1"/>
  <c r="AA1240" i="1"/>
  <c r="AA1120" i="1"/>
  <c r="AA992" i="1"/>
  <c r="AA792" i="1"/>
  <c r="AA536" i="1"/>
  <c r="AA1263" i="1"/>
  <c r="AA1223" i="1"/>
  <c r="AA1179" i="1"/>
  <c r="AA1135" i="1"/>
  <c r="AA1095" i="1"/>
  <c r="AA1003" i="1"/>
  <c r="AA815" i="1"/>
  <c r="AA559" i="1"/>
  <c r="AA1266" i="1"/>
  <c r="AA1234" i="1"/>
  <c r="AA1071" i="1"/>
  <c r="AA1007" i="1"/>
  <c r="AA943" i="1"/>
  <c r="AA899" i="1"/>
  <c r="AA855" i="1"/>
  <c r="AA811" i="1"/>
  <c r="AA771" i="1"/>
  <c r="AA727" i="1"/>
  <c r="AA683" i="1"/>
  <c r="AA643" i="1"/>
  <c r="AA599" i="1"/>
  <c r="AA555" i="1"/>
  <c r="AA515" i="1"/>
  <c r="AA471" i="1"/>
  <c r="AA427" i="1"/>
  <c r="AA387" i="1"/>
  <c r="AA343" i="1"/>
  <c r="AA311" i="1"/>
  <c r="AA279" i="1"/>
  <c r="AA247" i="1"/>
  <c r="AA215" i="1"/>
  <c r="AA183" i="1"/>
  <c r="AA151" i="1"/>
  <c r="AA119" i="1"/>
  <c r="AA87" i="1"/>
  <c r="AA55" i="1"/>
  <c r="AA23" i="1"/>
  <c r="AA1190" i="1"/>
  <c r="AA1158" i="1"/>
  <c r="AA1126" i="1"/>
  <c r="AA1094" i="1"/>
  <c r="AA1062" i="1"/>
  <c r="AA1030" i="1"/>
  <c r="AA998" i="1"/>
  <c r="AA966" i="1"/>
  <c r="AA934" i="1"/>
  <c r="AA902" i="1"/>
  <c r="AA870" i="1"/>
  <c r="AA838" i="1"/>
  <c r="AA806" i="1"/>
  <c r="AA774" i="1"/>
  <c r="AA742" i="1"/>
  <c r="AA710" i="1"/>
  <c r="AA678" i="1"/>
  <c r="AA646" i="1"/>
  <c r="AA614" i="1"/>
  <c r="AA582" i="1"/>
  <c r="AA550" i="1"/>
  <c r="AA518" i="1"/>
  <c r="AA486" i="1"/>
  <c r="AA454" i="1"/>
  <c r="AA422" i="1"/>
  <c r="AA390" i="1"/>
  <c r="AA358" i="1"/>
  <c r="AA326" i="1"/>
  <c r="AA294" i="1"/>
  <c r="AA262" i="1"/>
  <c r="AA230" i="1"/>
  <c r="AA1155" i="1"/>
  <c r="AA1209" i="1"/>
  <c r="AA1137" i="1"/>
  <c r="AA1232" i="1"/>
  <c r="AA1056" i="1"/>
  <c r="AA872" i="1"/>
  <c r="AA488" i="1"/>
  <c r="AA1213" i="1"/>
  <c r="AA1141" i="1"/>
  <c r="AA1224" i="1"/>
  <c r="AA1048" i="1"/>
  <c r="AA888" i="1"/>
  <c r="AA504" i="1"/>
  <c r="AA1243" i="1"/>
  <c r="AA1195" i="1"/>
  <c r="AA1131" i="1"/>
  <c r="AA1067" i="1"/>
  <c r="AA911" i="1"/>
  <c r="AA527" i="1"/>
  <c r="AA1250" i="1"/>
  <c r="AA1214" i="1"/>
  <c r="AA999" i="1"/>
  <c r="AA919" i="1"/>
  <c r="AA871" i="1"/>
  <c r="AA807" i="1"/>
  <c r="AA747" i="1"/>
  <c r="AA699" i="1"/>
  <c r="AA635" i="1"/>
  <c r="AA579" i="1"/>
  <c r="AA531" i="1"/>
  <c r="AA467" i="1"/>
  <c r="AA407" i="1"/>
  <c r="AA359" i="1"/>
  <c r="AA307" i="1"/>
  <c r="AA263" i="1"/>
  <c r="AA227" i="1"/>
  <c r="AA179" i="1"/>
  <c r="AA135" i="1"/>
  <c r="AA99" i="1"/>
  <c r="AA51" i="1"/>
  <c r="AA7" i="1"/>
  <c r="AA1170" i="1"/>
  <c r="AA1122" i="1"/>
  <c r="AA1078" i="1"/>
  <c r="AA1042" i="1"/>
  <c r="AA994" i="1"/>
  <c r="AA950" i="1"/>
  <c r="AA914" i="1"/>
  <c r="AA866" i="1"/>
  <c r="AA822" i="1"/>
  <c r="AA786" i="1"/>
  <c r="AA738" i="1"/>
  <c r="AA694" i="1"/>
  <c r="AA658" i="1"/>
  <c r="AA610" i="1"/>
  <c r="AA566" i="1"/>
  <c r="AA530" i="1"/>
  <c r="AA482" i="1"/>
  <c r="AA438" i="1"/>
  <c r="AA402" i="1"/>
  <c r="AA354" i="1"/>
  <c r="AA310" i="1"/>
  <c r="AA274" i="1"/>
  <c r="AA226" i="1"/>
  <c r="AA194" i="1"/>
  <c r="AA162" i="1"/>
  <c r="AA130" i="1"/>
  <c r="AA98" i="1"/>
  <c r="AA66" i="1"/>
  <c r="AA34" i="1"/>
  <c r="AA1101" i="1"/>
  <c r="AA1069" i="1"/>
  <c r="AA1037" i="1"/>
  <c r="AA1005" i="1"/>
  <c r="AA973" i="1"/>
  <c r="AA941" i="1"/>
  <c r="AA909" i="1"/>
  <c r="AA877" i="1"/>
  <c r="AA845" i="1"/>
  <c r="AA813" i="1"/>
  <c r="AA781" i="1"/>
  <c r="AA749" i="1"/>
  <c r="AA717" i="1"/>
  <c r="AA685" i="1"/>
  <c r="AA653" i="1"/>
  <c r="AA621" i="1"/>
  <c r="AA589" i="1"/>
  <c r="AA557" i="1"/>
  <c r="AA525" i="1"/>
  <c r="AA493" i="1"/>
  <c r="AA461" i="1"/>
  <c r="AA429" i="1"/>
  <c r="AA397" i="1"/>
  <c r="AA365" i="1"/>
  <c r="AA333" i="1"/>
  <c r="AA293" i="1"/>
  <c r="AA245" i="1"/>
  <c r="AA205" i="1"/>
  <c r="AA165" i="1"/>
  <c r="AA117" i="1"/>
  <c r="AA77" i="1"/>
  <c r="AA37" i="1"/>
  <c r="AA924" i="1"/>
  <c r="AA860" i="1"/>
  <c r="AA796" i="1"/>
  <c r="AA732" i="1"/>
  <c r="AA668" i="1"/>
  <c r="AA604" i="1"/>
  <c r="AA540" i="1"/>
  <c r="AA476" i="1"/>
  <c r="AA412" i="1"/>
  <c r="AA348" i="1"/>
  <c r="AA312" i="1"/>
  <c r="AA280" i="1"/>
  <c r="AA248" i="1"/>
  <c r="AA216" i="1"/>
  <c r="AA184" i="1"/>
  <c r="AA152" i="1"/>
  <c r="AA120" i="1"/>
  <c r="AA88" i="1"/>
  <c r="AA56" i="1"/>
  <c r="AA32" i="1"/>
  <c r="AA3" i="1"/>
  <c r="AA1269" i="1"/>
  <c r="AA1201" i="1"/>
  <c r="AA285" i="1"/>
  <c r="AA1176" i="1"/>
  <c r="AA1040" i="1"/>
  <c r="AA744" i="1"/>
  <c r="AA376" i="1"/>
  <c r="AA1205" i="1"/>
  <c r="AA1109" i="1"/>
  <c r="AA1184" i="1"/>
  <c r="AA1032" i="1"/>
  <c r="AA760" i="1"/>
  <c r="AA424" i="1"/>
  <c r="AA1239" i="1"/>
  <c r="AA1175" i="1"/>
  <c r="AA1115" i="1"/>
  <c r="AA1051" i="1"/>
  <c r="AA783" i="1"/>
  <c r="AA431" i="1"/>
  <c r="AA1246" i="1"/>
  <c r="AA1063" i="1"/>
  <c r="AA975" i="1"/>
  <c r="AA915" i="1"/>
  <c r="AA851" i="1"/>
  <c r="AA791" i="1"/>
  <c r="AA743" i="1"/>
  <c r="AA679" i="1"/>
  <c r="AA619" i="1"/>
  <c r="AA571" i="1"/>
  <c r="AA507" i="1"/>
  <c r="AA451" i="1"/>
  <c r="AA403" i="1"/>
  <c r="AA339" i="1"/>
  <c r="AA295" i="1"/>
  <c r="AA259" i="1"/>
  <c r="AA211" i="1"/>
  <c r="AA167" i="1"/>
  <c r="AA131" i="1"/>
  <c r="AA83" i="1"/>
  <c r="AA39" i="1"/>
  <c r="AA1202" i="1"/>
  <c r="AA1154" i="1"/>
  <c r="AA1110" i="1"/>
  <c r="AA1074" i="1"/>
  <c r="AA1026" i="1"/>
  <c r="AA982" i="1"/>
  <c r="AA946" i="1"/>
  <c r="AA28" i="1"/>
  <c r="AA60" i="1"/>
  <c r="AA104" i="1"/>
  <c r="AA140" i="1"/>
  <c r="AA188" i="1"/>
  <c r="AA232" i="1"/>
  <c r="AA268" i="1"/>
  <c r="AA316" i="1"/>
  <c r="AA380" i="1"/>
  <c r="AA452" i="1"/>
  <c r="AA548" i="1"/>
  <c r="AA636" i="1"/>
  <c r="AA708" i="1"/>
  <c r="AA804" i="1"/>
  <c r="AA892" i="1"/>
  <c r="AA17" i="1"/>
  <c r="AA81" i="1"/>
  <c r="AA141" i="1"/>
  <c r="AA185" i="1"/>
  <c r="AA249" i="1"/>
  <c r="AA309" i="1"/>
  <c r="AA353" i="1"/>
  <c r="AA401" i="1"/>
  <c r="AA445" i="1"/>
  <c r="AA481" i="1"/>
  <c r="AA529" i="1"/>
  <c r="AA573" i="1"/>
  <c r="AA609" i="1"/>
  <c r="AA657" i="1"/>
  <c r="AA701" i="1"/>
  <c r="AA737" i="1"/>
  <c r="AA785" i="1"/>
  <c r="AA829" i="1"/>
  <c r="AA865" i="1"/>
  <c r="AA913" i="1"/>
  <c r="AA957" i="1"/>
  <c r="AA993" i="1"/>
  <c r="AA1041" i="1"/>
  <c r="AA1085" i="1"/>
  <c r="AA22" i="1"/>
  <c r="AA70" i="1"/>
  <c r="AA114" i="1"/>
  <c r="AA150" i="1"/>
  <c r="AA198" i="1"/>
  <c r="AA246" i="1"/>
  <c r="AA306" i="1"/>
  <c r="AA370" i="1"/>
  <c r="AA418" i="1"/>
  <c r="AA470" i="1"/>
  <c r="AA534" i="1"/>
  <c r="AA594" i="1"/>
  <c r="AA642" i="1"/>
  <c r="AA706" i="1"/>
  <c r="AA758" i="1"/>
  <c r="AA818" i="1"/>
  <c r="AA882" i="1"/>
  <c r="AA930" i="1"/>
  <c r="AA1014" i="1"/>
  <c r="AA1106" i="1"/>
  <c r="AA1186" i="1"/>
  <c r="AA71" i="1"/>
  <c r="AA163" i="1"/>
  <c r="AA243" i="1"/>
  <c r="AA327" i="1"/>
  <c r="AA443" i="1"/>
  <c r="AA551" i="1"/>
  <c r="AA663" i="1"/>
  <c r="AA787" i="1"/>
  <c r="AA891" i="1"/>
  <c r="AA1039" i="1"/>
  <c r="AA399" i="1"/>
  <c r="AA987" i="1"/>
  <c r="AA1159" i="1"/>
  <c r="AA392" i="1"/>
  <c r="AA976" i="1"/>
  <c r="AA157" i="1"/>
  <c r="AA344" i="1"/>
  <c r="AA968" i="1"/>
  <c r="AA97" i="1"/>
  <c r="AA1261" i="1"/>
  <c r="AA2" i="1"/>
  <c r="AA4" i="1"/>
  <c r="AA20" i="1"/>
  <c r="AA36" i="1"/>
  <c r="AA52" i="1"/>
  <c r="AA64" i="1"/>
  <c r="AA80" i="1"/>
  <c r="AA96" i="1"/>
  <c r="AA112" i="1"/>
  <c r="AA128" i="1"/>
  <c r="AA144" i="1"/>
  <c r="AA160" i="1"/>
  <c r="AA176" i="1"/>
  <c r="AA192" i="1"/>
  <c r="AA208" i="1"/>
  <c r="AA224" i="1"/>
  <c r="AA240" i="1"/>
  <c r="AA256" i="1"/>
  <c r="AA272" i="1"/>
  <c r="AA288" i="1"/>
  <c r="AA304" i="1"/>
  <c r="AA320" i="1"/>
  <c r="AA336" i="1"/>
  <c r="AA364" i="1"/>
  <c r="AA396" i="1"/>
  <c r="AA428" i="1"/>
  <c r="AA460" i="1"/>
  <c r="AA492" i="1"/>
  <c r="AA524" i="1"/>
  <c r="AA556" i="1"/>
  <c r="AA588" i="1"/>
  <c r="AA620" i="1"/>
  <c r="AA652" i="1"/>
  <c r="AA684" i="1"/>
  <c r="AA716" i="1"/>
  <c r="AA748" i="1"/>
  <c r="AA780" i="1"/>
  <c r="AA812" i="1"/>
  <c r="AA844" i="1"/>
  <c r="AA876" i="1"/>
  <c r="AA908" i="1"/>
  <c r="AA5" i="1"/>
  <c r="AA21" i="1"/>
  <c r="AA45" i="1"/>
  <c r="AA69" i="1"/>
  <c r="AA85" i="1"/>
  <c r="AA109" i="1"/>
  <c r="AA133" i="1"/>
  <c r="AA149" i="1"/>
  <c r="AA173" i="1"/>
  <c r="AA197" i="1"/>
  <c r="AA213" i="1"/>
  <c r="AA237" i="1"/>
  <c r="AA261" i="1"/>
  <c r="AA277" i="1"/>
  <c r="AA301" i="1"/>
  <c r="AA325" i="1"/>
  <c r="AA341" i="1"/>
  <c r="AA357" i="1"/>
  <c r="AA373" i="1"/>
  <c r="AA389" i="1"/>
  <c r="AA405" i="1"/>
  <c r="AA421" i="1"/>
  <c r="AA437" i="1"/>
  <c r="AA453" i="1"/>
  <c r="AA469" i="1"/>
  <c r="AA485" i="1"/>
  <c r="AA501" i="1"/>
  <c r="AA517" i="1"/>
  <c r="AA533" i="1"/>
  <c r="AA549" i="1"/>
  <c r="AA565" i="1"/>
  <c r="AA581" i="1"/>
  <c r="AA597" i="1"/>
  <c r="AA613" i="1"/>
  <c r="AA629" i="1"/>
  <c r="AA645" i="1"/>
  <c r="AA661" i="1"/>
  <c r="AA677" i="1"/>
  <c r="AA693" i="1"/>
  <c r="AA709" i="1"/>
  <c r="AA725" i="1"/>
  <c r="AA741" i="1"/>
  <c r="AA757" i="1"/>
  <c r="AA773" i="1"/>
  <c r="AA789" i="1"/>
  <c r="AA805" i="1"/>
  <c r="AA821" i="1"/>
  <c r="AA837" i="1"/>
  <c r="AA853" i="1"/>
  <c r="AA869" i="1"/>
  <c r="AA885" i="1"/>
  <c r="AA901" i="1"/>
  <c r="AA917" i="1"/>
  <c r="AA933" i="1"/>
  <c r="AA949" i="1"/>
  <c r="AA965" i="1"/>
  <c r="AA981" i="1"/>
  <c r="AA997" i="1"/>
  <c r="AA1013" i="1"/>
  <c r="AA1029" i="1"/>
  <c r="AA1045" i="1"/>
  <c r="AA1061" i="1"/>
  <c r="AA1077" i="1"/>
  <c r="AA1093" i="1"/>
  <c r="AA10" i="1"/>
  <c r="AA26" i="1"/>
  <c r="AA42" i="1"/>
  <c r="AA58" i="1"/>
  <c r="AA74" i="1"/>
  <c r="AA90" i="1"/>
  <c r="AA106" i="1"/>
  <c r="AA122" i="1"/>
  <c r="AA138" i="1"/>
  <c r="AA154" i="1"/>
  <c r="AA170" i="1"/>
  <c r="AA186" i="1"/>
  <c r="AA202" i="1"/>
  <c r="AA218" i="1"/>
  <c r="AA234" i="1"/>
  <c r="AA250" i="1"/>
  <c r="AA266" i="1"/>
  <c r="AA282" i="1"/>
  <c r="AA298" i="1"/>
  <c r="AA314" i="1"/>
  <c r="AA330" i="1"/>
  <c r="AA346" i="1"/>
  <c r="AA362" i="1"/>
  <c r="AA378" i="1"/>
  <c r="AA394" i="1"/>
  <c r="AA410" i="1"/>
  <c r="AA426" i="1"/>
  <c r="AA442" i="1"/>
  <c r="AA458" i="1"/>
  <c r="AA474" i="1"/>
  <c r="AA490" i="1"/>
  <c r="AA506" i="1"/>
  <c r="AA522" i="1"/>
  <c r="AA538" i="1"/>
  <c r="AA554" i="1"/>
  <c r="AA570" i="1"/>
  <c r="AA586" i="1"/>
  <c r="AA602" i="1"/>
  <c r="AA618" i="1"/>
  <c r="AA634" i="1"/>
  <c r="AA650" i="1"/>
  <c r="AA666" i="1"/>
  <c r="AA682" i="1"/>
  <c r="AA698" i="1"/>
  <c r="AA714" i="1"/>
  <c r="AA730" i="1"/>
  <c r="AA746" i="1"/>
  <c r="AA762" i="1"/>
  <c r="AA778" i="1"/>
  <c r="AA794" i="1"/>
  <c r="AA810" i="1"/>
  <c r="AA826" i="1"/>
  <c r="AA842" i="1"/>
  <c r="AA858" i="1"/>
  <c r="AA874" i="1"/>
  <c r="AA890" i="1"/>
  <c r="AA906" i="1"/>
  <c r="AA922" i="1"/>
  <c r="AA938" i="1"/>
  <c r="AA954" i="1"/>
  <c r="AA970" i="1"/>
  <c r="AA986" i="1"/>
  <c r="AA1002" i="1"/>
  <c r="AA1018" i="1"/>
  <c r="AA1034" i="1"/>
  <c r="AA1050" i="1"/>
  <c r="AA1066" i="1"/>
  <c r="AA1082" i="1"/>
  <c r="AA1098" i="1"/>
  <c r="AA1114" i="1"/>
  <c r="AA1130" i="1"/>
  <c r="AA1146" i="1"/>
  <c r="AA1162" i="1"/>
  <c r="AA1178" i="1"/>
  <c r="AA1194" i="1"/>
  <c r="AA11" i="1"/>
  <c r="AA27" i="1"/>
  <c r="AA43" i="1"/>
  <c r="AA59" i="1"/>
  <c r="AA75" i="1"/>
  <c r="AA91" i="1"/>
  <c r="AA107" i="1"/>
  <c r="AA123" i="1"/>
  <c r="AA139" i="1"/>
  <c r="AA155" i="1"/>
  <c r="AA171" i="1"/>
  <c r="AA187" i="1"/>
  <c r="AA203" i="1"/>
  <c r="AA219" i="1"/>
  <c r="AA235" i="1"/>
  <c r="AA251" i="1"/>
  <c r="AA267" i="1"/>
  <c r="AA283" i="1"/>
  <c r="AA299" i="1"/>
  <c r="AA315" i="1"/>
  <c r="AA331" i="1"/>
  <c r="AA347" i="1"/>
  <c r="AA371" i="1"/>
  <c r="AA391" i="1"/>
  <c r="AA411" i="1"/>
  <c r="AA435" i="1"/>
  <c r="AA455" i="1"/>
  <c r="AA475" i="1"/>
  <c r="AA499" i="1"/>
  <c r="AA519" i="1"/>
  <c r="AA539" i="1"/>
  <c r="AA563" i="1"/>
  <c r="AA583" i="1"/>
  <c r="AA603" i="1"/>
  <c r="AA627" i="1"/>
  <c r="AA647" i="1"/>
  <c r="AA667" i="1"/>
  <c r="AA691" i="1"/>
  <c r="AA711" i="1"/>
  <c r="AA731" i="1"/>
  <c r="AA755" i="1"/>
  <c r="AA775" i="1"/>
  <c r="AA795" i="1"/>
  <c r="AA819" i="1"/>
  <c r="AA839" i="1"/>
  <c r="AA859" i="1"/>
  <c r="AA883" i="1"/>
  <c r="AA903" i="1"/>
  <c r="AA923" i="1"/>
  <c r="AA951" i="1"/>
  <c r="AA983" i="1"/>
  <c r="AA1015" i="1"/>
  <c r="AA1047" i="1"/>
  <c r="AA1206" i="1"/>
  <c r="AA1222" i="1"/>
  <c r="AA1238" i="1"/>
  <c r="AA1254" i="1"/>
  <c r="AA1270" i="1"/>
  <c r="AA463" i="1"/>
  <c r="AA591" i="1"/>
  <c r="AA719" i="1"/>
  <c r="AA847" i="1"/>
  <c r="AA955" i="1"/>
  <c r="AA1019" i="1"/>
  <c r="AA1079" i="1"/>
  <c r="AA1099" i="1"/>
  <c r="AA1119" i="1"/>
  <c r="AA1143" i="1"/>
  <c r="AA1163" i="1"/>
  <c r="AA1183" i="1"/>
  <c r="AA1207" i="1"/>
  <c r="AA1227" i="1"/>
  <c r="AA1247" i="1"/>
  <c r="AA1271" i="1"/>
  <c r="AA440" i="1"/>
  <c r="AA568" i="1"/>
  <c r="AA696" i="1"/>
  <c r="AA824" i="1"/>
  <c r="AA944" i="1"/>
  <c r="AA1000" i="1"/>
  <c r="AA1064" i="1"/>
  <c r="AA1136" i="1"/>
  <c r="AA1192" i="1"/>
  <c r="AA1256" i="1"/>
  <c r="AA221" i="1"/>
  <c r="AA1125" i="1"/>
  <c r="AA1157" i="1"/>
  <c r="AA1189" i="1"/>
  <c r="AA1221" i="1"/>
  <c r="AA1257" i="1"/>
  <c r="AA408" i="1"/>
  <c r="AA552" i="1"/>
  <c r="AA680" i="1"/>
  <c r="AA808" i="1"/>
  <c r="AA936" i="1"/>
  <c r="AA1008" i="1"/>
  <c r="AA1072" i="1"/>
  <c r="AA1128" i="1"/>
  <c r="AA1200" i="1"/>
  <c r="AA1264" i="1"/>
  <c r="AA161" i="1"/>
  <c r="AA1121" i="1"/>
  <c r="AA1153" i="1"/>
  <c r="AA1185" i="1"/>
  <c r="AA1217" i="1"/>
  <c r="AA1249" i="1"/>
  <c r="AA1091" i="1"/>
  <c r="AA61" i="1"/>
  <c r="AA189" i="1"/>
  <c r="AA317" i="1"/>
  <c r="AA65" i="1"/>
  <c r="AA193" i="1"/>
  <c r="AA321" i="1"/>
  <c r="AA368" i="1"/>
  <c r="AA400" i="1"/>
  <c r="AA432" i="1"/>
  <c r="AA464" i="1"/>
  <c r="AA496" i="1"/>
  <c r="AA528" i="1"/>
  <c r="AA560" i="1"/>
  <c r="AA592" i="1"/>
  <c r="AA624" i="1"/>
  <c r="AA656" i="1"/>
  <c r="AA688" i="1"/>
  <c r="AA720" i="1"/>
  <c r="AA752" i="1"/>
  <c r="AA784" i="1"/>
  <c r="AA816" i="1"/>
  <c r="AA848" i="1"/>
  <c r="AA880" i="1"/>
  <c r="AA912" i="1"/>
  <c r="AA940" i="1"/>
  <c r="AA956" i="1"/>
  <c r="AA972" i="1"/>
  <c r="AA988" i="1"/>
  <c r="AA1004" i="1"/>
  <c r="AA1020" i="1"/>
  <c r="AA1036" i="1"/>
  <c r="AA1052" i="1"/>
  <c r="AA1068" i="1"/>
  <c r="AA1084" i="1"/>
  <c r="AA1100" i="1"/>
  <c r="AA1116" i="1"/>
  <c r="AA1132" i="1"/>
  <c r="AA1148" i="1"/>
  <c r="AA1164" i="1"/>
  <c r="AA1180" i="1"/>
  <c r="AA1196" i="1"/>
  <c r="AA1212" i="1"/>
  <c r="AA1228" i="1"/>
  <c r="AA1244" i="1"/>
  <c r="AA1260" i="1"/>
  <c r="AA125" i="1"/>
  <c r="AA351" i="1"/>
  <c r="AA415" i="1"/>
  <c r="AA479" i="1"/>
  <c r="AA543" i="1"/>
  <c r="AA607" i="1"/>
  <c r="AA671" i="1"/>
  <c r="AA735" i="1"/>
  <c r="AA799" i="1"/>
  <c r="AA863" i="1"/>
  <c r="AA927" i="1"/>
  <c r="AA963" i="1"/>
  <c r="AA995" i="1"/>
  <c r="AA1027" i="1"/>
  <c r="AA1059" i="1"/>
  <c r="AA129" i="1"/>
  <c r="AA352" i="1"/>
  <c r="AA416" i="1"/>
  <c r="AA480" i="1"/>
  <c r="AA544" i="1"/>
  <c r="AA608" i="1"/>
  <c r="AA672" i="1"/>
  <c r="AA736" i="1"/>
  <c r="AA800" i="1"/>
  <c r="AA864" i="1"/>
  <c r="AA928" i="1"/>
  <c r="AA964" i="1"/>
  <c r="AA996" i="1"/>
  <c r="AA1028" i="1"/>
  <c r="AA1060" i="1"/>
  <c r="AA1092" i="1"/>
  <c r="AA1124" i="1"/>
  <c r="AA1156" i="1"/>
  <c r="AA1188" i="1"/>
  <c r="AA1220" i="1"/>
  <c r="AA1252" i="1"/>
  <c r="AA253" i="1"/>
  <c r="AA447" i="1"/>
  <c r="AA511" i="1"/>
  <c r="AA639" i="1"/>
  <c r="AA767" i="1"/>
  <c r="AA895" i="1"/>
  <c r="AA979" i="1"/>
  <c r="AA1011" i="1"/>
  <c r="AA1075" i="1"/>
  <c r="AA1171" i="1"/>
  <c r="AA1235" i="1"/>
  <c r="AA1267" i="1"/>
  <c r="AA384" i="1"/>
  <c r="AA768" i="1"/>
  <c r="AA948" i="1"/>
  <c r="AA1012" i="1"/>
  <c r="AA1076" i="1"/>
  <c r="AA1172" i="1"/>
  <c r="AA1204" i="1"/>
  <c r="AA1268" i="1"/>
  <c r="AA383" i="1"/>
  <c r="AA575" i="1"/>
  <c r="AA703" i="1"/>
  <c r="AA831" i="1"/>
  <c r="AA947" i="1"/>
  <c r="AA1043" i="1"/>
  <c r="AA1107" i="1"/>
  <c r="AA1139" i="1"/>
  <c r="AA1203" i="1"/>
  <c r="AA257" i="1"/>
  <c r="AA448" i="1"/>
  <c r="AA512" i="1"/>
  <c r="AA576" i="1"/>
  <c r="AA640" i="1"/>
  <c r="AA704" i="1"/>
  <c r="AA832" i="1"/>
  <c r="AA896" i="1"/>
  <c r="AA980" i="1"/>
  <c r="AA1044" i="1"/>
  <c r="AA1108" i="1"/>
  <c r="AA1140" i="1"/>
  <c r="AA1236" i="1"/>
  <c r="AA8" i="1"/>
  <c r="AA24" i="1"/>
  <c r="AA40" i="1"/>
  <c r="AA68" i="1"/>
  <c r="AA84" i="1"/>
  <c r="AA100" i="1"/>
  <c r="AA116" i="1"/>
  <c r="AA132" i="1"/>
  <c r="AA148" i="1"/>
  <c r="AA164" i="1"/>
  <c r="AA180" i="1"/>
  <c r="AA196" i="1"/>
  <c r="AA212" i="1"/>
  <c r="AA228" i="1"/>
  <c r="AA244" i="1"/>
  <c r="AA260" i="1"/>
  <c r="AA276" i="1"/>
  <c r="AA292" i="1"/>
  <c r="AA308" i="1"/>
  <c r="AA324" i="1"/>
  <c r="AA340" i="1"/>
  <c r="AA372" i="1"/>
  <c r="AA404" i="1"/>
  <c r="AA436" i="1"/>
  <c r="AA468" i="1"/>
  <c r="AA500" i="1"/>
  <c r="AA532" i="1"/>
  <c r="AA564" i="1"/>
  <c r="AA596" i="1"/>
  <c r="AA628" i="1"/>
  <c r="AA660" i="1"/>
  <c r="AA692" i="1"/>
  <c r="AA724" i="1"/>
  <c r="AA756" i="1"/>
  <c r="AA788" i="1"/>
  <c r="AA820" i="1"/>
  <c r="AA852" i="1"/>
  <c r="AA884" i="1"/>
  <c r="AA916" i="1"/>
  <c r="AA9" i="1"/>
  <c r="AA25" i="1"/>
  <c r="AA49" i="1"/>
  <c r="AA73" i="1"/>
  <c r="AA89" i="1"/>
  <c r="AA113" i="1"/>
  <c r="AA137" i="1"/>
  <c r="AA153" i="1"/>
  <c r="AA177" i="1"/>
  <c r="AA201" i="1"/>
  <c r="AA217" i="1"/>
  <c r="AA241" i="1"/>
  <c r="AA265" i="1"/>
  <c r="AA281" i="1"/>
  <c r="AA305" i="1"/>
  <c r="AA329" i="1"/>
  <c r="AA345" i="1"/>
  <c r="AA361" i="1"/>
  <c r="AA377" i="1"/>
  <c r="AA393" i="1"/>
  <c r="AA409" i="1"/>
  <c r="AA425" i="1"/>
  <c r="AA441" i="1"/>
  <c r="AA457" i="1"/>
  <c r="AA473" i="1"/>
  <c r="AA489" i="1"/>
  <c r="AA505" i="1"/>
  <c r="AA521" i="1"/>
  <c r="AA537" i="1"/>
  <c r="AA553" i="1"/>
  <c r="AA569" i="1"/>
  <c r="AA585" i="1"/>
  <c r="AA601" i="1"/>
  <c r="AA617" i="1"/>
  <c r="AA633" i="1"/>
  <c r="AA649" i="1"/>
  <c r="AA665" i="1"/>
  <c r="AA681" i="1"/>
  <c r="AA697" i="1"/>
  <c r="AA713" i="1"/>
  <c r="AA729" i="1"/>
  <c r="AA745" i="1"/>
  <c r="AA761" i="1"/>
  <c r="AA777" i="1"/>
  <c r="AA793" i="1"/>
  <c r="AA809" i="1"/>
  <c r="AA825" i="1"/>
  <c r="AA841" i="1"/>
  <c r="AA857" i="1"/>
  <c r="AA873" i="1"/>
  <c r="AA889" i="1"/>
  <c r="AA905" i="1"/>
  <c r="AA921" i="1"/>
  <c r="AA937" i="1"/>
  <c r="AA953" i="1"/>
  <c r="AA969" i="1"/>
  <c r="AA985" i="1"/>
  <c r="AA1001" i="1"/>
  <c r="AA1017" i="1"/>
  <c r="AA1033" i="1"/>
  <c r="AA1049" i="1"/>
  <c r="AA1065" i="1"/>
  <c r="AA1081" i="1"/>
  <c r="AA1097" i="1"/>
  <c r="AA14" i="1"/>
  <c r="AA30" i="1"/>
  <c r="AA46" i="1"/>
  <c r="AA62" i="1"/>
  <c r="AA78" i="1"/>
  <c r="AA94" i="1"/>
  <c r="AA110" i="1"/>
  <c r="AA126" i="1"/>
  <c r="AA142" i="1"/>
  <c r="AA158" i="1"/>
  <c r="AA174" i="1"/>
  <c r="AA190" i="1"/>
  <c r="AA206" i="1"/>
  <c r="AA222" i="1"/>
  <c r="AA238" i="1"/>
  <c r="AA254" i="1"/>
  <c r="AA270" i="1"/>
  <c r="AA286" i="1"/>
  <c r="AA302" i="1"/>
  <c r="AA318" i="1"/>
  <c r="AA334" i="1"/>
  <c r="AA350" i="1"/>
  <c r="AA366" i="1"/>
  <c r="AA382" i="1"/>
  <c r="AA398" i="1"/>
  <c r="AA414" i="1"/>
  <c r="AA430" i="1"/>
  <c r="AA446" i="1"/>
  <c r="AA462" i="1"/>
  <c r="AA478" i="1"/>
  <c r="AA494" i="1"/>
  <c r="AA510" i="1"/>
  <c r="AA526" i="1"/>
  <c r="AA542" i="1"/>
  <c r="AA558" i="1"/>
  <c r="AA574" i="1"/>
  <c r="AA590" i="1"/>
  <c r="AA606" i="1"/>
  <c r="AA622" i="1"/>
  <c r="AA638" i="1"/>
  <c r="AA654" i="1"/>
  <c r="AA670" i="1"/>
  <c r="AA686" i="1"/>
  <c r="AA702" i="1"/>
  <c r="AA718" i="1"/>
  <c r="AA734" i="1"/>
  <c r="AA750" i="1"/>
  <c r="AA766" i="1"/>
  <c r="AA782" i="1"/>
  <c r="AA798" i="1"/>
  <c r="AA814" i="1"/>
  <c r="AA830" i="1"/>
  <c r="AA846" i="1"/>
  <c r="AA862" i="1"/>
  <c r="AA878" i="1"/>
  <c r="AA894" i="1"/>
  <c r="AA910" i="1"/>
  <c r="AA926" i="1"/>
  <c r="AA942" i="1"/>
  <c r="AA958" i="1"/>
  <c r="AA974" i="1"/>
  <c r="AA990" i="1"/>
  <c r="AA1006" i="1"/>
  <c r="AA1022" i="1"/>
  <c r="AA1038" i="1"/>
  <c r="AA1054" i="1"/>
  <c r="AA1070" i="1"/>
  <c r="AA1086" i="1"/>
  <c r="AA1102" i="1"/>
  <c r="AA1118" i="1"/>
  <c r="AA1134" i="1"/>
  <c r="AA1150" i="1"/>
  <c r="AA1166" i="1"/>
  <c r="AA1182" i="1"/>
  <c r="AA1198" i="1"/>
  <c r="AA15" i="1"/>
  <c r="AA31" i="1"/>
  <c r="AA47" i="1"/>
  <c r="AA63" i="1"/>
  <c r="AA79" i="1"/>
  <c r="AA95" i="1"/>
  <c r="AA111" i="1"/>
  <c r="AA127" i="1"/>
  <c r="AA143" i="1"/>
  <c r="AA159" i="1"/>
  <c r="AA175" i="1"/>
  <c r="AA191" i="1"/>
  <c r="AA207" i="1"/>
  <c r="AA223" i="1"/>
  <c r="AA239" i="1"/>
  <c r="AA255" i="1"/>
  <c r="AA271" i="1"/>
  <c r="AA287" i="1"/>
  <c r="AA303" i="1"/>
  <c r="AA319" i="1"/>
  <c r="AA335" i="1"/>
  <c r="AA355" i="1"/>
  <c r="AA375" i="1"/>
  <c r="AA395" i="1"/>
  <c r="AA419" i="1"/>
  <c r="AA439" i="1"/>
  <c r="AA459" i="1"/>
  <c r="AA483" i="1"/>
  <c r="AA503" i="1"/>
  <c r="AA523" i="1"/>
  <c r="AA547" i="1"/>
  <c r="AA567" i="1"/>
  <c r="AA587" i="1"/>
  <c r="AA611" i="1"/>
  <c r="AA631" i="1"/>
  <c r="AA651" i="1"/>
  <c r="AA675" i="1"/>
  <c r="AA695" i="1"/>
  <c r="AA715" i="1"/>
  <c r="AA739" i="1"/>
  <c r="AA759" i="1"/>
  <c r="AA779" i="1"/>
  <c r="AA803" i="1"/>
  <c r="AA823" i="1"/>
  <c r="AA843" i="1"/>
  <c r="AA867" i="1"/>
  <c r="AA887" i="1"/>
  <c r="AA907" i="1"/>
  <c r="AA931" i="1"/>
  <c r="AA959" i="1"/>
  <c r="AA991" i="1"/>
  <c r="AA1023" i="1"/>
  <c r="AA1055" i="1"/>
  <c r="AA1210" i="1"/>
  <c r="AA1226" i="1"/>
  <c r="AA1242" i="1"/>
  <c r="AA1258" i="1"/>
  <c r="AA367" i="1"/>
  <c r="AA495" i="1"/>
  <c r="AA623" i="1"/>
  <c r="AA751" i="1"/>
  <c r="AA879" i="1"/>
  <c r="AA971" i="1"/>
  <c r="AA1035" i="1"/>
  <c r="AA1083" i="1"/>
  <c r="AA1103" i="1"/>
  <c r="AA1127" i="1"/>
  <c r="AA1147" i="1"/>
  <c r="AA1167" i="1"/>
  <c r="AA1191" i="1"/>
  <c r="AA1211" i="1"/>
  <c r="AA1231" i="1"/>
  <c r="AA1255" i="1"/>
  <c r="AA360" i="1"/>
  <c r="AA472" i="1"/>
  <c r="AA600" i="1"/>
  <c r="AA712" i="1"/>
  <c r="AA856" i="1"/>
  <c r="AA960" i="1"/>
  <c r="AA1016" i="1"/>
  <c r="AA1080" i="1"/>
  <c r="AA1152" i="1"/>
  <c r="AA1208" i="1"/>
  <c r="AA33" i="1"/>
  <c r="AA289" i="1"/>
  <c r="AA1133" i="1"/>
  <c r="AA1165" i="1"/>
  <c r="AA1197" i="1"/>
  <c r="AA1229" i="1"/>
  <c r="AA1265" i="1"/>
  <c r="AA456" i="1"/>
  <c r="AA584" i="1"/>
  <c r="AA728" i="1"/>
  <c r="AA840" i="1"/>
  <c r="AA952" i="1"/>
  <c r="AA1024" i="1"/>
  <c r="AA1088" i="1"/>
  <c r="AA1144" i="1"/>
  <c r="AA1216" i="1"/>
  <c r="AA1272" i="1"/>
  <c r="AA225" i="1"/>
  <c r="AA1129" i="1"/>
  <c r="AA1161" i="1"/>
  <c r="AA1193" i="1"/>
  <c r="AA1225" i="1"/>
  <c r="AA1253" i="1"/>
  <c r="AA1123" i="1"/>
  <c r="AA1251" i="1"/>
</calcChain>
</file>

<file path=xl/sharedStrings.xml><?xml version="1.0" encoding="utf-8"?>
<sst xmlns="http://schemas.openxmlformats.org/spreadsheetml/2006/main" count="6422" uniqueCount="69">
  <si>
    <t>respondent_id</t>
  </si>
  <si>
    <t>city</t>
  </si>
  <si>
    <t>age_group</t>
  </si>
  <si>
    <t>age</t>
  </si>
  <si>
    <t>gender</t>
  </si>
  <si>
    <t>occupation</t>
  </si>
  <si>
    <t>anxiety_score</t>
  </si>
  <si>
    <t>anxiety_level</t>
  </si>
  <si>
    <t>anxiety_zscore</t>
  </si>
  <si>
    <t>stress_score</t>
  </si>
  <si>
    <t>stress_level</t>
  </si>
  <si>
    <t>stress_zscore</t>
  </si>
  <si>
    <t>depression_score</t>
  </si>
  <si>
    <t>depression_level</t>
  </si>
  <si>
    <t>depression_zscore</t>
  </si>
  <si>
    <t>Risk_level</t>
  </si>
  <si>
    <t>dass21_category</t>
  </si>
  <si>
    <t>fmpce</t>
  </si>
  <si>
    <t>mpce</t>
  </si>
  <si>
    <t>rmpce</t>
  </si>
  <si>
    <t>Bengaluru</t>
  </si>
  <si>
    <t>41-50 years</t>
  </si>
  <si>
    <t>Male</t>
  </si>
  <si>
    <t>Self-employed</t>
  </si>
  <si>
    <t>USD 25.00 or less</t>
  </si>
  <si>
    <t>Female</t>
  </si>
  <si>
    <t>Housewife</t>
  </si>
  <si>
    <t>Part-time salaried</t>
  </si>
  <si>
    <t>USD 60.01-80.00</t>
  </si>
  <si>
    <t>31-40 years</t>
  </si>
  <si>
    <t>Full-time salaried</t>
  </si>
  <si>
    <t>USD 80.01-100.00</t>
  </si>
  <si>
    <t>USD 40.01-60.00</t>
  </si>
  <si>
    <t>21-30 years</t>
  </si>
  <si>
    <t>USD 25.01-40.00</t>
  </si>
  <si>
    <t>Above USD 100.00</t>
  </si>
  <si>
    <t>51-60 years</t>
  </si>
  <si>
    <t>Full-time variable income</t>
  </si>
  <si>
    <t>Unemployed</t>
  </si>
  <si>
    <t>Chennai</t>
  </si>
  <si>
    <t>Delhi</t>
  </si>
  <si>
    <t>Retired</t>
  </si>
  <si>
    <t>Hyderabad</t>
  </si>
  <si>
    <t>Kolkata</t>
  </si>
  <si>
    <t>Mumbai</t>
  </si>
  <si>
    <t>Student</t>
  </si>
  <si>
    <t>rounded_fmpce</t>
  </si>
  <si>
    <t>mpce_inr</t>
  </si>
  <si>
    <t>rmpce_inr</t>
  </si>
  <si>
    <t>rmpce_midvalues</t>
  </si>
  <si>
    <t>rmpce_values</t>
  </si>
  <si>
    <t>Percentile</t>
  </si>
  <si>
    <t>Row Labels</t>
  </si>
  <si>
    <t>income_description</t>
  </si>
  <si>
    <t>High Income</t>
  </si>
  <si>
    <t>Low Income</t>
  </si>
  <si>
    <t>Middle Income</t>
  </si>
  <si>
    <t>Average of stress_score</t>
  </si>
  <si>
    <t>Average of anxiety_score</t>
  </si>
  <si>
    <t>(All)</t>
  </si>
  <si>
    <t>Average of dass21_raw_score</t>
  </si>
  <si>
    <t>Q1) How do mental health indicators vary across major Indian cities?</t>
  </si>
  <si>
    <t>Q2) How does income level influence anxiety and stress across males and females</t>
  </si>
  <si>
    <t>Average of depression_score</t>
  </si>
  <si>
    <t>Occupation</t>
  </si>
  <si>
    <t>Q3) Which occupations display the highest mental stress,anxiety and depression?</t>
  </si>
  <si>
    <t>dass21_raw_score</t>
  </si>
  <si>
    <t>round_dass21_raw_score</t>
  </si>
  <si>
    <t>dass21_total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</si>
</sst>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₹&quot;\ #,##0.00"/>
    <numFmt numFmtId="165" formatCode="&quot;₹&quot;\ #,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6">
    <xf numFmtId="0" fontId="0" fillId="0" borderId="0" xfId="0"/>
    <xf numFmtId="0" fontId="0" fillId="33" borderId="0" xfId="0" applyFill="1"/>
    <xf numFmtId="2" fontId="0" fillId="0" borderId="0" xfId="0" applyNumberFormat="1"/>
    <xf numFmtId="165" fontId="0" fillId="33" borderId="0" xfId="0" applyNumberFormat="1" applyFont="1" applyFill="1"/>
    <xf numFmtId="164" fontId="0" fillId="33" borderId="0" xfId="0" applyNumberFormat="1" applyFill="1"/>
    <xf numFmtId="0" fontId="0" fillId="0" borderId="0" xfId="0" applyBorder="1"/>
    <xf numFmtId="0" fontId="0" fillId="0" borderId="10" xfId="0" applyBorder="1"/>
    <xf numFmtId="0" fontId="0" fillId="0" borderId="1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34" borderId="0" xfId="0" applyFill="1"/>
    <xf numFmtId="1" fontId="0" fillId="0" borderId="0" xfId="0" applyNumberFormat="1"/>
    <xf numFmtId="0" fontId="0" fillId="34" borderId="0" xfId="0" applyFill="1" applyAlignment="1">
      <alignment horizontal="left"/>
    </xf>
    <xf numFmtId="0" fontId="0" fillId="0" borderId="0" xfId="0" applyAlignment="1">
      <alignment horizontal="left" vertical="center" indent="1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numFmt numFmtId="1" formatCode="0"/>
    </dxf>
    <dxf>
      <numFmt numFmtId="2" formatCode="0.00"/>
    </dxf>
    <dxf>
      <numFmt numFmtId="0" formatCode="General"/>
      <fill>
        <patternFill patternType="solid">
          <fgColor indexed="64"/>
          <bgColor theme="5" tint="0.5999938962981048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&quot;₹&quot;\ #,##0"/>
      <fill>
        <patternFill patternType="solid">
          <fgColor indexed="64"/>
          <bgColor theme="5" tint="0.59999389629810485"/>
        </patternFill>
      </fill>
    </dxf>
    <dxf>
      <numFmt numFmtId="2" formatCode="0.00"/>
    </dxf>
    <dxf>
      <numFmt numFmtId="164" formatCode="&quot;₹&quot;\ #,##0.00"/>
      <fill>
        <patternFill>
          <fgColor indexed="64"/>
          <bgColor theme="5" tint="0.59999389629810485"/>
        </patternFill>
      </fill>
    </dxf>
    <dxf>
      <numFmt numFmtId="0" formatCode="General"/>
      <fill>
        <patternFill patternType="solid">
          <fgColor indexed="64"/>
          <bgColor theme="5" tint="0.59999389629810485"/>
        </patternFill>
      </fill>
    </dxf>
    <dxf>
      <numFmt numFmtId="0" formatCode="General"/>
      <fill>
        <patternFill patternType="solid">
          <fgColor indexed="64"/>
          <bgColor theme="5" tint="0.59999389629810485"/>
        </patternFill>
      </fill>
    </dxf>
    <dxf>
      <numFmt numFmtId="0" formatCode="General"/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5991.401499074076" createdVersion="5" refreshedVersion="5" minRefreshableVersion="3" recordCount="1271">
  <cacheSource type="worksheet">
    <worksheetSource name="Table1"/>
  </cacheSource>
  <cacheFields count="29">
    <cacheField name="respondent_id" numFmtId="0">
      <sharedItems containsSemiMixedTypes="0" containsString="0" containsNumber="1" containsInteger="1" minValue="1001" maxValue="6230"/>
    </cacheField>
    <cacheField name="city" numFmtId="0">
      <sharedItems count="6">
        <s v="Bengaluru"/>
        <s v="Chennai"/>
        <s v="Delhi"/>
        <s v="Hyderabad"/>
        <s v="Kolkata"/>
        <s v="Mumbai"/>
      </sharedItems>
    </cacheField>
    <cacheField name="age_group" numFmtId="0">
      <sharedItems/>
    </cacheField>
    <cacheField name="age" numFmtId="0">
      <sharedItems containsSemiMixedTypes="0" containsString="0" containsNumber="1" containsInteger="1" minValue="21" maxValue="59"/>
    </cacheField>
    <cacheField name="gender" numFmtId="0">
      <sharedItems count="2">
        <s v="Male"/>
        <s v="Female"/>
      </sharedItems>
    </cacheField>
    <cacheField name="occupation" numFmtId="0">
      <sharedItems count="8">
        <s v="Self-employed"/>
        <s v="Housewife"/>
        <s v="Part-time salaried"/>
        <s v="Full-time salaried"/>
        <s v="Full-time variable income"/>
        <s v="Unemployed"/>
        <s v="Retired"/>
        <s v="Student"/>
      </sharedItems>
    </cacheField>
    <cacheField name="anxiety_score" numFmtId="0">
      <sharedItems containsSemiMixedTypes="0" containsString="0" containsNumber="1" containsInteger="1" minValue="0" maxValue="42" count="21">
        <n v="6"/>
        <n v="2"/>
        <n v="8"/>
        <n v="10"/>
        <n v="4"/>
        <n v="14"/>
        <n v="16"/>
        <n v="12"/>
        <n v="0"/>
        <n v="26"/>
        <n v="22"/>
        <n v="20"/>
        <n v="18"/>
        <n v="24"/>
        <n v="28"/>
        <n v="32"/>
        <n v="34"/>
        <n v="30"/>
        <n v="36"/>
        <n v="38"/>
        <n v="42"/>
      </sharedItems>
    </cacheField>
    <cacheField name="anxiety_level" numFmtId="0">
      <sharedItems/>
    </cacheField>
    <cacheField name="anxiety_zscore" numFmtId="0">
      <sharedItems containsSemiMixedTypes="0" containsString="0" containsNumber="1" minValue="-1.0134224999999999" maxValue="3.2085145000000002"/>
    </cacheField>
    <cacheField name="stress_score" numFmtId="0">
      <sharedItems containsSemiMixedTypes="0" containsString="0" containsNumber="1" containsInteger="1" minValue="0" maxValue="42" count="22">
        <n v="12"/>
        <n v="4"/>
        <n v="2"/>
        <n v="16"/>
        <n v="14"/>
        <n v="6"/>
        <n v="18"/>
        <n v="8"/>
        <n v="10"/>
        <n v="22"/>
        <n v="0"/>
        <n v="26"/>
        <n v="24"/>
        <n v="32"/>
        <n v="28"/>
        <n v="30"/>
        <n v="34"/>
        <n v="20"/>
        <n v="38"/>
        <n v="36"/>
        <n v="42"/>
        <n v="40"/>
      </sharedItems>
    </cacheField>
    <cacheField name="stress_level" numFmtId="0">
      <sharedItems count="4">
        <s v="Moderate"/>
        <s v="Normal"/>
        <s v="Severe"/>
        <s v="Extremely Severe"/>
      </sharedItems>
    </cacheField>
    <cacheField name="stress_zscore" numFmtId="0">
      <sharedItems containsSemiMixedTypes="0" containsString="0" containsNumber="1" minValue="-1.1624711999999999" maxValue="2.9254150000000001"/>
    </cacheField>
    <cacheField name="depression_score" numFmtId="0">
      <sharedItems containsSemiMixedTypes="0" containsString="0" containsNumber="1" containsInteger="1" minValue="0" maxValue="42"/>
    </cacheField>
    <cacheField name="depression_level" numFmtId="0">
      <sharedItems/>
    </cacheField>
    <cacheField name="depression_zscore" numFmtId="0">
      <sharedItems containsSemiMixedTypes="0" containsString="0" containsNumber="1" minValue="-1.1088359000000001" maxValue="2.9365494000000001"/>
    </cacheField>
    <cacheField name="dass21_raw_score" numFmtId="0">
      <sharedItems containsSemiMixedTypes="0" containsString="0" containsNumber="1" minValue="0" maxValue="39.333331999999999"/>
    </cacheField>
    <cacheField name="Avg_of_DASS-21raw" numFmtId="0">
      <sharedItems containsSemiMixedTypes="0" containsString="0" containsNumber="1" containsInteger="1" minValue="0" maxValue="39"/>
    </cacheField>
    <cacheField name="Risk_level" numFmtId="0">
      <sharedItems count="4">
        <s v="Normal"/>
        <s v="Moderate"/>
        <s v="Severe"/>
        <s v="Extremely Severe"/>
      </sharedItems>
    </cacheField>
    <cacheField name="dass21_total" numFmtId="0">
      <sharedItems containsSemiMixedTypes="0" containsString="0" containsNumber="1" minValue="-1.0949099" maxValue="2.7646193999999999"/>
    </cacheField>
    <cacheField name="dass21_category" numFmtId="0">
      <sharedItems containsSemiMixedTypes="0" containsString="0" containsNumber="1" minValue="0" maxValue="3.8595293000000002" count="664">
        <n v="0.84721696000000002"/>
        <n v="0.26100152999999998"/>
        <n v="0.19611442000000001"/>
        <n v="1.4292807999999999"/>
        <n v="1.3671960999999999"/>
        <n v="1.3029835999999999"/>
        <n v="1.3036582000000001"/>
        <n v="0.52973559999999997"/>
        <n v="1.105416"/>
        <n v="1.3643936999999999"/>
        <n v="1.0384012"/>
        <n v="1.172431"/>
        <n v="1.1082183999999999"/>
        <n v="0.26312930000000001"/>
        <n v="0.45991831999999999"/>
        <n v="0.98124670000000003"/>
        <n v="0.52693319999999999"/>
        <n v="0.13190198"/>
        <n v="0.59047110000000003"/>
        <n v="0.39010107999999999"/>
        <n v="1.5025752000000001"/>
        <n v="0.45779055000000002"/>
        <n v="0.39570588000000001"/>
        <n v="0.65110254000000001"/>
        <n v="1.2394457999999999"/>
        <n v="1.7635765999999999"/>
        <n v="1.3107162999999999"/>
        <n v="1.4963995999999999"/>
        <n v="0.84867009999999998"/>
        <n v="1.0426568000000001"/>
        <n v="1.2402244"/>
        <n v="1.2387712"/>
        <n v="0.71744280000000005"/>
        <n v="1.3092630999999999"/>
        <n v="0.45924369999999998"/>
        <n v="0.85214716000000001"/>
        <n v="1.5040283000000001"/>
        <n v="1.237422"/>
        <n v="1.1703030999999999"/>
        <n v="0.39222884000000002"/>
        <n v="0.39357809999999999"/>
        <n v="0.32656323999999998"/>
        <n v="0.52625860000000002"/>
        <n v="0.52548002999999999"/>
        <n v="0.26380396"/>
        <n v="0.32869100000000001"/>
        <n v="0.32588856999999999"/>
        <n v="0.72237300000000004"/>
        <n v="0.33081883000000001"/>
        <n v="0.52200299999999999"/>
        <n v="0.65535814000000003"/>
        <n v="0.33294659999999998"/>
        <n v="0.32521397000000002"/>
        <n v="0.46204614999999999"/>
        <n v="0.46137154000000002"/>
        <n v="0.46484858000000001"/>
        <n v="0.39503126999999999"/>
        <n v="0.32453936"/>
        <n v="0.32734180000000002"/>
        <n v="0.32801639999999999"/>
        <n v="0.39435667000000002"/>
        <n v="0.39155424"/>
        <n v="0.59327346000000003"/>
        <n v="0.39290344999999999"/>
        <n v="0.46059299999999997"/>
        <n v="0.5911457"/>
        <n v="0.38942647000000002"/>
        <n v="0.45711594999999999"/>
        <n v="6.4212560000000002E-2"/>
        <n v="0.52558400000000005"/>
        <n v="0.26245469999999999"/>
        <n v="0.45856910000000001"/>
        <n v="0"/>
        <n v="0.39928687000000002"/>
        <n v="0.26167613000000001"/>
        <n v="0.45644133999999997"/>
        <n v="0.32376080000000002"/>
        <n v="0.26032692000000002"/>
        <n v="0.19398665000000001"/>
        <n v="0.97351414000000003"/>
        <n v="0.52490939999999997"/>
        <n v="0.58554090000000003"/>
        <n v="0.65323030000000004"/>
        <n v="0.32946955999999999"/>
        <n v="0.26593172999999998"/>
        <n v="2.4852750000000001"/>
        <n v="2.4846005"/>
        <n v="2.4816942000000002"/>
        <n v="2.5404057999999998"/>
        <n v="2.2821026"/>
        <n v="2.3469896000000001"/>
        <n v="2.8684219999999998"/>
        <n v="2.5424294000000001"/>
        <n v="2.9346583000000002"/>
        <n v="2.3588738"/>
        <n v="2.4867281999999999"/>
        <n v="2.3541517000000001"/>
        <n v="2.5460105"/>
        <n v="2.4775423999999999"/>
        <n v="2.7357415999999999"/>
        <n v="2.2206926"/>
        <n v="2.6771340000000001"/>
        <n v="2.4811234"/>
        <n v="2.2926375999999999"/>
        <n v="2.2843342"/>
        <n v="2.2878113"/>
        <n v="2.5453358000000001"/>
        <n v="2.1565840000000001"/>
        <n v="2.9354366999999999"/>
        <n v="2.3513494000000001"/>
        <n v="2.4789956000000002"/>
        <n v="2.5536392000000001"/>
        <n v="2.6102227999999998"/>
        <n v="2.4803448000000001"/>
        <n v="2.6207579999999999"/>
        <n v="2.743474"/>
        <n v="2.4231904000000002"/>
        <n v="2.5466852000000002"/>
        <n v="2.6074204000000001"/>
        <n v="2.6792617000000001"/>
        <n v="2.4169109999999998"/>
        <n v="2.3491175000000002"/>
        <n v="2.6221070000000002"/>
        <n v="2.4175854000000001"/>
        <n v="2.7393227000000002"/>
        <n v="2.9486704000000001"/>
        <n v="2.6772377000000001"/>
        <n v="2.4776463999999998"/>
        <n v="2.3617802000000001"/>
        <n v="2.5438828"/>
        <n v="2.810489"/>
        <n v="2.7999540000000001"/>
        <n v="2.8740268000000002"/>
        <n v="2.5509404999999998"/>
        <n v="2.2898352000000002"/>
        <n v="2.2186686999999998"/>
        <n v="2.6835171999999998"/>
        <n v="2.7442527000000001"/>
        <n v="2.7505321999999999"/>
        <n v="2.474844"/>
        <n v="2.6841917"/>
        <n v="2.4168069999999999"/>
        <n v="2.682064"/>
        <n v="2.3547223000000002"/>
        <n v="2.5432081000000002"/>
        <n v="2.8007325999999999"/>
        <n v="2.7399969999999998"/>
        <n v="2.6185261999999998"/>
        <n v="2.3526983000000001"/>
        <n v="2.4225159000000001"/>
        <n v="2.2934160000000001"/>
        <n v="2.7462764000000002"/>
        <n v="2.9466467000000001"/>
        <n v="2.3583029999999998"/>
        <n v="2.4761932"/>
        <n v="2.416703"/>
        <n v="2.3596525000000002"/>
        <n v="2.4147829999999999"/>
        <n v="2.4189348000000002"/>
        <n v="2.4838219000000001"/>
        <n v="2.4839258000000002"/>
        <n v="2.420388"/>
        <n v="2.4161324999999998"/>
        <n v="2.2863584000000001"/>
        <n v="2.6171769999999999"/>
        <n v="2.6144786"/>
        <n v="2.2814279000000002"/>
        <n v="2.3498960000000002"/>
        <n v="2.6115723000000002"/>
        <n v="2.6186302000000001"/>
        <n v="2.4267712000000001"/>
        <n v="2.4888558000000001"/>
        <n v="2.4119806000000001"/>
        <n v="2.5480342"/>
        <n v="0.52413080000000001"/>
        <n v="0.5862155"/>
        <n v="0.52838640000000003"/>
        <n v="0.78726006000000004"/>
        <n v="0.52132840000000003"/>
        <n v="0.52345620000000004"/>
        <n v="0.5897964"/>
        <n v="0.59182029999999997"/>
        <n v="0.91288259999999999"/>
        <n v="0.85079795000000003"/>
        <n v="0.58834326000000003"/>
        <n v="0.78165530000000005"/>
        <n v="1.2458292"/>
        <n v="0.72091985000000003"/>
        <n v="0.52480539999999998"/>
        <n v="3.2020433000000001"/>
        <n v="2.0916969999999999"/>
        <n v="2.0887907000000001"/>
        <n v="2.6080952000000002"/>
        <n v="2.7406716000000002"/>
        <n v="2.5488129000000002"/>
        <n v="0.78445770000000004"/>
        <n v="1.5096331000000001"/>
        <n v="2.3540478"/>
        <n v="1.8271145"/>
        <n v="0.91568506000000005"/>
        <n v="1.2471783999999999"/>
        <n v="3.0094056"/>
        <n v="2.1593863999999998"/>
        <n v="2.2207965999999999"/>
        <n v="3.40096"/>
        <n v="0.97989749999999998"/>
        <n v="1.7008173"/>
        <n v="1.8320445999999999"/>
        <n v="2.0874413999999999"/>
        <n v="2.1558055999999999"/>
        <n v="2.0281590999999999"/>
        <n v="2.6122467999999999"/>
        <n v="2.0267059999999999"/>
        <n v="1.3734755999999999"/>
        <n v="2.7441487000000002"/>
        <n v="2.0930461999999999"/>
        <n v="1.7678322"/>
        <n v="1.9575632000000001"/>
        <n v="2.8083610000000001"/>
        <n v="1.5019004"/>
        <n v="2.6193046999999998"/>
        <n v="1.6958871"/>
        <n v="1.7622272999999999"/>
        <n v="3.4665216999999999"/>
        <n v="3.5279316999999999"/>
        <n v="2.0211009999999998"/>
        <n v="2.150979"/>
        <n v="2.0965232999999999"/>
        <n v="1.8948039999999999"/>
        <n v="2.0260313000000001"/>
        <n v="2.0246819999999999"/>
        <n v="2.4140046000000002"/>
        <n v="2.8126167999999998"/>
        <n v="2.0273805"/>
        <n v="2.8718990999999998"/>
        <n v="2.8076865999999998"/>
        <n v="1.4348856000000001"/>
        <n v="0.77885289999999996"/>
        <n v="0.97429270000000001"/>
        <n v="0.97496729999999998"/>
        <n v="0.97283953000000001"/>
        <n v="0.90795239999999999"/>
        <n v="1.040529"/>
        <n v="1.1040668"/>
        <n v="1.7643552"/>
        <n v="3.0072779999999999"/>
        <n v="1.9611441999999999"/>
        <n v="1.5745201"/>
        <n v="0.90660315999999996"/>
        <n v="0.90940560000000004"/>
        <n v="0.97776973"/>
        <n v="0.97216486999999996"/>
        <n v="1.5047029000000001"/>
        <n v="2.7484042999999998"/>
        <n v="2.4182600000000001"/>
        <n v="2.6094444000000001"/>
        <n v="2.4817979999999999"/>
        <n v="1.8926761000000001"/>
        <n v="3.2033925000000001"/>
        <n v="0.84093755000000003"/>
        <n v="0.45431352000000003"/>
        <n v="1.0398544000000001"/>
        <n v="0.91075479999999998"/>
        <n v="0.91008020000000001"/>
        <n v="0.52267766000000004"/>
        <n v="0.58756470000000005"/>
        <n v="1.5075053"/>
        <n v="2.4767636999999998"/>
        <n v="0.78793469999999999"/>
        <n v="3.4024131"/>
        <n v="1.6246166"/>
        <n v="1.0433314"/>
        <n v="1.9666451"/>
        <n v="0.65177715000000003"/>
        <n v="2.1551309000000001"/>
        <n v="2.8690967999999999"/>
        <n v="0.84654236000000005"/>
        <n v="0.84374000000000005"/>
        <n v="1.1047415"/>
        <n v="1.108997"/>
        <n v="0.39996146999999999"/>
        <n v="1.8299167999999999"/>
        <n v="1.4376880000000001"/>
        <n v="2.1634340000000001"/>
        <n v="0.64840410000000004"/>
        <n v="0.84306539999999996"/>
        <n v="0.51987519999999998"/>
        <n v="0.77952750000000004"/>
        <n v="0.90862703"/>
        <n v="2.6807148000000001"/>
        <n v="1.1110209"/>
        <n v="3.0052542999999998"/>
        <n v="0.71811749999999996"/>
        <n v="1.7036197"/>
        <n v="2.3497919999999999"/>
        <n v="2.4760892000000001"/>
        <n v="1.1124741"/>
        <n v="2.3442911999999998"/>
        <n v="0.65390499999999996"/>
        <n v="0.71531504000000001"/>
        <n v="0.58408766999999995"/>
        <n v="3.3339452999999999"/>
        <n v="2.0825111999999999"/>
        <n v="2.673657"/>
        <n v="2.2891607"/>
        <n v="0.78232990000000002"/>
        <n v="3.2648025000000001"/>
        <n v="3.4030879000000001"/>
        <n v="0.90930164000000002"/>
        <n v="1.1745588"/>
        <n v="1.4997727000000001"/>
        <n v="2.6891221999999999"/>
        <n v="2.0253568"/>
        <n v="2.0944992999999998"/>
        <n v="2.2201219000000001"/>
        <n v="2.0274844000000001"/>
        <n v="3.0785483999999999"/>
        <n v="1.3728009999999999"/>
        <n v="2.9451933000000001"/>
        <n v="2.4190388"/>
        <n v="3.0101843000000001"/>
        <n v="2.089569"/>
        <n v="2.9995455999999998"/>
        <n v="2.2144132000000001"/>
        <n v="0.91635966000000002"/>
        <n v="3.3332704999999998"/>
        <n v="1.047587"/>
        <n v="2.8119420000000002"/>
        <n v="1.0447845"/>
        <n v="3.8503435000000001"/>
        <n v="3.0729437000000002"/>
        <n v="3.6591591999999999"/>
        <n v="3.1999154000000001"/>
        <n v="3.2669302999999998"/>
        <n v="2.3548262000000002"/>
        <n v="2.4217371999999999"/>
        <n v="1.1117995000000001"/>
        <n v="0.5812853"/>
        <n v="0.25887376000000001"/>
        <n v="0.51639820000000003"/>
        <n v="0.12977421"/>
        <n v="2.5989094000000001"/>
        <n v="0.45566279999999998"/>
        <n v="0.32443547"/>
        <n v="1.1717564"/>
        <n v="0.45218575"/>
        <n v="0.64762556999999998"/>
        <n v="0.32308619999999999"/>
        <n v="2.4704845"/>
        <n v="0.19678909"/>
        <n v="0.58543694000000002"/>
        <n v="0.64830019999999999"/>
        <n v="0.38797330000000002"/>
        <n v="1.5569272000000001"/>
        <n v="1.1709778"/>
        <n v="0.77527195000000004"/>
        <n v="0.83948440000000002"/>
        <n v="1.0377266000000001"/>
        <n v="0.97071169999999996"/>
        <n v="0.58689009999999997"/>
        <n v="0.45286036000000002"/>
        <n v="0.25819915999999998"/>
        <n v="2.0105662"/>
        <n v="0.19466126"/>
        <n v="0.96790933999999995"/>
        <n v="0.64414850000000001"/>
        <n v="1.4264783999999999"/>
        <n v="1.0363773000000001"/>
        <n v="0.90572070000000005"/>
        <n v="0.83880980000000005"/>
        <n v="1.3049036000000001"/>
        <n v="1.1111249000000001"/>
        <n v="0.72024524000000001"/>
        <n v="0.72304760000000001"/>
        <n v="0.71676819999999997"/>
        <n v="0.58341306000000004"/>
        <n v="0.65468353000000001"/>
        <n v="0.52278159999999996"/>
        <n v="1.2923448"/>
        <n v="0.51504899999999998"/>
        <n v="2.1500967000000002"/>
        <n v="1.6203611"/>
        <n v="2.8640625000000002"/>
        <n v="0.13402975"/>
        <n v="1.0413076000000001"/>
        <n v="1.4326539"/>
        <n v="1.5144594"/>
        <n v="1.3043328999999999"/>
        <n v="0.83823910000000001"/>
        <n v="0.71038484999999996"/>
        <n v="0.96723473000000004"/>
        <n v="0.52122449999999998"/>
        <n v="1.0454592"/>
        <n v="2.1502005999999998"/>
        <n v="2.0147178000000001"/>
        <n v="0.97631650000000003"/>
        <n v="1.1681752999999999"/>
        <n v="0.12842493999999999"/>
        <n v="0.32241160000000002"/>
        <n v="1.1060907"/>
        <n v="0.71666425"/>
        <n v="1.690957"/>
        <n v="3.1385052"/>
        <n v="1.9505053000000001"/>
        <n v="0.71329116999999997"/>
        <n v="1.0370519"/>
        <n v="2.2101573999999999"/>
        <n v="0.78310849999999999"/>
        <n v="0.19331205000000001"/>
        <n v="0.12909961"/>
        <n v="0.45498812"/>
        <n v="6.4887165999999996E-2"/>
        <n v="0.51920060000000001"/>
        <n v="0.39077568000000001"/>
        <n v="0.64975333000000002"/>
        <n v="0.32106233000000001"/>
        <n v="0.13122737000000001"/>
        <n v="0.19543981999999999"/>
        <n v="0.38527483000000001"/>
        <n v="2.4894265999999998"/>
        <n v="2.8774000000000002"/>
        <n v="2.6848664000000002"/>
        <n v="1.5710431"/>
        <n v="0.58901787000000005"/>
        <n v="0.20104462000000001"/>
        <n v="6.701493E-2"/>
        <n v="1.6232674"/>
        <n v="0.97911893999999999"/>
        <n v="0.78513230000000001"/>
        <n v="1.4285022999999999"/>
        <n v="1.2429228000000001"/>
        <n v="1.1103463"/>
        <n v="1.8187072"/>
        <n v="2.1580371999999999"/>
        <n v="1.9674237000000001"/>
        <n v="1.9005126999999999"/>
        <n v="1.3072393"/>
        <n v="1.7671576"/>
        <n v="2.5516152000000001"/>
        <n v="0.51717674999999996"/>
        <n v="1.0482616"/>
        <n v="1.9653997000000001"/>
        <n v="1.6972362999999999"/>
        <n v="0.65681135999999996"/>
        <n v="0.65748596000000004"/>
        <n v="1.5675661999999999"/>
        <n v="2.1692467"/>
        <n v="1.6973403"/>
        <n v="3.7959912"/>
        <n v="3.4044370000000002"/>
        <n v="1.7614489"/>
        <n v="0.65738200000000002"/>
        <n v="0.19891685000000001"/>
        <n v="0.71598965000000003"/>
        <n v="0.19824225000000001"/>
        <n v="0.33014417000000001"/>
        <n v="0.91210407000000004"/>
        <n v="0.26525712000000001"/>
        <n v="1.3805335999999999"/>
        <n v="1.3777311000000001"/>
        <n v="0.65042794000000004"/>
        <n v="0.46272075000000001"/>
        <n v="0.58766865999999995"/>
        <n v="0.84799550000000001"/>
        <n v="1.2514339999999999"/>
        <n v="1.0525172"/>
        <n v="1.2493061999999999"/>
        <n v="1.8368709000000001"/>
        <n v="0.85920510000000005"/>
        <n v="0.98202526999999995"/>
        <n v="0.71957064000000004"/>
        <n v="0.98830470000000004"/>
        <n v="0.72730320000000004"/>
        <n v="0.72662859999999996"/>
        <n v="0.92061519999999997"/>
        <n v="0.78803869999999998"/>
        <n v="0.78938790000000003"/>
        <n v="0.91916202999999996"/>
        <n v="0.98695546000000001"/>
        <n v="1.1788143"/>
        <n v="0.79364349999999995"/>
        <n v="0.79151570000000004"/>
        <n v="0.85147256000000004"/>
        <n v="0.65603274"/>
        <n v="0.98337454000000002"/>
        <n v="0.78591084"/>
        <n v="0.98482769999999997"/>
        <n v="0.98550230000000005"/>
        <n v="0.91558110000000004"/>
        <n v="1.1026137"/>
        <n v="2.0098915000000002"/>
        <n v="1.0419822000000001"/>
        <n v="0.45083654000000001"/>
        <n v="1.6902823"/>
        <n v="0.90380079999999996"/>
        <n v="1.5088545"/>
        <n v="1.2896463"/>
        <n v="1.3050075000000001"/>
        <n v="0.70971024000000005"/>
        <n v="0.90167299999999995"/>
        <n v="0.19263743999999999"/>
        <n v="1.3000773000000001"/>
        <n v="1.1096717"/>
        <n v="1.2979495999999999"/>
        <n v="0.97709506999999995"/>
        <n v="0.58330919999999997"/>
        <n v="0.51707285999999997"/>
        <n v="0.39087962999999998"/>
        <n v="0.45151113999999998"/>
        <n v="0.51785135000000004"/>
        <n v="0.7780743"/>
        <n v="1.6966656"/>
        <n v="1.6219182000000001"/>
        <n v="1.1751294000000001"/>
        <n v="0.64907870000000001"/>
        <n v="0.25752449999999999"/>
        <n v="0.90649926999999997"/>
        <n v="1.3621620000000001"/>
        <n v="0.64897479999999996"/>
        <n v="0.77739970000000003"/>
        <n v="1.4250252000000001"/>
        <n v="1.0970088"/>
        <n v="0.58206385000000005"/>
        <n v="0.91142946000000002"/>
        <n v="1.3615912999999999"/>
        <n v="0.72034920000000002"/>
        <n v="0.45420962999999998"/>
        <n v="0.321737"/>
        <n v="0.84441460000000002"/>
        <n v="2.2645097000000001"/>
        <n v="1.3685453999999999"/>
        <n v="0.38807720000000001"/>
        <n v="1.240899"/>
        <n v="1.0350280999999999"/>
        <n v="2.0782557000000002"/>
        <n v="1.2310386"/>
        <n v="2.085988"/>
        <n v="0.84934480000000001"/>
        <n v="1.5004473"/>
        <n v="1.9373758000000001"/>
        <n v="1.8786640999999999"/>
        <n v="0.7803061"/>
        <n v="0.45576667999999998"/>
        <n v="1.358789"/>
        <n v="0.58195989999999997"/>
        <n v="0.77750359999999996"/>
        <n v="0.38875186"/>
        <n v="0.32386475999999997"/>
        <n v="1.4990981000000001"/>
        <n v="2.409853"/>
        <n v="3.8595293000000002"/>
        <n v="3.3981575999999998"/>
        <n v="3.272535"/>
        <n v="3.3974829999999998"/>
        <n v="3.467975"/>
        <n v="3.3353983999999999"/>
        <n v="3.2697327"/>
        <n v="2.9417162000000001"/>
        <n v="1.7650298"/>
        <n v="1.1760119"/>
        <n v="1.8913268999999999"/>
        <n v="0.91153335999999996"/>
        <n v="0.9150104"/>
        <n v="1.3742540999999999"/>
        <n v="2.0316361999999999"/>
        <n v="3.5949466000000001"/>
        <n v="0.38729864000000003"/>
        <n v="2.2150880000000002"/>
        <n v="0.71879210000000004"/>
        <n v="1.2359688"/>
        <n v="1.2422483"/>
        <n v="0.78300449999999999"/>
        <n v="0.91781279999999998"/>
        <n v="0.84508919999999998"/>
        <n v="3.2704073999999999"/>
        <n v="3.2027177999999998"/>
        <n v="2.3597565"/>
        <n v="3.1350283999999999"/>
        <n v="3.3388753000000002"/>
        <n v="1.8264399"/>
        <n v="2.2278544999999998"/>
        <n v="1.4398158000000001"/>
        <n v="2.3463151"/>
        <n v="2.2883819999999999"/>
        <n v="1.9625973999999999"/>
        <n v="2.4232939999999998"/>
        <n v="1.6980150000000001"/>
        <n v="2.4239687999999999"/>
        <n v="2.0296123000000001"/>
        <n v="0.97844434000000002"/>
        <n v="1.0490402000000001"/>
        <n v="0.65816056999999994"/>
        <n v="1.6331278"/>
        <n v="0.91423189999999999"/>
        <n v="1.1823952"/>
        <n v="1.4977488999999999"/>
        <n v="3.3311427"/>
        <n v="2.6059673000000001"/>
        <n v="2.2178903000000001"/>
        <n v="1.9631681000000001"/>
        <n v="1.3665216"/>
        <n v="1.0468085"/>
        <n v="1.4320831999999999"/>
        <n v="1.8284636999999999"/>
        <n v="3.3988323"/>
        <n v="2.2905096999999999"/>
        <n v="1.4278276000000001"/>
        <n v="1.3015304999999999"/>
        <n v="1.9011872999999999"/>
        <n v="1.2416775"/>
        <n v="1.6359303000000001"/>
        <n v="2.0909182999999998"/>
        <n v="2.2235990000000001"/>
        <n v="1.9618188000000001"/>
        <n v="3.5287104"/>
        <n v="3.3324919"/>
        <n v="3.3318173999999998"/>
        <n v="2.3505707"/>
        <n v="1.5661130000000001"/>
        <n v="1.9561101000000001"/>
        <n v="1.8912230000000001"/>
        <n v="2.4134340000000001"/>
        <n v="1.5597296"/>
        <n v="0.59259885999999995"/>
        <n v="1.1088932"/>
        <n v="0.71889603000000002"/>
        <n v="1.3057860999999999"/>
        <n v="1.8263358999999999"/>
        <n v="1.4263744"/>
        <n v="2.4160284999999999"/>
        <n v="2.6847625000000002"/>
        <n v="2.2213671000000001"/>
        <n v="1.6210358"/>
        <n v="2.2807534"/>
        <n v="3.3945767999999998"/>
        <n v="1.7529376999999999"/>
        <n v="1.8920016"/>
        <n v="2.0252528000000001"/>
        <n v="2.5508365999999998"/>
        <n v="1.9533076"/>
        <n v="2.0902438000000001"/>
        <n v="2.0881159999999999"/>
        <n v="3.4666256999999998"/>
        <n v="0.71464039999999995"/>
        <n v="1.8983848999999999"/>
        <n v="2.6785869999999998"/>
        <n v="1.9590164000000001"/>
        <n v="2.2228203"/>
        <n v="2.1544561"/>
        <n v="2.9430656000000002"/>
        <n v="2.3525944000000001"/>
        <n v="2.3484430000000001"/>
        <n v="2.3533729999999999"/>
        <n v="2.1572585000000002"/>
        <n v="2.0288336"/>
        <n v="1.9604695000000001"/>
        <n v="2.0302867999999998"/>
        <n v="1.8327192999999999"/>
        <n v="1.762902"/>
        <n v="0.72382617000000005"/>
        <n v="0.78658545000000002"/>
        <n v="1.9660744999999999"/>
        <n v="2.0923715000000001"/>
        <n v="1.7607740999999999"/>
      </sharedItems>
    </cacheField>
    <cacheField name="dass21_category_rounded" numFmtId="0">
      <sharedItems containsSemiMixedTypes="0" containsString="0" containsNumber="1" containsInteger="1" minValue="0" maxValue="4" count="5">
        <n v="1"/>
        <n v="0"/>
        <n v="2"/>
        <n v="3"/>
        <n v="4"/>
      </sharedItems>
    </cacheField>
    <cacheField name="dass21_category_level" numFmtId="0">
      <sharedItems count="4">
        <s v="Moderate"/>
        <s v="Normal"/>
        <s v="Severe"/>
        <s v="Extremely Severe"/>
      </sharedItems>
    </cacheField>
    <cacheField name="fmpce" numFmtId="0">
      <sharedItems containsSemiMixedTypes="0" containsString="0" containsNumber="1" minValue="0" maxValue="500091"/>
    </cacheField>
    <cacheField name="rounded_fmpce" numFmtId="0">
      <sharedItems containsSemiMixedTypes="0" containsString="0" containsNumber="1" containsInteger="1" minValue="0" maxValue="500091"/>
    </cacheField>
    <cacheField name="mpce" numFmtId="0">
      <sharedItems containsSemiMixedTypes="0" containsString="0" containsNumber="1" minValue="0" maxValue="6803.5703000000003" count="110">
        <n v="19.046530000000001"/>
        <n v="22.674440000000001"/>
        <n v="68.023319999999998"/>
        <n v="17.00583"/>
        <n v="13.604665000000001"/>
        <n v="21.767464"/>
        <n v="81.627989999999997"/>
        <n v="54.418660000000003"/>
        <n v="20.406998000000002"/>
        <n v="23.808163"/>
        <n v="45.348880000000001"/>
        <n v="27.209330000000001"/>
        <n v="34.011659999999999"/>
        <n v="102.03498999999999"/>
        <n v="6803.5703000000003"/>
        <n v="51.017493999999999"/>
        <n v="36.279105999999999"/>
        <n v="16.325597999999999"/>
        <n v="18.139552999999999"/>
        <n v="129.24431000000001"/>
        <n v="113.37220000000001"/>
        <n v="90.697760000000002"/>
        <n v="40.813994999999998"/>
        <n v="86.162880000000001"/>
        <n v="56.686100000000003"/>
        <n v="158.72110000000001"/>
        <n v="136.04665"/>
        <n v="85.029150000000001"/>
        <n v="24.941887000000001"/>
        <n v="95.232650000000007"/>
        <n v="79.360550000000003"/>
        <n v="48.976790000000001"/>
        <n v="38.093060000000001"/>
        <n v="43.534927000000003"/>
        <n v="32.651195999999999"/>
        <n v="35.372127999999996"/>
        <n v="30.610496999999999"/>
        <n v="31.744216999999999"/>
        <n v="44.215159999999997"/>
        <n v="47.616325000000003"/>
        <n v="46.255859999999998"/>
        <n v="57.819823999999997"/>
        <n v="61.220993"/>
        <n v="34.983420000000002"/>
        <n v="29.476773999999999"/>
        <n v="489.77062999999998"/>
        <n v="204.06997999999999"/>
        <n v="74.825649999999996"/>
        <n v="23.322282999999999"/>
        <n v="170.0583"/>
        <n v="10.883732"/>
        <n v="7.5581469999999999"/>
        <n v="22.107579999999999"/>
        <n v="58.305706000000001"/>
        <n v="99.76755"/>
        <n v="76.186120000000003"/>
        <n v="272.0933"/>
        <n v="119.04082"/>
        <n v="126.97687000000001"/>
        <n v="59.860523000000001"/>
        <n v="51.697727"/>
        <n v="122.441986"/>
        <n v="108.83732000000001"/>
        <n v="71.424490000000006"/>
        <n v="64.622153999999995"/>
        <n v="50.531612000000003"/>
        <n v="78.226820000000004"/>
        <n v="11.33722"/>
        <n v="88.430319999999995"/>
        <n v="83.895430000000005"/>
        <n v="58.95355"/>
        <n v="117.9071"/>
        <n v="37.412827"/>
        <n v="49.883774000000003"/>
        <n v="566.86099999999999"/>
        <n v="52.151215000000001"/>
        <n v="181.39552"/>
        <n v="38.870471999999999"/>
        <n v="59.520409999999998"/>
        <n v="19.435236"/>
        <n v="340.11660000000001"/>
        <n v="30.232588"/>
        <n v="0"/>
        <n v="77.093100000000007"/>
        <n v="408.13995"/>
        <n v="72.558210000000003"/>
        <n v="476.16327000000001"/>
        <n v="226.74440000000001"/>
        <n v="906.97760000000005"/>
        <n v="680.23320000000001"/>
        <n v="163.25597999999999"/>
        <n v="190.46530000000001"/>
        <n v="1360.4664"/>
        <n v="362.79104999999998"/>
        <n v="29.930261999999999"/>
        <n v="238.08162999999999"/>
        <n v="174.91711000000001"/>
        <n v="77.740943999999999"/>
        <n v="29.152853"/>
        <n v="221.07579999999999"/>
        <n v="884.30319999999995"/>
        <n v="317.44220000000001"/>
        <n v="48.588085"/>
        <n v="374.12830000000002"/>
        <n v="149.65129999999999"/>
        <n v="114.27918"/>
        <n v="217.67464000000001"/>
        <n v="31.096378000000001"/>
        <n v="25.265806000000001"/>
        <n v="306.10494999999997"/>
      </sharedItems>
    </cacheField>
    <cacheField name="mpce_inr" numFmtId="164">
      <sharedItems containsSemiMixedTypes="0" containsString="0" containsNumber="1" minValue="0" maxValue="605517.75670000003" count="110">
        <n v="1695.1411700000001"/>
        <n v="2018.0251600000001"/>
        <n v="6054.0754799999995"/>
        <n v="1513.5188699999999"/>
        <n v="1210.8151850000002"/>
        <n v="1937.304296"/>
        <n v="7264.8911099999996"/>
        <n v="4843.2607400000006"/>
        <n v="1816.2228220000002"/>
        <n v="2118.9265070000001"/>
        <n v="4036.0503200000003"/>
        <n v="2421.6303700000003"/>
        <n v="3027.0377399999998"/>
        <n v="9081.1141099999986"/>
        <n v="605517.75670000003"/>
        <n v="4540.5569660000001"/>
        <n v="3228.8404339999997"/>
        <n v="1452.978222"/>
        <n v="1614.4202169999999"/>
        <n v="11502.743590000002"/>
        <n v="10090.1258"/>
        <n v="8072.1006400000006"/>
        <n v="3632.4455549999998"/>
        <n v="7668.4963200000002"/>
        <n v="5045.0628999999999"/>
        <n v="14126.177900000001"/>
        <n v="12108.15185"/>
        <n v="7567.5943500000003"/>
        <n v="2219.8279430000002"/>
        <n v="8475.7058500000003"/>
        <n v="7063.0889500000003"/>
        <n v="4358.9343100000006"/>
        <n v="3390.2823400000002"/>
        <n v="3874.6085030000004"/>
        <n v="2905.9564439999999"/>
        <n v="3148.1193919999996"/>
        <n v="2724.334233"/>
        <n v="2825.2353130000001"/>
        <n v="3935.1492399999997"/>
        <n v="4237.8529250000001"/>
        <n v="4116.7715399999997"/>
        <n v="5145.964336"/>
        <n v="5448.668377"/>
        <n v="3113.5243800000003"/>
        <n v="2623.4328860000001"/>
        <n v="43589.586069999998"/>
        <n v="18162.228219999997"/>
        <n v="6659.4828499999994"/>
        <n v="2075.6831870000001"/>
        <n v="15135.188700000001"/>
        <n v="968.65214800000001"/>
        <n v="672.67508299999997"/>
        <n v="1967.5746199999999"/>
        <n v="5189.2078339999998"/>
        <n v="8879.3119499999993"/>
        <n v="6780.5646800000004"/>
        <n v="24216.3037"/>
        <n v="10594.63298"/>
        <n v="11300.941430000001"/>
        <n v="5327.5865469999999"/>
        <n v="4601.0977030000004"/>
        <n v="10897.336754"/>
        <n v="9686.5214800000012"/>
        <n v="6356.7796100000005"/>
        <n v="5751.3717059999999"/>
        <n v="4497.3134680000003"/>
        <n v="6962.1869800000004"/>
        <n v="1009.0125800000001"/>
        <n v="7870.2984799999995"/>
        <n v="7466.6932700000007"/>
        <n v="5246.8659500000003"/>
        <n v="10493.731900000001"/>
        <n v="3329.7416029999999"/>
        <n v="4439.6558860000005"/>
        <n v="50450.629000000001"/>
        <n v="4641.4581349999999"/>
        <n v="16144.201280000001"/>
        <n v="3459.4720079999997"/>
        <n v="5297.3164900000002"/>
        <n v="1729.7360039999999"/>
        <n v="30270.377400000001"/>
        <n v="2690.7003319999999"/>
        <n v="0"/>
        <n v="6861.2859000000008"/>
        <n v="36324.455549999999"/>
        <n v="6457.6806900000001"/>
        <n v="42378.531029999998"/>
        <n v="20180.2516"/>
        <n v="80721.006399999998"/>
        <n v="60540.754800000002"/>
        <n v="14529.782219999999"/>
        <n v="16951.411700000001"/>
        <n v="121081.5096"/>
        <n v="32288.403449999998"/>
        <n v="2663.793318"/>
        <n v="21189.265069999998"/>
        <n v="15567.622790000001"/>
        <n v="6918.9440159999995"/>
        <n v="2594.6039169999999"/>
        <n v="19675.746199999998"/>
        <n v="78702.984799999991"/>
        <n v="28252.355800000001"/>
        <n v="4324.3395650000002"/>
        <n v="33297.418700000002"/>
        <n v="13318.965699999999"/>
        <n v="10170.847019999999"/>
        <n v="19373.042960000002"/>
        <n v="2767.5776420000002"/>
        <n v="2248.6567340000001"/>
        <n v="27243.340549999997"/>
      </sharedItems>
    </cacheField>
    <cacheField name="rmpce" numFmtId="2">
      <sharedItems count="6">
        <s v="USD 25.00 or less"/>
        <s v="USD 60.01-80.00"/>
        <s v="USD 80.01-100.00"/>
        <s v="USD 40.01-60.00"/>
        <s v="USD 25.01-40.00"/>
        <s v="Above USD 100.00"/>
      </sharedItems>
    </cacheField>
    <cacheField name="rmpce_inr" numFmtId="165">
      <sharedItems containsSemiMixedTypes="0" containsString="0" containsNumber="1" containsInteger="1" minValue="2225" maxValue="9790" count="6">
        <n v="2225"/>
        <n v="6230"/>
        <n v="8010"/>
        <n v="4450"/>
        <n v="2848"/>
        <n v="9790"/>
      </sharedItems>
    </cacheField>
    <cacheField name="income_description" numFmtId="0">
      <sharedItems count="3">
        <s v="Low Income"/>
        <s v="Middle Income"/>
        <s v="High Incom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71">
  <r>
    <n v="1001"/>
    <x v="0"/>
    <s v="41-50 years"/>
    <n v="43"/>
    <x v="0"/>
    <x v="0"/>
    <x v="0"/>
    <s v="Normal"/>
    <n v="-0.41028870000000001"/>
    <x v="0"/>
    <x v="0"/>
    <n v="5.496318E-3"/>
    <n v="8"/>
    <s v="Normal"/>
    <n v="-0.33828637"/>
    <n v="8.6666670000000003"/>
    <n v="9"/>
    <x v="0"/>
    <n v="-0.24769290999999999"/>
    <x v="0"/>
    <x v="0"/>
    <x v="0"/>
    <n v="1400"/>
    <n v="1400"/>
    <x v="0"/>
    <x v="0"/>
    <x v="0"/>
    <x v="0"/>
    <x v="0"/>
  </r>
  <r>
    <n v="1002"/>
    <x v="0"/>
    <s v="41-50 years"/>
    <n v="50"/>
    <x v="1"/>
    <x v="1"/>
    <x v="1"/>
    <s v="Normal"/>
    <n v="-0.81237789999999999"/>
    <x v="1"/>
    <x v="1"/>
    <n v="-0.77314866000000004"/>
    <n v="2"/>
    <s v="Normal"/>
    <n v="-0.91619854999999994"/>
    <n v="2.6666666999999999"/>
    <n v="3"/>
    <x v="0"/>
    <n v="-0.83390839999999999"/>
    <x v="1"/>
    <x v="1"/>
    <x v="1"/>
    <n v="1666.6666"/>
    <n v="1667"/>
    <x v="1"/>
    <x v="1"/>
    <x v="0"/>
    <x v="0"/>
    <x v="0"/>
  </r>
  <r>
    <n v="1003"/>
    <x v="0"/>
    <s v="41-50 years"/>
    <n v="49"/>
    <x v="1"/>
    <x v="2"/>
    <x v="1"/>
    <s v="Normal"/>
    <n v="-0.81237789999999999"/>
    <x v="1"/>
    <x v="1"/>
    <n v="-0.77314866000000004"/>
    <n v="2"/>
    <s v="Normal"/>
    <n v="-0.91619854999999994"/>
    <n v="2.6666666999999999"/>
    <n v="3"/>
    <x v="0"/>
    <n v="-0.83390839999999999"/>
    <x v="1"/>
    <x v="1"/>
    <x v="1"/>
    <n v="5000"/>
    <n v="5000"/>
    <x v="2"/>
    <x v="2"/>
    <x v="1"/>
    <x v="1"/>
    <x v="1"/>
  </r>
  <r>
    <n v="1004"/>
    <x v="0"/>
    <s v="41-50 years"/>
    <n v="48"/>
    <x v="1"/>
    <x v="1"/>
    <x v="1"/>
    <s v="Normal"/>
    <n v="-0.81237789999999999"/>
    <x v="1"/>
    <x v="1"/>
    <n v="-0.77314866000000004"/>
    <n v="2"/>
    <s v="Normal"/>
    <n v="-0.91619854999999994"/>
    <n v="2.6666666999999999"/>
    <n v="3"/>
    <x v="0"/>
    <n v="-0.83390839999999999"/>
    <x v="1"/>
    <x v="1"/>
    <x v="1"/>
    <n v="1250"/>
    <n v="1250"/>
    <x v="3"/>
    <x v="3"/>
    <x v="0"/>
    <x v="0"/>
    <x v="0"/>
  </r>
  <r>
    <n v="1005"/>
    <x v="0"/>
    <s v="41-50 years"/>
    <n v="42"/>
    <x v="0"/>
    <x v="0"/>
    <x v="1"/>
    <s v="Normal"/>
    <n v="-0.81237789999999999"/>
    <x v="2"/>
    <x v="1"/>
    <n v="-0.9678099"/>
    <n v="2"/>
    <s v="Normal"/>
    <n v="-0.91619854999999994"/>
    <n v="2"/>
    <n v="2"/>
    <x v="0"/>
    <n v="-0.89879549999999997"/>
    <x v="2"/>
    <x v="1"/>
    <x v="1"/>
    <n v="1000"/>
    <n v="1000"/>
    <x v="4"/>
    <x v="4"/>
    <x v="0"/>
    <x v="0"/>
    <x v="0"/>
  </r>
  <r>
    <n v="1006"/>
    <x v="0"/>
    <s v="41-50 years"/>
    <n v="45"/>
    <x v="0"/>
    <x v="0"/>
    <x v="2"/>
    <s v="Normal"/>
    <n v="-0.20924408999999999"/>
    <x v="3"/>
    <x v="0"/>
    <n v="0.39481880000000003"/>
    <n v="20"/>
    <s v="Moderate"/>
    <n v="0.81753799999999999"/>
    <n v="14.666667"/>
    <n v="15"/>
    <x v="1"/>
    <n v="0.33437090000000003"/>
    <x v="3"/>
    <x v="0"/>
    <x v="0"/>
    <n v="1250"/>
    <n v="1250"/>
    <x v="3"/>
    <x v="3"/>
    <x v="0"/>
    <x v="0"/>
    <x v="0"/>
  </r>
  <r>
    <n v="1007"/>
    <x v="0"/>
    <s v="31-40 years"/>
    <n v="31"/>
    <x v="1"/>
    <x v="1"/>
    <x v="2"/>
    <s v="Normal"/>
    <n v="-0.20924408999999999"/>
    <x v="3"/>
    <x v="0"/>
    <n v="0.39481880000000003"/>
    <n v="20"/>
    <s v="Moderate"/>
    <n v="0.81753799999999999"/>
    <n v="14.666667"/>
    <n v="15"/>
    <x v="1"/>
    <n v="0.33437090000000003"/>
    <x v="3"/>
    <x v="0"/>
    <x v="0"/>
    <n v="1250"/>
    <n v="1250"/>
    <x v="3"/>
    <x v="3"/>
    <x v="0"/>
    <x v="0"/>
    <x v="0"/>
  </r>
  <r>
    <n v="1008"/>
    <x v="0"/>
    <s v="31-40 years"/>
    <n v="40"/>
    <x v="1"/>
    <x v="0"/>
    <x v="3"/>
    <s v="Normal"/>
    <n v="-8.1994660000000007E-3"/>
    <x v="4"/>
    <x v="0"/>
    <n v="0.20015757000000001"/>
    <n v="18"/>
    <s v="Moderate"/>
    <n v="0.62490060000000003"/>
    <n v="14"/>
    <n v="14"/>
    <x v="1"/>
    <n v="0.27228624000000001"/>
    <x v="4"/>
    <x v="0"/>
    <x v="0"/>
    <n v="1600"/>
    <n v="1600"/>
    <x v="5"/>
    <x v="5"/>
    <x v="0"/>
    <x v="0"/>
    <x v="0"/>
  </r>
  <r>
    <n v="1009"/>
    <x v="0"/>
    <s v="31-40 years"/>
    <n v="35"/>
    <x v="1"/>
    <x v="3"/>
    <x v="3"/>
    <s v="Normal"/>
    <n v="-8.1994660000000007E-3"/>
    <x v="4"/>
    <x v="0"/>
    <n v="0.20015757000000001"/>
    <n v="18"/>
    <s v="Moderate"/>
    <n v="0.62490060000000003"/>
    <n v="14"/>
    <n v="14"/>
    <x v="1"/>
    <n v="0.27228624000000001"/>
    <x v="4"/>
    <x v="0"/>
    <x v="0"/>
    <n v="1666.6666"/>
    <n v="1667"/>
    <x v="1"/>
    <x v="1"/>
    <x v="0"/>
    <x v="0"/>
    <x v="0"/>
  </r>
  <r>
    <n v="1010"/>
    <x v="0"/>
    <s v="31-40 years"/>
    <n v="40"/>
    <x v="1"/>
    <x v="3"/>
    <x v="3"/>
    <s v="Normal"/>
    <n v="-8.1994660000000007E-3"/>
    <x v="4"/>
    <x v="0"/>
    <n v="0.20015757000000001"/>
    <n v="16"/>
    <s v="Moderate"/>
    <n v="0.43226320000000001"/>
    <n v="13.333333"/>
    <n v="13"/>
    <x v="1"/>
    <n v="0.20807376999999999"/>
    <x v="5"/>
    <x v="0"/>
    <x v="0"/>
    <n v="6000"/>
    <n v="6000"/>
    <x v="6"/>
    <x v="6"/>
    <x v="2"/>
    <x v="2"/>
    <x v="2"/>
  </r>
  <r>
    <n v="1011"/>
    <x v="0"/>
    <s v="41-50 years"/>
    <n v="45"/>
    <x v="1"/>
    <x v="1"/>
    <x v="3"/>
    <s v="Normal"/>
    <n v="-8.1994660000000007E-3"/>
    <x v="3"/>
    <x v="0"/>
    <n v="0.39481880000000003"/>
    <n v="14"/>
    <s v="Moderate"/>
    <n v="0.23962580999999999"/>
    <n v="13.333333"/>
    <n v="13"/>
    <x v="1"/>
    <n v="0.20874839000000001"/>
    <x v="6"/>
    <x v="0"/>
    <x v="0"/>
    <n v="1400"/>
    <n v="1400"/>
    <x v="0"/>
    <x v="0"/>
    <x v="0"/>
    <x v="0"/>
    <x v="0"/>
  </r>
  <r>
    <n v="1012"/>
    <x v="0"/>
    <s v="31-40 years"/>
    <n v="34"/>
    <x v="1"/>
    <x v="1"/>
    <x v="3"/>
    <s v="Normal"/>
    <n v="-8.1994660000000007E-3"/>
    <x v="3"/>
    <x v="0"/>
    <n v="0.39481880000000003"/>
    <n v="14"/>
    <s v="Moderate"/>
    <n v="0.23962580999999999"/>
    <n v="13.333333"/>
    <n v="13"/>
    <x v="1"/>
    <n v="0.20874839000000001"/>
    <x v="6"/>
    <x v="0"/>
    <x v="0"/>
    <n v="1250"/>
    <n v="1250"/>
    <x v="3"/>
    <x v="3"/>
    <x v="0"/>
    <x v="0"/>
    <x v="0"/>
  </r>
  <r>
    <n v="1013"/>
    <x v="0"/>
    <s v="31-40 years"/>
    <n v="35"/>
    <x v="0"/>
    <x v="2"/>
    <x v="3"/>
    <s v="Normal"/>
    <n v="-8.1994660000000007E-3"/>
    <x v="5"/>
    <x v="1"/>
    <n v="-0.57848745999999995"/>
    <n v="0"/>
    <s v="Normal"/>
    <n v="-1.1088359000000001"/>
    <n v="5.3333335000000002"/>
    <n v="5"/>
    <x v="0"/>
    <n v="-0.56517430000000002"/>
    <x v="7"/>
    <x v="0"/>
    <x v="0"/>
    <n v="4000"/>
    <n v="4000"/>
    <x v="7"/>
    <x v="7"/>
    <x v="3"/>
    <x v="3"/>
    <x v="0"/>
  </r>
  <r>
    <n v="1014"/>
    <x v="0"/>
    <s v="41-50 years"/>
    <n v="46"/>
    <x v="1"/>
    <x v="1"/>
    <x v="0"/>
    <s v="Normal"/>
    <n v="-0.41028870000000001"/>
    <x v="3"/>
    <x v="0"/>
    <n v="0.39481880000000003"/>
    <n v="12"/>
    <s v="Moderate"/>
    <n v="4.6988415999999998E-2"/>
    <n v="11.333333"/>
    <n v="11"/>
    <x v="1"/>
    <n v="1.0506178999999999E-2"/>
    <x v="8"/>
    <x v="0"/>
    <x v="0"/>
    <n v="1500"/>
    <n v="1500"/>
    <x v="8"/>
    <x v="8"/>
    <x v="0"/>
    <x v="0"/>
    <x v="0"/>
  </r>
  <r>
    <n v="1015"/>
    <x v="0"/>
    <s v="41-50 years"/>
    <n v="45"/>
    <x v="0"/>
    <x v="0"/>
    <x v="2"/>
    <s v="Normal"/>
    <n v="-0.20924408999999999"/>
    <x v="4"/>
    <x v="0"/>
    <n v="0.20015757000000001"/>
    <n v="20"/>
    <s v="Moderate"/>
    <n v="0.81753799999999999"/>
    <n v="14"/>
    <n v="14"/>
    <x v="1"/>
    <n v="0.26948382999999998"/>
    <x v="9"/>
    <x v="0"/>
    <x v="0"/>
    <n v="5000"/>
    <n v="5000"/>
    <x v="2"/>
    <x v="2"/>
    <x v="1"/>
    <x v="1"/>
    <x v="1"/>
  </r>
  <r>
    <n v="1016"/>
    <x v="0"/>
    <s v="31-40 years"/>
    <n v="36"/>
    <x v="1"/>
    <x v="1"/>
    <x v="4"/>
    <s v="Normal"/>
    <n v="-0.61133329999999997"/>
    <x v="3"/>
    <x v="0"/>
    <n v="0.39481880000000003"/>
    <n v="12"/>
    <s v="Moderate"/>
    <n v="4.6988415999999998E-2"/>
    <n v="10.666667"/>
    <n v="11"/>
    <x v="1"/>
    <n v="-5.6508693999999998E-2"/>
    <x v="10"/>
    <x v="0"/>
    <x v="0"/>
    <n v="1250"/>
    <n v="1250"/>
    <x v="3"/>
    <x v="3"/>
    <x v="0"/>
    <x v="0"/>
    <x v="0"/>
  </r>
  <r>
    <n v="1017"/>
    <x v="0"/>
    <s v="31-40 years"/>
    <n v="37"/>
    <x v="0"/>
    <x v="2"/>
    <x v="2"/>
    <s v="Normal"/>
    <n v="-0.20924408999999999"/>
    <x v="3"/>
    <x v="0"/>
    <n v="0.39481880000000003"/>
    <n v="12"/>
    <s v="Moderate"/>
    <n v="4.6988415999999998E-2"/>
    <n v="12"/>
    <n v="12"/>
    <x v="1"/>
    <n v="7.7521049999999994E-2"/>
    <x v="11"/>
    <x v="0"/>
    <x v="0"/>
    <n v="1750"/>
    <n v="1750"/>
    <x v="9"/>
    <x v="9"/>
    <x v="0"/>
    <x v="0"/>
    <x v="0"/>
  </r>
  <r>
    <n v="1018"/>
    <x v="0"/>
    <s v="21-30 years"/>
    <n v="28"/>
    <x v="1"/>
    <x v="1"/>
    <x v="2"/>
    <s v="Normal"/>
    <n v="-0.20924408999999999"/>
    <x v="3"/>
    <x v="0"/>
    <n v="0.39481880000000003"/>
    <n v="10"/>
    <s v="Normal"/>
    <n v="-0.14564899000000001"/>
    <n v="11.333333"/>
    <n v="11"/>
    <x v="1"/>
    <n v="1.330858E-2"/>
    <x v="12"/>
    <x v="0"/>
    <x v="0"/>
    <n v="1400"/>
    <n v="1400"/>
    <x v="0"/>
    <x v="0"/>
    <x v="0"/>
    <x v="0"/>
    <x v="0"/>
  </r>
  <r>
    <n v="1019"/>
    <x v="0"/>
    <s v="21-30 years"/>
    <n v="28"/>
    <x v="1"/>
    <x v="1"/>
    <x v="4"/>
    <s v="Normal"/>
    <n v="-0.61133329999999997"/>
    <x v="3"/>
    <x v="0"/>
    <n v="0.39481880000000003"/>
    <n v="12"/>
    <s v="Moderate"/>
    <n v="4.6988415999999998E-2"/>
    <n v="10.666667"/>
    <n v="11"/>
    <x v="1"/>
    <n v="-5.6508693999999998E-2"/>
    <x v="10"/>
    <x v="0"/>
    <x v="0"/>
    <n v="1250"/>
    <n v="1250"/>
    <x v="3"/>
    <x v="3"/>
    <x v="0"/>
    <x v="0"/>
    <x v="0"/>
  </r>
  <r>
    <n v="1020"/>
    <x v="0"/>
    <s v="21-30 years"/>
    <n v="30"/>
    <x v="0"/>
    <x v="3"/>
    <x v="4"/>
    <s v="Normal"/>
    <n v="-0.61133329999999997"/>
    <x v="2"/>
    <x v="1"/>
    <n v="-0.9678099"/>
    <n v="2"/>
    <s v="Normal"/>
    <n v="-0.91619854999999994"/>
    <n v="2.6666666999999999"/>
    <n v="3"/>
    <x v="0"/>
    <n v="-0.83178059999999998"/>
    <x v="13"/>
    <x v="1"/>
    <x v="1"/>
    <n v="3333.3332999999998"/>
    <n v="3333"/>
    <x v="10"/>
    <x v="10"/>
    <x v="3"/>
    <x v="3"/>
    <x v="0"/>
  </r>
  <r>
    <n v="1021"/>
    <x v="0"/>
    <s v="41-50 years"/>
    <n v="48"/>
    <x v="0"/>
    <x v="3"/>
    <x v="0"/>
    <s v="Normal"/>
    <n v="-0.41028870000000001"/>
    <x v="5"/>
    <x v="1"/>
    <n v="-0.57848745999999995"/>
    <n v="2"/>
    <s v="Normal"/>
    <n v="-0.91619854999999994"/>
    <n v="4.6666664999999998"/>
    <n v="5"/>
    <x v="0"/>
    <n v="-0.63499159999999999"/>
    <x v="14"/>
    <x v="1"/>
    <x v="1"/>
    <n v="2000"/>
    <n v="2000"/>
    <x v="11"/>
    <x v="11"/>
    <x v="4"/>
    <x v="4"/>
    <x v="0"/>
  </r>
  <r>
    <n v="1022"/>
    <x v="0"/>
    <s v="31-40 years"/>
    <n v="40"/>
    <x v="0"/>
    <x v="3"/>
    <x v="3"/>
    <s v="Normal"/>
    <n v="-8.1994660000000007E-3"/>
    <x v="0"/>
    <x v="0"/>
    <n v="5.496318E-3"/>
    <n v="8"/>
    <s v="Normal"/>
    <n v="-0.33828637"/>
    <n v="10"/>
    <n v="10"/>
    <x v="0"/>
    <n v="-0.11366317400000001"/>
    <x v="15"/>
    <x v="0"/>
    <x v="0"/>
    <n v="2500"/>
    <n v="2500"/>
    <x v="12"/>
    <x v="12"/>
    <x v="4"/>
    <x v="4"/>
    <x v="0"/>
  </r>
  <r>
    <n v="1023"/>
    <x v="0"/>
    <s v="31-40 years"/>
    <n v="34"/>
    <x v="1"/>
    <x v="1"/>
    <x v="2"/>
    <s v="Normal"/>
    <n v="-0.20924408999999999"/>
    <x v="5"/>
    <x v="1"/>
    <n v="-0.57848745999999995"/>
    <n v="2"/>
    <s v="Normal"/>
    <n v="-0.91619854999999994"/>
    <n v="5.3333335000000002"/>
    <n v="5"/>
    <x v="0"/>
    <n v="-0.5679767"/>
    <x v="16"/>
    <x v="0"/>
    <x v="0"/>
    <n v="2500"/>
    <n v="2500"/>
    <x v="12"/>
    <x v="12"/>
    <x v="4"/>
    <x v="4"/>
    <x v="0"/>
  </r>
  <r>
    <n v="1024"/>
    <x v="0"/>
    <s v="31-40 years"/>
    <n v="31"/>
    <x v="1"/>
    <x v="1"/>
    <x v="1"/>
    <s v="Normal"/>
    <n v="-0.81237789999999999"/>
    <x v="2"/>
    <x v="1"/>
    <n v="-0.9678099"/>
    <n v="0"/>
    <s v="Normal"/>
    <n v="-1.1088359000000001"/>
    <n v="1.3333333999999999"/>
    <n v="1"/>
    <x v="0"/>
    <n v="-0.96300790000000003"/>
    <x v="17"/>
    <x v="1"/>
    <x v="1"/>
    <n v="7500"/>
    <n v="7500"/>
    <x v="13"/>
    <x v="13"/>
    <x v="5"/>
    <x v="5"/>
    <x v="2"/>
  </r>
  <r>
    <n v="1025"/>
    <x v="0"/>
    <s v="41-50 years"/>
    <n v="45"/>
    <x v="0"/>
    <x v="0"/>
    <x v="2"/>
    <s v="Normal"/>
    <n v="-0.20924408999999999"/>
    <x v="1"/>
    <x v="1"/>
    <n v="-0.77314866000000004"/>
    <n v="6"/>
    <s v="Normal"/>
    <n v="-0.53092379999999995"/>
    <n v="6"/>
    <n v="6"/>
    <x v="0"/>
    <n v="-0.50443879999999996"/>
    <x v="18"/>
    <x v="0"/>
    <x v="0"/>
    <n v="500091"/>
    <n v="500091"/>
    <x v="14"/>
    <x v="14"/>
    <x v="5"/>
    <x v="5"/>
    <x v="2"/>
  </r>
  <r>
    <n v="1026"/>
    <x v="0"/>
    <s v="31-40 years"/>
    <n v="39"/>
    <x v="1"/>
    <x v="1"/>
    <x v="1"/>
    <s v="Normal"/>
    <n v="-0.81237789999999999"/>
    <x v="5"/>
    <x v="1"/>
    <n v="-0.57848745999999995"/>
    <n v="4"/>
    <s v="Normal"/>
    <n v="-0.72356116999999998"/>
    <n v="4"/>
    <n v="4"/>
    <x v="0"/>
    <n v="-0.70480883000000005"/>
    <x v="19"/>
    <x v="1"/>
    <x v="1"/>
    <n v="5000"/>
    <n v="5000"/>
    <x v="2"/>
    <x v="2"/>
    <x v="1"/>
    <x v="1"/>
    <x v="1"/>
  </r>
  <r>
    <n v="1027"/>
    <x v="0"/>
    <s v="41-50 years"/>
    <n v="41"/>
    <x v="0"/>
    <x v="0"/>
    <x v="5"/>
    <s v="Moderate"/>
    <n v="0.39388975999999998"/>
    <x v="6"/>
    <x v="0"/>
    <n v="0.58948003999999998"/>
    <n v="14"/>
    <s v="Moderate"/>
    <n v="0.23962580999999999"/>
    <n v="15.333333"/>
    <n v="15"/>
    <x v="1"/>
    <n v="0.40766520000000001"/>
    <x v="20"/>
    <x v="2"/>
    <x v="2"/>
    <n v="4000"/>
    <n v="4000"/>
    <x v="7"/>
    <x v="7"/>
    <x v="3"/>
    <x v="3"/>
    <x v="0"/>
  </r>
  <r>
    <n v="1028"/>
    <x v="0"/>
    <s v="51-60 years"/>
    <n v="58"/>
    <x v="1"/>
    <x v="1"/>
    <x v="4"/>
    <s v="Normal"/>
    <n v="-0.61133329999999997"/>
    <x v="7"/>
    <x v="1"/>
    <n v="-0.38382620000000001"/>
    <n v="2"/>
    <s v="Normal"/>
    <n v="-0.91619854999999994"/>
    <n v="4.6666664999999998"/>
    <n v="5"/>
    <x v="0"/>
    <n v="-0.63711934999999997"/>
    <x v="21"/>
    <x v="1"/>
    <x v="1"/>
    <n v="1000"/>
    <n v="1000"/>
    <x v="4"/>
    <x v="4"/>
    <x v="0"/>
    <x v="0"/>
    <x v="0"/>
  </r>
  <r>
    <n v="1029"/>
    <x v="0"/>
    <s v="41-50 years"/>
    <n v="42"/>
    <x v="1"/>
    <x v="3"/>
    <x v="0"/>
    <s v="Normal"/>
    <n v="-0.41028870000000001"/>
    <x v="5"/>
    <x v="1"/>
    <n v="-0.57848745999999995"/>
    <n v="0"/>
    <s v="Normal"/>
    <n v="-1.1088359000000001"/>
    <n v="4"/>
    <n v="4"/>
    <x v="0"/>
    <n v="-0.69920400000000005"/>
    <x v="22"/>
    <x v="1"/>
    <x v="1"/>
    <n v="1500"/>
    <n v="1500"/>
    <x v="8"/>
    <x v="8"/>
    <x v="0"/>
    <x v="0"/>
    <x v="0"/>
  </r>
  <r>
    <n v="1030"/>
    <x v="0"/>
    <s v="31-40 years"/>
    <n v="40"/>
    <x v="0"/>
    <x v="3"/>
    <x v="4"/>
    <s v="Normal"/>
    <n v="-0.61133329999999997"/>
    <x v="8"/>
    <x v="1"/>
    <n v="-0.18916494"/>
    <n v="6"/>
    <s v="Normal"/>
    <n v="-0.53092379999999995"/>
    <n v="6.6666664999999998"/>
    <n v="7"/>
    <x v="0"/>
    <n v="-0.44380733"/>
    <x v="23"/>
    <x v="0"/>
    <x v="0"/>
    <n v="2000"/>
    <n v="2000"/>
    <x v="11"/>
    <x v="11"/>
    <x v="4"/>
    <x v="4"/>
    <x v="0"/>
  </r>
  <r>
    <n v="1031"/>
    <x v="0"/>
    <s v="41-50 years"/>
    <n v="42"/>
    <x v="0"/>
    <x v="0"/>
    <x v="3"/>
    <s v="Normal"/>
    <n v="-8.1994660000000007E-3"/>
    <x v="3"/>
    <x v="0"/>
    <n v="0.39481880000000003"/>
    <n v="12"/>
    <s v="Moderate"/>
    <n v="4.6988415999999998E-2"/>
    <n v="12.666667"/>
    <n v="13"/>
    <x v="1"/>
    <n v="0.14453590999999999"/>
    <x v="24"/>
    <x v="0"/>
    <x v="0"/>
    <n v="3750"/>
    <n v="3750"/>
    <x v="15"/>
    <x v="15"/>
    <x v="3"/>
    <x v="3"/>
    <x v="0"/>
  </r>
  <r>
    <n v="1032"/>
    <x v="0"/>
    <s v="31-40 years"/>
    <n v="32"/>
    <x v="0"/>
    <x v="0"/>
    <x v="6"/>
    <s v="Moderate"/>
    <n v="0.59493434000000001"/>
    <x v="9"/>
    <x v="2"/>
    <n v="0.97880255999999999"/>
    <n v="16"/>
    <s v="Moderate"/>
    <n v="0.43226320000000001"/>
    <n v="18"/>
    <n v="18"/>
    <x v="1"/>
    <n v="0.66866669999999995"/>
    <x v="25"/>
    <x v="2"/>
    <x v="2"/>
    <n v="2000"/>
    <n v="2000"/>
    <x v="11"/>
    <x v="11"/>
    <x v="4"/>
    <x v="4"/>
    <x v="0"/>
  </r>
  <r>
    <n v="1033"/>
    <x v="0"/>
    <s v="31-40 years"/>
    <n v="40"/>
    <x v="1"/>
    <x v="0"/>
    <x v="0"/>
    <s v="Normal"/>
    <n v="-0.41028870000000001"/>
    <x v="0"/>
    <x v="0"/>
    <n v="5.496318E-3"/>
    <n v="8"/>
    <s v="Normal"/>
    <n v="-0.33828637"/>
    <n v="8.6666670000000003"/>
    <n v="9"/>
    <x v="0"/>
    <n v="-0.24769290999999999"/>
    <x v="0"/>
    <x v="0"/>
    <x v="0"/>
    <n v="2500"/>
    <n v="2500"/>
    <x v="12"/>
    <x v="12"/>
    <x v="4"/>
    <x v="4"/>
    <x v="0"/>
  </r>
  <r>
    <n v="1034"/>
    <x v="0"/>
    <s v="41-50 years"/>
    <n v="46"/>
    <x v="0"/>
    <x v="0"/>
    <x v="6"/>
    <s v="Moderate"/>
    <n v="0.59493434000000001"/>
    <x v="0"/>
    <x v="0"/>
    <n v="5.496318E-3"/>
    <n v="12"/>
    <s v="Moderate"/>
    <n v="4.6988415999999998E-2"/>
    <n v="13.333333"/>
    <n v="13"/>
    <x v="1"/>
    <n v="0.21580637"/>
    <x v="26"/>
    <x v="0"/>
    <x v="0"/>
    <n v="3333.3332999999998"/>
    <n v="3333"/>
    <x v="10"/>
    <x v="10"/>
    <x v="3"/>
    <x v="3"/>
    <x v="0"/>
  </r>
  <r>
    <n v="1035"/>
    <x v="0"/>
    <s v="41-50 years"/>
    <n v="45"/>
    <x v="1"/>
    <x v="3"/>
    <x v="7"/>
    <s v="Moderate"/>
    <n v="0.19284514999999999"/>
    <x v="7"/>
    <x v="1"/>
    <n v="-0.38382620000000001"/>
    <n v="26"/>
    <s v="Severe"/>
    <n v="1.3954502"/>
    <n v="15.333333"/>
    <n v="15"/>
    <x v="1"/>
    <n v="0.40148972999999999"/>
    <x v="27"/>
    <x v="0"/>
    <x v="0"/>
    <n v="2666.6667000000002"/>
    <n v="2667"/>
    <x v="16"/>
    <x v="16"/>
    <x v="4"/>
    <x v="4"/>
    <x v="0"/>
  </r>
  <r>
    <n v="1036"/>
    <x v="0"/>
    <s v="41-50 years"/>
    <n v="43"/>
    <x v="0"/>
    <x v="0"/>
    <x v="2"/>
    <s v="Normal"/>
    <n v="-0.20924408999999999"/>
    <x v="7"/>
    <x v="1"/>
    <n v="-0.38382620000000001"/>
    <n v="10"/>
    <s v="Normal"/>
    <n v="-0.14564899000000001"/>
    <n v="8.6666670000000003"/>
    <n v="9"/>
    <x v="0"/>
    <n v="-0.24623975000000001"/>
    <x v="28"/>
    <x v="0"/>
    <x v="0"/>
    <n v="3333.3332999999998"/>
    <n v="3333"/>
    <x v="10"/>
    <x v="10"/>
    <x v="3"/>
    <x v="3"/>
    <x v="0"/>
  </r>
  <r>
    <n v="1037"/>
    <x v="0"/>
    <s v="21-30 years"/>
    <n v="28"/>
    <x v="1"/>
    <x v="1"/>
    <x v="2"/>
    <s v="Normal"/>
    <n v="-0.20924408999999999"/>
    <x v="0"/>
    <x v="0"/>
    <n v="5.496318E-3"/>
    <n v="12"/>
    <s v="Moderate"/>
    <n v="4.6988415999999998E-2"/>
    <n v="10.666667"/>
    <n v="11"/>
    <x v="1"/>
    <n v="-5.225312E-2"/>
    <x v="29"/>
    <x v="0"/>
    <x v="0"/>
    <n v="2000"/>
    <n v="2000"/>
    <x v="11"/>
    <x v="11"/>
    <x v="4"/>
    <x v="4"/>
    <x v="0"/>
  </r>
  <r>
    <n v="1038"/>
    <x v="0"/>
    <s v="41-50 years"/>
    <n v="46"/>
    <x v="1"/>
    <x v="0"/>
    <x v="7"/>
    <s v="Moderate"/>
    <n v="0.19284514999999999"/>
    <x v="8"/>
    <x v="1"/>
    <n v="-0.18916494"/>
    <n v="16"/>
    <s v="Moderate"/>
    <n v="0.43226320000000001"/>
    <n v="12.666667"/>
    <n v="13"/>
    <x v="1"/>
    <n v="0.14531447"/>
    <x v="30"/>
    <x v="0"/>
    <x v="0"/>
    <n v="1750"/>
    <n v="1750"/>
    <x v="9"/>
    <x v="9"/>
    <x v="0"/>
    <x v="0"/>
    <x v="0"/>
  </r>
  <r>
    <n v="1039"/>
    <x v="0"/>
    <s v="41-50 years"/>
    <n v="47"/>
    <x v="1"/>
    <x v="1"/>
    <x v="3"/>
    <s v="Normal"/>
    <n v="-8.1994660000000007E-3"/>
    <x v="4"/>
    <x v="0"/>
    <n v="0.20015757000000001"/>
    <n v="14"/>
    <s v="Moderate"/>
    <n v="0.23962580999999999"/>
    <n v="12.666667"/>
    <n v="13"/>
    <x v="1"/>
    <n v="0.14386130999999999"/>
    <x v="31"/>
    <x v="0"/>
    <x v="0"/>
    <n v="1000"/>
    <n v="1000"/>
    <x v="4"/>
    <x v="4"/>
    <x v="0"/>
    <x v="0"/>
    <x v="0"/>
  </r>
  <r>
    <n v="1040"/>
    <x v="0"/>
    <s v="41-50 years"/>
    <n v="41"/>
    <x v="0"/>
    <x v="3"/>
    <x v="0"/>
    <s v="Normal"/>
    <n v="-0.41028870000000001"/>
    <x v="7"/>
    <x v="1"/>
    <n v="-0.38382620000000001"/>
    <n v="8"/>
    <s v="Normal"/>
    <n v="-0.33828637"/>
    <n v="7.3333335000000002"/>
    <n v="7"/>
    <x v="0"/>
    <n v="-0.3774671"/>
    <x v="32"/>
    <x v="0"/>
    <x v="0"/>
    <n v="3333.3332999999998"/>
    <n v="3333"/>
    <x v="10"/>
    <x v="10"/>
    <x v="3"/>
    <x v="3"/>
    <x v="0"/>
  </r>
  <r>
    <n v="1041"/>
    <x v="0"/>
    <s v="31-40 years"/>
    <n v="33"/>
    <x v="1"/>
    <x v="0"/>
    <x v="5"/>
    <s v="Moderate"/>
    <n v="0.39388975999999998"/>
    <x v="3"/>
    <x v="0"/>
    <n v="0.39481880000000003"/>
    <n v="10"/>
    <s v="Normal"/>
    <n v="-0.14564899000000001"/>
    <n v="13.333333"/>
    <n v="13"/>
    <x v="1"/>
    <n v="0.21435319"/>
    <x v="33"/>
    <x v="0"/>
    <x v="0"/>
    <n v="1600"/>
    <n v="1600"/>
    <x v="5"/>
    <x v="5"/>
    <x v="0"/>
    <x v="0"/>
    <x v="0"/>
  </r>
  <r>
    <n v="1042"/>
    <x v="0"/>
    <s v="21-30 years"/>
    <n v="29"/>
    <x v="1"/>
    <x v="3"/>
    <x v="0"/>
    <s v="Normal"/>
    <n v="-0.41028870000000001"/>
    <x v="1"/>
    <x v="1"/>
    <n v="-0.77314866000000004"/>
    <n v="4"/>
    <s v="Normal"/>
    <n v="-0.72356116999999998"/>
    <n v="4.6666664999999998"/>
    <n v="5"/>
    <x v="0"/>
    <n v="-0.63566619999999996"/>
    <x v="34"/>
    <x v="1"/>
    <x v="1"/>
    <n v="1500"/>
    <n v="1500"/>
    <x v="8"/>
    <x v="8"/>
    <x v="0"/>
    <x v="0"/>
    <x v="0"/>
  </r>
  <r>
    <n v="1043"/>
    <x v="0"/>
    <s v="41-50 years"/>
    <n v="42"/>
    <x v="1"/>
    <x v="0"/>
    <x v="3"/>
    <s v="Normal"/>
    <n v="-8.1994660000000007E-3"/>
    <x v="8"/>
    <x v="1"/>
    <n v="-0.18916494"/>
    <n v="6"/>
    <s v="Normal"/>
    <n v="-0.53092379999999995"/>
    <n v="8.6666670000000003"/>
    <n v="9"/>
    <x v="0"/>
    <n v="-0.24276273000000001"/>
    <x v="35"/>
    <x v="0"/>
    <x v="0"/>
    <n v="1666.6666"/>
    <n v="1667"/>
    <x v="1"/>
    <x v="1"/>
    <x v="0"/>
    <x v="0"/>
    <x v="0"/>
  </r>
  <r>
    <n v="1044"/>
    <x v="0"/>
    <s v="41-50 years"/>
    <n v="46"/>
    <x v="0"/>
    <x v="0"/>
    <x v="6"/>
    <s v="Moderate"/>
    <n v="0.59493434000000001"/>
    <x v="4"/>
    <x v="0"/>
    <n v="0.20015757000000001"/>
    <n v="16"/>
    <s v="Moderate"/>
    <n v="0.43226320000000001"/>
    <n v="15.333333"/>
    <n v="15"/>
    <x v="1"/>
    <n v="0.40911835000000002"/>
    <x v="36"/>
    <x v="2"/>
    <x v="2"/>
    <n v="1200"/>
    <n v="1200"/>
    <x v="17"/>
    <x v="17"/>
    <x v="0"/>
    <x v="0"/>
    <x v="0"/>
  </r>
  <r>
    <n v="1045"/>
    <x v="0"/>
    <s v="41-50 years"/>
    <n v="45"/>
    <x v="0"/>
    <x v="0"/>
    <x v="3"/>
    <s v="Normal"/>
    <n v="-8.1994660000000007E-3"/>
    <x v="8"/>
    <x v="1"/>
    <n v="-0.18916494"/>
    <n v="18"/>
    <s v="Moderate"/>
    <n v="0.62490060000000003"/>
    <n v="12.666667"/>
    <n v="13"/>
    <x v="1"/>
    <n v="0.14251205"/>
    <x v="37"/>
    <x v="0"/>
    <x v="0"/>
    <n v="5000"/>
    <n v="5000"/>
    <x v="2"/>
    <x v="2"/>
    <x v="1"/>
    <x v="1"/>
    <x v="1"/>
  </r>
  <r>
    <n v="1046"/>
    <x v="0"/>
    <s v="31-40 years"/>
    <n v="33"/>
    <x v="1"/>
    <x v="3"/>
    <x v="0"/>
    <s v="Normal"/>
    <n v="-0.41028870000000001"/>
    <x v="6"/>
    <x v="0"/>
    <n v="0.58948003999999998"/>
    <n v="12"/>
    <s v="Moderate"/>
    <n v="4.6988415999999998E-2"/>
    <n v="12"/>
    <n v="12"/>
    <x v="1"/>
    <n v="7.5393260000000004E-2"/>
    <x v="38"/>
    <x v="0"/>
    <x v="0"/>
    <n v="1250"/>
    <n v="1250"/>
    <x v="3"/>
    <x v="3"/>
    <x v="0"/>
    <x v="0"/>
    <x v="0"/>
  </r>
  <r>
    <n v="1047"/>
    <x v="0"/>
    <s v="31-40 years"/>
    <n v="33"/>
    <x v="1"/>
    <x v="1"/>
    <x v="4"/>
    <s v="Normal"/>
    <n v="-0.61133329999999997"/>
    <x v="1"/>
    <x v="1"/>
    <n v="-0.77314866000000004"/>
    <n v="4"/>
    <s v="Normal"/>
    <n v="-0.72356116999999998"/>
    <n v="4"/>
    <n v="4"/>
    <x v="0"/>
    <n v="-0.70268105999999997"/>
    <x v="39"/>
    <x v="1"/>
    <x v="1"/>
    <n v="1666.6666"/>
    <n v="1667"/>
    <x v="1"/>
    <x v="1"/>
    <x v="0"/>
    <x v="0"/>
    <x v="0"/>
  </r>
  <r>
    <n v="1048"/>
    <x v="0"/>
    <s v="21-30 years"/>
    <n v="28"/>
    <x v="1"/>
    <x v="0"/>
    <x v="4"/>
    <s v="Normal"/>
    <n v="-0.61133329999999997"/>
    <x v="7"/>
    <x v="1"/>
    <n v="-0.38382620000000001"/>
    <n v="0"/>
    <s v="Normal"/>
    <n v="-1.1088359000000001"/>
    <n v="4"/>
    <n v="4"/>
    <x v="0"/>
    <n v="-0.70133179999999995"/>
    <x v="40"/>
    <x v="1"/>
    <x v="1"/>
    <n v="1750"/>
    <n v="1750"/>
    <x v="9"/>
    <x v="9"/>
    <x v="0"/>
    <x v="0"/>
    <x v="0"/>
  </r>
  <r>
    <n v="1049"/>
    <x v="0"/>
    <s v="41-50 years"/>
    <n v="50"/>
    <x v="1"/>
    <x v="1"/>
    <x v="1"/>
    <s v="Normal"/>
    <n v="-0.81237789999999999"/>
    <x v="7"/>
    <x v="1"/>
    <n v="-0.38382620000000001"/>
    <n v="0"/>
    <s v="Normal"/>
    <n v="-1.1088359000000001"/>
    <n v="3.3333333000000001"/>
    <n v="3"/>
    <x v="0"/>
    <n v="-0.76834667000000001"/>
    <x v="41"/>
    <x v="1"/>
    <x v="1"/>
    <n v="1500"/>
    <n v="1500"/>
    <x v="8"/>
    <x v="8"/>
    <x v="0"/>
    <x v="0"/>
    <x v="0"/>
  </r>
  <r>
    <n v="1050"/>
    <x v="0"/>
    <s v="31-40 years"/>
    <n v="35"/>
    <x v="1"/>
    <x v="0"/>
    <x v="2"/>
    <s v="Normal"/>
    <n v="-0.20924408999999999"/>
    <x v="1"/>
    <x v="1"/>
    <n v="-0.77314866000000004"/>
    <n v="4"/>
    <s v="Normal"/>
    <n v="-0.72356116999999998"/>
    <n v="5.3333335000000002"/>
    <n v="5"/>
    <x v="0"/>
    <n v="-0.56865129999999997"/>
    <x v="42"/>
    <x v="0"/>
    <x v="0"/>
    <n v="1500"/>
    <n v="1500"/>
    <x v="8"/>
    <x v="8"/>
    <x v="0"/>
    <x v="0"/>
    <x v="0"/>
  </r>
  <r>
    <n v="1051"/>
    <x v="0"/>
    <s v="31-40 years"/>
    <n v="31"/>
    <x v="1"/>
    <x v="3"/>
    <x v="0"/>
    <s v="Normal"/>
    <n v="-0.41028870000000001"/>
    <x v="8"/>
    <x v="1"/>
    <n v="-0.18916494"/>
    <n v="0"/>
    <s v="Normal"/>
    <n v="-1.1088359000000001"/>
    <n v="5.3333335000000002"/>
    <n v="5"/>
    <x v="0"/>
    <n v="-0.56942990000000004"/>
    <x v="43"/>
    <x v="0"/>
    <x v="0"/>
    <n v="1500"/>
    <n v="1500"/>
    <x v="8"/>
    <x v="8"/>
    <x v="0"/>
    <x v="0"/>
    <x v="0"/>
  </r>
  <r>
    <n v="1052"/>
    <x v="0"/>
    <s v="21-30 years"/>
    <n v="29"/>
    <x v="1"/>
    <x v="1"/>
    <x v="4"/>
    <s v="Normal"/>
    <n v="-0.61133329999999997"/>
    <x v="1"/>
    <x v="1"/>
    <n v="-0.77314866000000004"/>
    <n v="0"/>
    <s v="Normal"/>
    <n v="-1.1088359000000001"/>
    <n v="2.6666666999999999"/>
    <n v="3"/>
    <x v="0"/>
    <n v="-0.83110594999999998"/>
    <x v="44"/>
    <x v="1"/>
    <x v="1"/>
    <n v="1500"/>
    <n v="1500"/>
    <x v="8"/>
    <x v="8"/>
    <x v="0"/>
    <x v="0"/>
    <x v="0"/>
  </r>
  <r>
    <n v="1053"/>
    <x v="0"/>
    <s v="21-30 years"/>
    <n v="28"/>
    <x v="1"/>
    <x v="1"/>
    <x v="4"/>
    <s v="Normal"/>
    <n v="-0.61133329999999997"/>
    <x v="5"/>
    <x v="1"/>
    <n v="-0.57848745999999995"/>
    <n v="0"/>
    <s v="Normal"/>
    <n v="-1.1088359000000001"/>
    <n v="3.3333333000000001"/>
    <n v="3"/>
    <x v="0"/>
    <n v="-0.76621890000000004"/>
    <x v="45"/>
    <x v="1"/>
    <x v="1"/>
    <n v="1500"/>
    <n v="1500"/>
    <x v="8"/>
    <x v="8"/>
    <x v="0"/>
    <x v="0"/>
    <x v="0"/>
  </r>
  <r>
    <n v="1054"/>
    <x v="0"/>
    <s v="51-60 years"/>
    <n v="53"/>
    <x v="1"/>
    <x v="1"/>
    <x v="1"/>
    <s v="Normal"/>
    <n v="-0.81237789999999999"/>
    <x v="5"/>
    <x v="1"/>
    <n v="-0.57848745999999995"/>
    <n v="2"/>
    <s v="Normal"/>
    <n v="-0.91619854999999994"/>
    <n v="3.3333333000000001"/>
    <n v="3"/>
    <x v="0"/>
    <n v="-0.76902132999999995"/>
    <x v="46"/>
    <x v="1"/>
    <x v="1"/>
    <n v="2000"/>
    <n v="2000"/>
    <x v="11"/>
    <x v="11"/>
    <x v="4"/>
    <x v="4"/>
    <x v="0"/>
  </r>
  <r>
    <n v="1055"/>
    <x v="0"/>
    <s v="31-40 years"/>
    <n v="37"/>
    <x v="1"/>
    <x v="1"/>
    <x v="0"/>
    <s v="Normal"/>
    <n v="-0.41028870000000001"/>
    <x v="1"/>
    <x v="1"/>
    <n v="-0.77314866000000004"/>
    <n v="4"/>
    <s v="Normal"/>
    <n v="-0.72356116999999998"/>
    <n v="4.6666664999999998"/>
    <n v="5"/>
    <x v="0"/>
    <n v="-0.63566619999999996"/>
    <x v="34"/>
    <x v="1"/>
    <x v="1"/>
    <n v="1666.6666"/>
    <n v="1667"/>
    <x v="1"/>
    <x v="1"/>
    <x v="0"/>
    <x v="0"/>
    <x v="0"/>
  </r>
  <r>
    <n v="1056"/>
    <x v="0"/>
    <s v="31-40 years"/>
    <n v="38"/>
    <x v="0"/>
    <x v="0"/>
    <x v="3"/>
    <s v="Normal"/>
    <n v="-8.1994660000000007E-3"/>
    <x v="5"/>
    <x v="1"/>
    <n v="-0.57848745999999995"/>
    <n v="6"/>
    <s v="Normal"/>
    <n v="-0.53092379999999995"/>
    <n v="7.3333335000000002"/>
    <n v="7"/>
    <x v="0"/>
    <n v="-0.3725369"/>
    <x v="47"/>
    <x v="0"/>
    <x v="0"/>
    <n v="1333.3334"/>
    <n v="1333"/>
    <x v="18"/>
    <x v="18"/>
    <x v="0"/>
    <x v="0"/>
    <x v="0"/>
  </r>
  <r>
    <n v="1057"/>
    <x v="0"/>
    <s v="31-40 years"/>
    <n v="35"/>
    <x v="1"/>
    <x v="1"/>
    <x v="0"/>
    <s v="Normal"/>
    <n v="-0.41028870000000001"/>
    <x v="1"/>
    <x v="1"/>
    <n v="-0.77314866000000004"/>
    <n v="4"/>
    <s v="Normal"/>
    <n v="-0.72356116999999998"/>
    <n v="4.6666664999999998"/>
    <n v="5"/>
    <x v="0"/>
    <n v="-0.63566619999999996"/>
    <x v="34"/>
    <x v="1"/>
    <x v="1"/>
    <n v="5000"/>
    <n v="5000"/>
    <x v="2"/>
    <x v="2"/>
    <x v="1"/>
    <x v="1"/>
    <x v="1"/>
  </r>
  <r>
    <n v="1058"/>
    <x v="0"/>
    <s v="31-40 years"/>
    <n v="40"/>
    <x v="1"/>
    <x v="1"/>
    <x v="0"/>
    <s v="Normal"/>
    <n v="-0.41028870000000001"/>
    <x v="1"/>
    <x v="1"/>
    <n v="-0.77314866000000004"/>
    <n v="0"/>
    <s v="Normal"/>
    <n v="-1.1088359000000001"/>
    <n v="3.3333333000000001"/>
    <n v="3"/>
    <x v="0"/>
    <n v="-0.76409110000000002"/>
    <x v="48"/>
    <x v="1"/>
    <x v="1"/>
    <n v="9500"/>
    <n v="9500"/>
    <x v="19"/>
    <x v="19"/>
    <x v="5"/>
    <x v="5"/>
    <x v="2"/>
  </r>
  <r>
    <n v="1059"/>
    <x v="0"/>
    <s v="21-30 years"/>
    <n v="30"/>
    <x v="1"/>
    <x v="3"/>
    <x v="4"/>
    <s v="Normal"/>
    <n v="-0.61133329999999997"/>
    <x v="7"/>
    <x v="1"/>
    <n v="-0.38382620000000001"/>
    <n v="4"/>
    <s v="Normal"/>
    <n v="-0.72356116999999998"/>
    <n v="5.3333335000000002"/>
    <n v="5"/>
    <x v="0"/>
    <n v="-0.5729069"/>
    <x v="49"/>
    <x v="0"/>
    <x v="0"/>
    <n v="8333.3330000000005"/>
    <n v="8333"/>
    <x v="20"/>
    <x v="20"/>
    <x v="5"/>
    <x v="5"/>
    <x v="2"/>
  </r>
  <r>
    <n v="1060"/>
    <x v="0"/>
    <s v="21-30 years"/>
    <n v="28"/>
    <x v="1"/>
    <x v="1"/>
    <x v="4"/>
    <s v="Normal"/>
    <n v="-0.61133329999999997"/>
    <x v="5"/>
    <x v="1"/>
    <n v="-0.57848745999999995"/>
    <n v="0"/>
    <s v="Normal"/>
    <n v="-1.1088359000000001"/>
    <n v="3.3333333000000001"/>
    <n v="3"/>
    <x v="0"/>
    <n v="-0.76621890000000004"/>
    <x v="45"/>
    <x v="1"/>
    <x v="1"/>
    <n v="5000"/>
    <n v="5000"/>
    <x v="2"/>
    <x v="2"/>
    <x v="1"/>
    <x v="1"/>
    <x v="1"/>
  </r>
  <r>
    <n v="1061"/>
    <x v="0"/>
    <s v="21-30 years"/>
    <n v="29"/>
    <x v="1"/>
    <x v="3"/>
    <x v="2"/>
    <s v="Normal"/>
    <n v="-0.20924408999999999"/>
    <x v="5"/>
    <x v="1"/>
    <n v="-0.57848745999999995"/>
    <n v="6"/>
    <s v="Normal"/>
    <n v="-0.53092379999999995"/>
    <n v="6.6666664999999998"/>
    <n v="7"/>
    <x v="0"/>
    <n v="-0.43955177000000001"/>
    <x v="50"/>
    <x v="0"/>
    <x v="0"/>
    <n v="8333.3330000000005"/>
    <n v="8333"/>
    <x v="20"/>
    <x v="20"/>
    <x v="5"/>
    <x v="5"/>
    <x v="2"/>
  </r>
  <r>
    <n v="1062"/>
    <x v="0"/>
    <s v="21-30 years"/>
    <n v="28"/>
    <x v="1"/>
    <x v="1"/>
    <x v="2"/>
    <s v="Normal"/>
    <n v="-0.20924408999999999"/>
    <x v="2"/>
    <x v="1"/>
    <n v="-0.9678099"/>
    <n v="0"/>
    <s v="Normal"/>
    <n v="-1.1088359000000001"/>
    <n v="3.3333333000000001"/>
    <n v="3"/>
    <x v="0"/>
    <n v="-0.76196330000000001"/>
    <x v="51"/>
    <x v="1"/>
    <x v="1"/>
    <n v="2500"/>
    <n v="2500"/>
    <x v="12"/>
    <x v="12"/>
    <x v="4"/>
    <x v="4"/>
    <x v="0"/>
  </r>
  <r>
    <n v="1063"/>
    <x v="0"/>
    <s v="31-40 years"/>
    <n v="32"/>
    <x v="1"/>
    <x v="1"/>
    <x v="1"/>
    <s v="Normal"/>
    <n v="-0.81237789999999999"/>
    <x v="1"/>
    <x v="1"/>
    <n v="-0.77314866000000004"/>
    <n v="4"/>
    <s v="Normal"/>
    <n v="-0.72356116999999998"/>
    <n v="3.3333333000000001"/>
    <n v="3"/>
    <x v="0"/>
    <n v="-0.76969593999999997"/>
    <x v="52"/>
    <x v="1"/>
    <x v="1"/>
    <n v="4000"/>
    <n v="4000"/>
    <x v="7"/>
    <x v="7"/>
    <x v="3"/>
    <x v="3"/>
    <x v="0"/>
  </r>
  <r>
    <n v="1064"/>
    <x v="0"/>
    <s v="31-40 years"/>
    <n v="35"/>
    <x v="1"/>
    <x v="1"/>
    <x v="2"/>
    <s v="Normal"/>
    <n v="-0.20924408999999999"/>
    <x v="1"/>
    <x v="1"/>
    <n v="-0.77314866000000004"/>
    <n v="2"/>
    <s v="Normal"/>
    <n v="-0.91619854999999994"/>
    <n v="4.6666664999999998"/>
    <n v="5"/>
    <x v="0"/>
    <n v="-0.63286376"/>
    <x v="53"/>
    <x v="1"/>
    <x v="1"/>
    <n v="3750"/>
    <n v="3750"/>
    <x v="15"/>
    <x v="15"/>
    <x v="3"/>
    <x v="3"/>
    <x v="0"/>
  </r>
  <r>
    <n v="1065"/>
    <x v="0"/>
    <s v="21-30 years"/>
    <n v="27"/>
    <x v="1"/>
    <x v="1"/>
    <x v="2"/>
    <s v="Normal"/>
    <n v="-0.20924408999999999"/>
    <x v="2"/>
    <x v="1"/>
    <n v="-0.9678099"/>
    <n v="4"/>
    <s v="Normal"/>
    <n v="-0.72356116999999998"/>
    <n v="4.6666664999999998"/>
    <n v="5"/>
    <x v="0"/>
    <n v="-0.63353837000000002"/>
    <x v="54"/>
    <x v="1"/>
    <x v="1"/>
    <n v="6666.6665000000003"/>
    <n v="6667"/>
    <x v="21"/>
    <x v="21"/>
    <x v="2"/>
    <x v="2"/>
    <x v="2"/>
  </r>
  <r>
    <n v="1066"/>
    <x v="0"/>
    <s v="41-50 years"/>
    <n v="45"/>
    <x v="1"/>
    <x v="1"/>
    <x v="3"/>
    <s v="Normal"/>
    <n v="-8.1994660000000007E-3"/>
    <x v="1"/>
    <x v="1"/>
    <n v="-0.77314866000000004"/>
    <n v="0"/>
    <s v="Normal"/>
    <n v="-1.1088359000000001"/>
    <n v="4.6666664999999998"/>
    <n v="5"/>
    <x v="0"/>
    <n v="-0.63006130000000005"/>
    <x v="55"/>
    <x v="1"/>
    <x v="1"/>
    <n v="5000"/>
    <n v="5000"/>
    <x v="2"/>
    <x v="2"/>
    <x v="1"/>
    <x v="1"/>
    <x v="1"/>
  </r>
  <r>
    <n v="1067"/>
    <x v="0"/>
    <s v="31-40 years"/>
    <n v="35"/>
    <x v="1"/>
    <x v="3"/>
    <x v="3"/>
    <s v="Normal"/>
    <n v="-8.1994660000000007E-3"/>
    <x v="1"/>
    <x v="1"/>
    <n v="-0.77314866000000004"/>
    <n v="0"/>
    <s v="Normal"/>
    <n v="-1.1088359000000001"/>
    <n v="4.6666664999999998"/>
    <n v="5"/>
    <x v="0"/>
    <n v="-0.63006130000000005"/>
    <x v="55"/>
    <x v="1"/>
    <x v="1"/>
    <n v="7500"/>
    <n v="7500"/>
    <x v="13"/>
    <x v="13"/>
    <x v="5"/>
    <x v="5"/>
    <x v="2"/>
  </r>
  <r>
    <n v="1068"/>
    <x v="0"/>
    <s v="41-50 years"/>
    <n v="48"/>
    <x v="0"/>
    <x v="3"/>
    <x v="0"/>
    <s v="Normal"/>
    <n v="-0.41028870000000001"/>
    <x v="1"/>
    <x v="1"/>
    <n v="-0.77314866000000004"/>
    <n v="2"/>
    <s v="Normal"/>
    <n v="-0.91619854999999994"/>
    <n v="4"/>
    <n v="4"/>
    <x v="0"/>
    <n v="-0.69987862999999995"/>
    <x v="56"/>
    <x v="1"/>
    <x v="1"/>
    <n v="3000"/>
    <n v="3000"/>
    <x v="22"/>
    <x v="22"/>
    <x v="3"/>
    <x v="3"/>
    <x v="0"/>
  </r>
  <r>
    <n v="1069"/>
    <x v="0"/>
    <s v="21-30 years"/>
    <n v="27"/>
    <x v="1"/>
    <x v="3"/>
    <x v="1"/>
    <s v="Normal"/>
    <n v="-0.81237789999999999"/>
    <x v="2"/>
    <x v="1"/>
    <n v="-0.9678099"/>
    <n v="6"/>
    <s v="Normal"/>
    <n v="-0.53092379999999995"/>
    <n v="3.3333333000000001"/>
    <n v="3"/>
    <x v="0"/>
    <n v="-0.77037054000000005"/>
    <x v="57"/>
    <x v="1"/>
    <x v="1"/>
    <n v="6333.3334999999997"/>
    <n v="6333"/>
    <x v="23"/>
    <x v="23"/>
    <x v="2"/>
    <x v="2"/>
    <x v="2"/>
  </r>
  <r>
    <n v="1070"/>
    <x v="0"/>
    <s v="31-40 years"/>
    <n v="40"/>
    <x v="1"/>
    <x v="0"/>
    <x v="4"/>
    <s v="Normal"/>
    <n v="-0.61133329999999997"/>
    <x v="2"/>
    <x v="1"/>
    <n v="-0.9678099"/>
    <n v="4"/>
    <s v="Normal"/>
    <n v="-0.72356116999999998"/>
    <n v="3.3333333000000001"/>
    <n v="3"/>
    <x v="0"/>
    <n v="-0.76756809999999998"/>
    <x v="58"/>
    <x v="1"/>
    <x v="1"/>
    <n v="3333.3332999999998"/>
    <n v="3333"/>
    <x v="10"/>
    <x v="10"/>
    <x v="3"/>
    <x v="3"/>
    <x v="0"/>
  </r>
  <r>
    <n v="1071"/>
    <x v="0"/>
    <s v="21-30 years"/>
    <n v="28"/>
    <x v="1"/>
    <x v="1"/>
    <x v="4"/>
    <s v="Normal"/>
    <n v="-0.61133329999999997"/>
    <x v="5"/>
    <x v="1"/>
    <n v="-0.57848745999999995"/>
    <n v="0"/>
    <s v="Normal"/>
    <n v="-1.1088359000000001"/>
    <n v="3.3333333000000001"/>
    <n v="3"/>
    <x v="0"/>
    <n v="-0.76621890000000004"/>
    <x v="45"/>
    <x v="1"/>
    <x v="1"/>
    <n v="4166.6665000000003"/>
    <n v="4167"/>
    <x v="24"/>
    <x v="24"/>
    <x v="3"/>
    <x v="3"/>
    <x v="0"/>
  </r>
  <r>
    <n v="1072"/>
    <x v="0"/>
    <s v="21-30 years"/>
    <n v="30"/>
    <x v="1"/>
    <x v="3"/>
    <x v="4"/>
    <s v="Normal"/>
    <n v="-0.61133329999999997"/>
    <x v="1"/>
    <x v="1"/>
    <n v="-0.77314866000000004"/>
    <n v="2"/>
    <s v="Normal"/>
    <n v="-0.91619854999999994"/>
    <n v="3.3333333000000001"/>
    <n v="3"/>
    <x v="0"/>
    <n v="-0.76689350000000001"/>
    <x v="59"/>
    <x v="1"/>
    <x v="1"/>
    <n v="5000"/>
    <n v="5000"/>
    <x v="2"/>
    <x v="2"/>
    <x v="1"/>
    <x v="1"/>
    <x v="1"/>
  </r>
  <r>
    <n v="1073"/>
    <x v="0"/>
    <s v="31-40 years"/>
    <n v="40"/>
    <x v="1"/>
    <x v="1"/>
    <x v="0"/>
    <s v="Normal"/>
    <n v="-0.41028870000000001"/>
    <x v="2"/>
    <x v="1"/>
    <n v="-0.9678099"/>
    <n v="4"/>
    <s v="Normal"/>
    <n v="-0.72356116999999998"/>
    <n v="4"/>
    <n v="4"/>
    <x v="0"/>
    <n v="-0.70055323999999997"/>
    <x v="60"/>
    <x v="1"/>
    <x v="1"/>
    <n v="4000"/>
    <n v="4000"/>
    <x v="7"/>
    <x v="7"/>
    <x v="3"/>
    <x v="3"/>
    <x v="0"/>
  </r>
  <r>
    <n v="1074"/>
    <x v="0"/>
    <s v="21-30 years"/>
    <n v="27"/>
    <x v="1"/>
    <x v="1"/>
    <x v="4"/>
    <s v="Normal"/>
    <n v="-0.61133329999999997"/>
    <x v="2"/>
    <x v="1"/>
    <n v="-0.9678099"/>
    <n v="2"/>
    <s v="Normal"/>
    <n v="-0.91619854999999994"/>
    <n v="2.6666666999999999"/>
    <n v="3"/>
    <x v="0"/>
    <n v="-0.83178059999999998"/>
    <x v="13"/>
    <x v="1"/>
    <x v="1"/>
    <n v="11666.666999999999"/>
    <n v="11667"/>
    <x v="25"/>
    <x v="25"/>
    <x v="5"/>
    <x v="5"/>
    <x v="2"/>
  </r>
  <r>
    <n v="1075"/>
    <x v="0"/>
    <s v="31-40 years"/>
    <n v="35"/>
    <x v="1"/>
    <x v="1"/>
    <x v="4"/>
    <s v="Normal"/>
    <n v="-0.61133329999999997"/>
    <x v="2"/>
    <x v="1"/>
    <n v="-0.9678099"/>
    <n v="4"/>
    <s v="Normal"/>
    <n v="-0.72356116999999998"/>
    <n v="3.3333333000000001"/>
    <n v="3"/>
    <x v="0"/>
    <n v="-0.76756809999999998"/>
    <x v="58"/>
    <x v="1"/>
    <x v="1"/>
    <n v="3750"/>
    <n v="3750"/>
    <x v="15"/>
    <x v="15"/>
    <x v="3"/>
    <x v="3"/>
    <x v="0"/>
  </r>
  <r>
    <n v="1076"/>
    <x v="0"/>
    <s v="31-40 years"/>
    <n v="35"/>
    <x v="1"/>
    <x v="1"/>
    <x v="1"/>
    <s v="Normal"/>
    <n v="-0.81237789999999999"/>
    <x v="1"/>
    <x v="1"/>
    <n v="-0.77314866000000004"/>
    <n v="4"/>
    <s v="Normal"/>
    <n v="-0.72356116999999998"/>
    <n v="3.3333333000000001"/>
    <n v="3"/>
    <x v="0"/>
    <n v="-0.76969593999999997"/>
    <x v="52"/>
    <x v="1"/>
    <x v="1"/>
    <n v="4000"/>
    <n v="4000"/>
    <x v="7"/>
    <x v="7"/>
    <x v="3"/>
    <x v="3"/>
    <x v="0"/>
  </r>
  <r>
    <n v="1077"/>
    <x v="0"/>
    <s v="41-50 years"/>
    <n v="50"/>
    <x v="0"/>
    <x v="3"/>
    <x v="4"/>
    <s v="Normal"/>
    <n v="-0.61133329999999997"/>
    <x v="2"/>
    <x v="1"/>
    <n v="-0.9678099"/>
    <n v="6"/>
    <s v="Normal"/>
    <n v="-0.53092379999999995"/>
    <n v="4"/>
    <n v="4"/>
    <x v="0"/>
    <n v="-0.70335566999999999"/>
    <x v="61"/>
    <x v="1"/>
    <x v="1"/>
    <n v="10000"/>
    <n v="10000"/>
    <x v="26"/>
    <x v="26"/>
    <x v="5"/>
    <x v="5"/>
    <x v="2"/>
  </r>
  <r>
    <n v="1078"/>
    <x v="0"/>
    <s v="41-50 years"/>
    <n v="45"/>
    <x v="0"/>
    <x v="3"/>
    <x v="3"/>
    <s v="Normal"/>
    <n v="-8.1994660000000007E-3"/>
    <x v="1"/>
    <x v="1"/>
    <n v="-0.77314866000000004"/>
    <n v="4"/>
    <s v="Normal"/>
    <n v="-0.72356116999999998"/>
    <n v="6"/>
    <n v="6"/>
    <x v="0"/>
    <n v="-0.50163645000000001"/>
    <x v="62"/>
    <x v="0"/>
    <x v="0"/>
    <n v="5000"/>
    <n v="5000"/>
    <x v="2"/>
    <x v="2"/>
    <x v="1"/>
    <x v="1"/>
    <x v="1"/>
  </r>
  <r>
    <n v="1079"/>
    <x v="0"/>
    <s v="21-30 years"/>
    <n v="28"/>
    <x v="0"/>
    <x v="3"/>
    <x v="0"/>
    <s v="Normal"/>
    <n v="-0.41028870000000001"/>
    <x v="1"/>
    <x v="1"/>
    <n v="-0.77314866000000004"/>
    <n v="4"/>
    <s v="Normal"/>
    <n v="-0.72356116999999998"/>
    <n v="4.6666664999999998"/>
    <n v="5"/>
    <x v="0"/>
    <n v="-0.63566619999999996"/>
    <x v="34"/>
    <x v="1"/>
    <x v="1"/>
    <n v="7500"/>
    <n v="7500"/>
    <x v="13"/>
    <x v="13"/>
    <x v="5"/>
    <x v="5"/>
    <x v="2"/>
  </r>
  <r>
    <n v="1080"/>
    <x v="0"/>
    <s v="21-30 years"/>
    <n v="26"/>
    <x v="0"/>
    <x v="3"/>
    <x v="4"/>
    <s v="Normal"/>
    <n v="-0.61133329999999997"/>
    <x v="5"/>
    <x v="1"/>
    <n v="-0.57848745999999995"/>
    <n v="2"/>
    <s v="Normal"/>
    <n v="-0.91619854999999994"/>
    <n v="4"/>
    <n v="4"/>
    <x v="0"/>
    <n v="-0.70200646"/>
    <x v="63"/>
    <x v="1"/>
    <x v="1"/>
    <n v="5000"/>
    <n v="5000"/>
    <x v="2"/>
    <x v="2"/>
    <x v="1"/>
    <x v="1"/>
    <x v="1"/>
  </r>
  <r>
    <n v="1081"/>
    <x v="0"/>
    <s v="21-30 years"/>
    <n v="27"/>
    <x v="0"/>
    <x v="3"/>
    <x v="0"/>
    <s v="Normal"/>
    <n v="-0.41028870000000001"/>
    <x v="7"/>
    <x v="1"/>
    <n v="-0.38382620000000001"/>
    <n v="0"/>
    <s v="Normal"/>
    <n v="-1.1088359000000001"/>
    <n v="4.6666664999999998"/>
    <n v="5"/>
    <x v="0"/>
    <n v="-0.63431689999999996"/>
    <x v="64"/>
    <x v="1"/>
    <x v="1"/>
    <n v="3000"/>
    <n v="3000"/>
    <x v="22"/>
    <x v="22"/>
    <x v="3"/>
    <x v="3"/>
    <x v="0"/>
  </r>
  <r>
    <n v="1082"/>
    <x v="0"/>
    <s v="21-30 years"/>
    <n v="26"/>
    <x v="0"/>
    <x v="2"/>
    <x v="2"/>
    <s v="Normal"/>
    <n v="-0.20924408999999999"/>
    <x v="2"/>
    <x v="1"/>
    <n v="-0.9678099"/>
    <n v="0"/>
    <s v="Normal"/>
    <n v="-1.1088359000000001"/>
    <n v="3.3333333000000001"/>
    <n v="3"/>
    <x v="0"/>
    <n v="-0.76196330000000001"/>
    <x v="51"/>
    <x v="1"/>
    <x v="1"/>
    <n v="5000"/>
    <n v="5000"/>
    <x v="2"/>
    <x v="2"/>
    <x v="1"/>
    <x v="1"/>
    <x v="1"/>
  </r>
  <r>
    <n v="1083"/>
    <x v="0"/>
    <s v="21-30 years"/>
    <n v="27"/>
    <x v="1"/>
    <x v="3"/>
    <x v="1"/>
    <s v="Normal"/>
    <n v="-0.81237789999999999"/>
    <x v="2"/>
    <x v="1"/>
    <n v="-0.9678099"/>
    <n v="2"/>
    <s v="Normal"/>
    <n v="-0.91619854999999994"/>
    <n v="2"/>
    <n v="2"/>
    <x v="0"/>
    <n v="-0.89879549999999997"/>
    <x v="2"/>
    <x v="1"/>
    <x v="1"/>
    <n v="5000"/>
    <n v="5000"/>
    <x v="2"/>
    <x v="2"/>
    <x v="1"/>
    <x v="1"/>
    <x v="1"/>
  </r>
  <r>
    <n v="1084"/>
    <x v="0"/>
    <s v="21-30 years"/>
    <n v="29"/>
    <x v="0"/>
    <x v="3"/>
    <x v="2"/>
    <s v="Normal"/>
    <n v="-0.20924408999999999"/>
    <x v="5"/>
    <x v="1"/>
    <n v="-0.57848745999999995"/>
    <n v="4"/>
    <s v="Normal"/>
    <n v="-0.72356116999999998"/>
    <n v="6"/>
    <n v="6"/>
    <x v="0"/>
    <n v="-0.5037642"/>
    <x v="65"/>
    <x v="0"/>
    <x v="0"/>
    <n v="3750"/>
    <n v="3750"/>
    <x v="15"/>
    <x v="15"/>
    <x v="3"/>
    <x v="3"/>
    <x v="0"/>
  </r>
  <r>
    <n v="1085"/>
    <x v="0"/>
    <s v="21-30 years"/>
    <n v="30"/>
    <x v="0"/>
    <x v="0"/>
    <x v="1"/>
    <s v="Normal"/>
    <n v="-0.81237789999999999"/>
    <x v="1"/>
    <x v="1"/>
    <n v="-0.77314866000000004"/>
    <n v="6"/>
    <s v="Normal"/>
    <n v="-0.53092379999999995"/>
    <n v="4"/>
    <n v="4"/>
    <x v="0"/>
    <n v="-0.70548343999999996"/>
    <x v="66"/>
    <x v="1"/>
    <x v="1"/>
    <n v="6250"/>
    <n v="6250"/>
    <x v="27"/>
    <x v="27"/>
    <x v="2"/>
    <x v="2"/>
    <x v="2"/>
  </r>
  <r>
    <n v="1086"/>
    <x v="0"/>
    <s v="31-40 years"/>
    <n v="38"/>
    <x v="1"/>
    <x v="3"/>
    <x v="4"/>
    <s v="Normal"/>
    <n v="-0.61133329999999997"/>
    <x v="2"/>
    <x v="1"/>
    <n v="-0.9678099"/>
    <n v="4"/>
    <s v="Normal"/>
    <n v="-0.72356116999999998"/>
    <n v="3.3333333000000001"/>
    <n v="3"/>
    <x v="0"/>
    <n v="-0.76756809999999998"/>
    <x v="58"/>
    <x v="1"/>
    <x v="1"/>
    <n v="3750"/>
    <n v="3750"/>
    <x v="15"/>
    <x v="15"/>
    <x v="3"/>
    <x v="3"/>
    <x v="0"/>
  </r>
  <r>
    <n v="1087"/>
    <x v="0"/>
    <s v="21-30 years"/>
    <n v="26"/>
    <x v="1"/>
    <x v="3"/>
    <x v="0"/>
    <s v="Normal"/>
    <n v="-0.41028870000000001"/>
    <x v="2"/>
    <x v="1"/>
    <n v="-0.9678099"/>
    <n v="4"/>
    <s v="Normal"/>
    <n v="-0.72356116999999998"/>
    <n v="4"/>
    <n v="4"/>
    <x v="0"/>
    <n v="-0.70055323999999997"/>
    <x v="60"/>
    <x v="1"/>
    <x v="1"/>
    <n v="6000"/>
    <n v="6000"/>
    <x v="6"/>
    <x v="6"/>
    <x v="2"/>
    <x v="2"/>
    <x v="2"/>
  </r>
  <r>
    <n v="1088"/>
    <x v="0"/>
    <s v="21-30 years"/>
    <n v="28"/>
    <x v="0"/>
    <x v="3"/>
    <x v="4"/>
    <s v="Normal"/>
    <n v="-0.61133329999999997"/>
    <x v="5"/>
    <x v="1"/>
    <n v="-0.57848745999999995"/>
    <n v="4"/>
    <s v="Normal"/>
    <n v="-0.72356116999999998"/>
    <n v="4.6666664999999998"/>
    <n v="5"/>
    <x v="0"/>
    <n v="-0.63779395999999999"/>
    <x v="67"/>
    <x v="1"/>
    <x v="1"/>
    <n v="10000"/>
    <n v="10000"/>
    <x v="26"/>
    <x v="26"/>
    <x v="5"/>
    <x v="5"/>
    <x v="2"/>
  </r>
  <r>
    <n v="1089"/>
    <x v="0"/>
    <s v="21-30 years"/>
    <n v="27"/>
    <x v="0"/>
    <x v="3"/>
    <x v="0"/>
    <s v="Normal"/>
    <n v="-0.41028870000000001"/>
    <x v="1"/>
    <x v="1"/>
    <n v="-0.77314866000000004"/>
    <n v="4"/>
    <s v="Normal"/>
    <n v="-0.72356116999999998"/>
    <n v="4.6666664999999998"/>
    <n v="5"/>
    <x v="0"/>
    <n v="-0.63566619999999996"/>
    <x v="34"/>
    <x v="1"/>
    <x v="1"/>
    <n v="6250"/>
    <n v="6250"/>
    <x v="27"/>
    <x v="27"/>
    <x v="2"/>
    <x v="2"/>
    <x v="2"/>
  </r>
  <r>
    <n v="1090"/>
    <x v="0"/>
    <s v="41-50 years"/>
    <n v="43"/>
    <x v="0"/>
    <x v="3"/>
    <x v="8"/>
    <s v="Normal"/>
    <n v="-1.0134224999999999"/>
    <x v="10"/>
    <x v="1"/>
    <n v="-1.1624711999999999"/>
    <n v="2"/>
    <s v="Normal"/>
    <n v="-0.91619854999999994"/>
    <n v="0.66666669999999995"/>
    <n v="1"/>
    <x v="0"/>
    <n v="-1.0306972999999999"/>
    <x v="68"/>
    <x v="1"/>
    <x v="1"/>
    <n v="5000"/>
    <n v="5000"/>
    <x v="2"/>
    <x v="2"/>
    <x v="1"/>
    <x v="1"/>
    <x v="1"/>
  </r>
  <r>
    <n v="1091"/>
    <x v="0"/>
    <s v="31-40 years"/>
    <n v="34"/>
    <x v="0"/>
    <x v="3"/>
    <x v="1"/>
    <s v="Normal"/>
    <n v="-0.81237789999999999"/>
    <x v="1"/>
    <x v="1"/>
    <n v="-0.77314866000000004"/>
    <n v="2"/>
    <s v="Normal"/>
    <n v="-0.91619854999999994"/>
    <n v="2.6666666999999999"/>
    <n v="3"/>
    <x v="0"/>
    <n v="-0.83390839999999999"/>
    <x v="1"/>
    <x v="1"/>
    <x v="1"/>
    <n v="1666.6666"/>
    <n v="1667"/>
    <x v="1"/>
    <x v="1"/>
    <x v="0"/>
    <x v="0"/>
    <x v="0"/>
  </r>
  <r>
    <n v="1092"/>
    <x v="0"/>
    <s v="31-40 years"/>
    <n v="38"/>
    <x v="0"/>
    <x v="0"/>
    <x v="2"/>
    <s v="Normal"/>
    <n v="-0.20924408999999999"/>
    <x v="2"/>
    <x v="1"/>
    <n v="-0.9678099"/>
    <n v="6"/>
    <s v="Normal"/>
    <n v="-0.53092379999999995"/>
    <n v="5.3333335000000002"/>
    <n v="5"/>
    <x v="0"/>
    <n v="-0.56932590000000005"/>
    <x v="69"/>
    <x v="0"/>
    <x v="0"/>
    <n v="6000"/>
    <n v="6000"/>
    <x v="6"/>
    <x v="6"/>
    <x v="2"/>
    <x v="2"/>
    <x v="2"/>
  </r>
  <r>
    <n v="1093"/>
    <x v="0"/>
    <s v="21-30 years"/>
    <n v="27"/>
    <x v="0"/>
    <x v="2"/>
    <x v="0"/>
    <s v="Normal"/>
    <n v="-0.41028870000000001"/>
    <x v="1"/>
    <x v="1"/>
    <n v="-0.77314866000000004"/>
    <n v="2"/>
    <s v="Normal"/>
    <n v="-0.91619854999999994"/>
    <n v="4"/>
    <n v="4"/>
    <x v="0"/>
    <n v="-0.69987862999999995"/>
    <x v="56"/>
    <x v="1"/>
    <x v="1"/>
    <n v="1750"/>
    <n v="1750"/>
    <x v="9"/>
    <x v="9"/>
    <x v="0"/>
    <x v="0"/>
    <x v="0"/>
  </r>
  <r>
    <n v="1094"/>
    <x v="0"/>
    <s v="31-40 years"/>
    <n v="32"/>
    <x v="0"/>
    <x v="3"/>
    <x v="3"/>
    <s v="Normal"/>
    <n v="-8.1994660000000007E-3"/>
    <x v="1"/>
    <x v="1"/>
    <n v="-0.77314866000000004"/>
    <n v="4"/>
    <s v="Normal"/>
    <n v="-0.72356116999999998"/>
    <n v="6"/>
    <n v="6"/>
    <x v="0"/>
    <n v="-0.50163645000000001"/>
    <x v="62"/>
    <x v="0"/>
    <x v="0"/>
    <n v="5000"/>
    <n v="5000"/>
    <x v="2"/>
    <x v="2"/>
    <x v="1"/>
    <x v="1"/>
    <x v="1"/>
  </r>
  <r>
    <n v="1095"/>
    <x v="0"/>
    <s v="41-50 years"/>
    <n v="45"/>
    <x v="0"/>
    <x v="3"/>
    <x v="1"/>
    <s v="Normal"/>
    <n v="-0.81237789999999999"/>
    <x v="2"/>
    <x v="1"/>
    <n v="-0.9678099"/>
    <n v="6"/>
    <s v="Normal"/>
    <n v="-0.53092379999999995"/>
    <n v="3.3333333000000001"/>
    <n v="3"/>
    <x v="0"/>
    <n v="-0.77037054000000005"/>
    <x v="57"/>
    <x v="1"/>
    <x v="1"/>
    <n v="8333.3330000000005"/>
    <n v="8333"/>
    <x v="20"/>
    <x v="20"/>
    <x v="5"/>
    <x v="5"/>
    <x v="2"/>
  </r>
  <r>
    <n v="1096"/>
    <x v="0"/>
    <s v="21-30 years"/>
    <n v="27"/>
    <x v="0"/>
    <x v="3"/>
    <x v="0"/>
    <s v="Normal"/>
    <n v="-0.41028870000000001"/>
    <x v="1"/>
    <x v="1"/>
    <n v="-0.77314866000000004"/>
    <n v="2"/>
    <s v="Normal"/>
    <n v="-0.91619854999999994"/>
    <n v="4"/>
    <n v="4"/>
    <x v="0"/>
    <n v="-0.69987862999999995"/>
    <x v="56"/>
    <x v="1"/>
    <x v="1"/>
    <n v="2500"/>
    <n v="2500"/>
    <x v="12"/>
    <x v="12"/>
    <x v="4"/>
    <x v="4"/>
    <x v="0"/>
  </r>
  <r>
    <n v="1097"/>
    <x v="0"/>
    <s v="21-30 years"/>
    <n v="27"/>
    <x v="1"/>
    <x v="3"/>
    <x v="4"/>
    <s v="Normal"/>
    <n v="-0.61133329999999997"/>
    <x v="10"/>
    <x v="1"/>
    <n v="-1.1624711999999999"/>
    <n v="4"/>
    <s v="Normal"/>
    <n v="-0.72356116999999998"/>
    <n v="2.6666666999999999"/>
    <n v="3"/>
    <x v="0"/>
    <n v="-0.83245519999999995"/>
    <x v="70"/>
    <x v="1"/>
    <x v="1"/>
    <n v="4000"/>
    <n v="4000"/>
    <x v="7"/>
    <x v="7"/>
    <x v="3"/>
    <x v="3"/>
    <x v="0"/>
  </r>
  <r>
    <n v="1098"/>
    <x v="0"/>
    <s v="21-30 years"/>
    <n v="26"/>
    <x v="0"/>
    <x v="3"/>
    <x v="0"/>
    <s v="Normal"/>
    <n v="-0.41028870000000001"/>
    <x v="2"/>
    <x v="1"/>
    <n v="-0.9678099"/>
    <n v="6"/>
    <s v="Normal"/>
    <n v="-0.53092379999999995"/>
    <n v="4.6666664999999998"/>
    <n v="5"/>
    <x v="0"/>
    <n v="-0.63634080000000004"/>
    <x v="71"/>
    <x v="1"/>
    <x v="1"/>
    <n v="5000"/>
    <n v="5000"/>
    <x v="2"/>
    <x v="2"/>
    <x v="1"/>
    <x v="1"/>
    <x v="1"/>
  </r>
  <r>
    <n v="1099"/>
    <x v="0"/>
    <s v="41-50 years"/>
    <n v="45"/>
    <x v="1"/>
    <x v="1"/>
    <x v="8"/>
    <s v="Normal"/>
    <n v="-1.0134224999999999"/>
    <x v="10"/>
    <x v="1"/>
    <n v="-1.1624711999999999"/>
    <n v="0"/>
    <s v="Normal"/>
    <n v="-1.1088359000000001"/>
    <n v="0"/>
    <n v="0"/>
    <x v="0"/>
    <n v="-1.0949099"/>
    <x v="72"/>
    <x v="1"/>
    <x v="1"/>
    <n v="6000"/>
    <n v="6000"/>
    <x v="6"/>
    <x v="6"/>
    <x v="2"/>
    <x v="2"/>
    <x v="2"/>
  </r>
  <r>
    <n v="1100"/>
    <x v="0"/>
    <s v="31-40 years"/>
    <n v="37"/>
    <x v="0"/>
    <x v="0"/>
    <x v="4"/>
    <s v="Normal"/>
    <n v="-0.61133329999999997"/>
    <x v="7"/>
    <x v="1"/>
    <n v="-0.38382620000000001"/>
    <n v="4"/>
    <s v="Normal"/>
    <n v="-0.72356116999999998"/>
    <n v="5.3333335000000002"/>
    <n v="5"/>
    <x v="0"/>
    <n v="-0.5729069"/>
    <x v="49"/>
    <x v="0"/>
    <x v="0"/>
    <n v="2666.6667000000002"/>
    <n v="2667"/>
    <x v="16"/>
    <x v="16"/>
    <x v="4"/>
    <x v="4"/>
    <x v="0"/>
  </r>
  <r>
    <n v="1101"/>
    <x v="0"/>
    <s v="41-50 years"/>
    <n v="48"/>
    <x v="0"/>
    <x v="3"/>
    <x v="4"/>
    <s v="Normal"/>
    <n v="-0.61133329999999997"/>
    <x v="1"/>
    <x v="1"/>
    <n v="-0.77314866000000004"/>
    <n v="2"/>
    <s v="Normal"/>
    <n v="-0.91619854999999994"/>
    <n v="3.3333333000000001"/>
    <n v="3"/>
    <x v="0"/>
    <n v="-0.76689350000000001"/>
    <x v="59"/>
    <x v="1"/>
    <x v="1"/>
    <n v="1750"/>
    <n v="1750"/>
    <x v="9"/>
    <x v="9"/>
    <x v="0"/>
    <x v="0"/>
    <x v="0"/>
  </r>
  <r>
    <n v="1102"/>
    <x v="0"/>
    <s v="21-30 years"/>
    <n v="30"/>
    <x v="0"/>
    <x v="3"/>
    <x v="0"/>
    <s v="Normal"/>
    <n v="-0.41028870000000001"/>
    <x v="1"/>
    <x v="1"/>
    <n v="-0.77314866000000004"/>
    <n v="2"/>
    <s v="Normal"/>
    <n v="-0.91619854999999994"/>
    <n v="4"/>
    <n v="4"/>
    <x v="0"/>
    <n v="-0.69987862999999995"/>
    <x v="56"/>
    <x v="1"/>
    <x v="1"/>
    <n v="1833.3334"/>
    <n v="1833"/>
    <x v="28"/>
    <x v="28"/>
    <x v="0"/>
    <x v="0"/>
    <x v="0"/>
  </r>
  <r>
    <n v="1103"/>
    <x v="0"/>
    <s v="31-40 years"/>
    <n v="40"/>
    <x v="1"/>
    <x v="1"/>
    <x v="3"/>
    <s v="Normal"/>
    <n v="-8.1994660000000007E-3"/>
    <x v="10"/>
    <x v="1"/>
    <n v="-1.1624711999999999"/>
    <n v="2"/>
    <s v="Normal"/>
    <n v="-0.91619854999999994"/>
    <n v="4"/>
    <n v="4"/>
    <x v="0"/>
    <n v="-0.69562303999999997"/>
    <x v="73"/>
    <x v="1"/>
    <x v="1"/>
    <n v="1250"/>
    <n v="1250"/>
    <x v="3"/>
    <x v="3"/>
    <x v="0"/>
    <x v="0"/>
    <x v="0"/>
  </r>
  <r>
    <n v="1104"/>
    <x v="0"/>
    <s v="21-30 years"/>
    <n v="30"/>
    <x v="1"/>
    <x v="1"/>
    <x v="4"/>
    <s v="Normal"/>
    <n v="-0.61133329999999997"/>
    <x v="1"/>
    <x v="1"/>
    <n v="-0.77314866000000004"/>
    <n v="4"/>
    <s v="Normal"/>
    <n v="-0.72356116999999998"/>
    <n v="4"/>
    <n v="4"/>
    <x v="0"/>
    <n v="-0.70268105999999997"/>
    <x v="39"/>
    <x v="1"/>
    <x v="1"/>
    <n v="1333.3334"/>
    <n v="1333"/>
    <x v="18"/>
    <x v="18"/>
    <x v="0"/>
    <x v="0"/>
    <x v="0"/>
  </r>
  <r>
    <n v="1105"/>
    <x v="0"/>
    <s v="31-40 years"/>
    <n v="40"/>
    <x v="1"/>
    <x v="1"/>
    <x v="1"/>
    <s v="Normal"/>
    <n v="-0.81237789999999999"/>
    <x v="5"/>
    <x v="1"/>
    <n v="-0.57848745999999995"/>
    <n v="0"/>
    <s v="Normal"/>
    <n v="-1.1088359000000001"/>
    <n v="2.6666666999999999"/>
    <n v="3"/>
    <x v="0"/>
    <n v="-0.83323380000000002"/>
    <x v="74"/>
    <x v="1"/>
    <x v="1"/>
    <n v="7000"/>
    <n v="7000"/>
    <x v="29"/>
    <x v="29"/>
    <x v="2"/>
    <x v="2"/>
    <x v="2"/>
  </r>
  <r>
    <n v="1106"/>
    <x v="0"/>
    <s v="21-30 years"/>
    <n v="28"/>
    <x v="1"/>
    <x v="3"/>
    <x v="4"/>
    <s v="Normal"/>
    <n v="-0.61133329999999997"/>
    <x v="1"/>
    <x v="1"/>
    <n v="-0.77314866000000004"/>
    <n v="6"/>
    <s v="Normal"/>
    <n v="-0.53092379999999995"/>
    <n v="4.6666664999999998"/>
    <n v="5"/>
    <x v="0"/>
    <n v="-0.63846855999999996"/>
    <x v="75"/>
    <x v="1"/>
    <x v="1"/>
    <n v="6250"/>
    <n v="6250"/>
    <x v="27"/>
    <x v="27"/>
    <x v="2"/>
    <x v="2"/>
    <x v="2"/>
  </r>
  <r>
    <n v="1107"/>
    <x v="0"/>
    <s v="21-30 years"/>
    <n v="28"/>
    <x v="1"/>
    <x v="0"/>
    <x v="8"/>
    <s v="Normal"/>
    <n v="-1.0134224999999999"/>
    <x v="7"/>
    <x v="1"/>
    <n v="-0.38382620000000001"/>
    <n v="2"/>
    <s v="Normal"/>
    <n v="-0.91619854999999994"/>
    <n v="3.3333333000000001"/>
    <n v="3"/>
    <x v="0"/>
    <n v="-0.77114910000000003"/>
    <x v="76"/>
    <x v="1"/>
    <x v="1"/>
    <n v="3750"/>
    <n v="3750"/>
    <x v="15"/>
    <x v="15"/>
    <x v="3"/>
    <x v="3"/>
    <x v="0"/>
  </r>
  <r>
    <n v="1108"/>
    <x v="0"/>
    <s v="21-30 years"/>
    <n v="21"/>
    <x v="0"/>
    <x v="3"/>
    <x v="1"/>
    <s v="Normal"/>
    <n v="-0.81237789999999999"/>
    <x v="2"/>
    <x v="1"/>
    <n v="-0.9678099"/>
    <n v="4"/>
    <s v="Normal"/>
    <n v="-0.72356116999999998"/>
    <n v="2.6666666999999999"/>
    <n v="3"/>
    <x v="0"/>
    <n v="-0.83458299999999996"/>
    <x v="77"/>
    <x v="1"/>
    <x v="1"/>
    <n v="5000"/>
    <n v="5000"/>
    <x v="2"/>
    <x v="2"/>
    <x v="1"/>
    <x v="1"/>
    <x v="1"/>
  </r>
  <r>
    <n v="1109"/>
    <x v="0"/>
    <s v="21-30 years"/>
    <n v="26"/>
    <x v="0"/>
    <x v="0"/>
    <x v="0"/>
    <s v="Normal"/>
    <n v="-0.41028870000000001"/>
    <x v="1"/>
    <x v="1"/>
    <n v="-0.77314866000000004"/>
    <n v="4"/>
    <s v="Normal"/>
    <n v="-0.72356116999999998"/>
    <n v="4.6666664999999998"/>
    <n v="5"/>
    <x v="0"/>
    <n v="-0.63566619999999996"/>
    <x v="34"/>
    <x v="1"/>
    <x v="1"/>
    <n v="7500"/>
    <n v="7500"/>
    <x v="13"/>
    <x v="13"/>
    <x v="5"/>
    <x v="5"/>
    <x v="2"/>
  </r>
  <r>
    <n v="1110"/>
    <x v="0"/>
    <s v="41-50 years"/>
    <n v="45"/>
    <x v="0"/>
    <x v="0"/>
    <x v="8"/>
    <s v="Normal"/>
    <n v="-1.0134224999999999"/>
    <x v="1"/>
    <x v="1"/>
    <n v="-0.77314866000000004"/>
    <n v="2"/>
    <s v="Normal"/>
    <n v="-0.91619854999999994"/>
    <n v="2"/>
    <n v="2"/>
    <x v="0"/>
    <n v="-0.90092324999999995"/>
    <x v="78"/>
    <x v="1"/>
    <x v="1"/>
    <n v="5000"/>
    <n v="5000"/>
    <x v="2"/>
    <x v="2"/>
    <x v="1"/>
    <x v="1"/>
    <x v="1"/>
  </r>
  <r>
    <n v="1111"/>
    <x v="0"/>
    <s v="31-40 years"/>
    <n v="36"/>
    <x v="1"/>
    <x v="1"/>
    <x v="4"/>
    <s v="Normal"/>
    <n v="-0.61133329999999997"/>
    <x v="4"/>
    <x v="0"/>
    <n v="0.20015757000000001"/>
    <n v="12"/>
    <s v="Moderate"/>
    <n v="4.6988415999999998E-2"/>
    <n v="10"/>
    <n v="10"/>
    <x v="0"/>
    <n v="-0.121395774"/>
    <x v="79"/>
    <x v="0"/>
    <x v="0"/>
    <n v="1666.6666"/>
    <n v="1667"/>
    <x v="1"/>
    <x v="1"/>
    <x v="0"/>
    <x v="0"/>
    <x v="0"/>
  </r>
  <r>
    <n v="1112"/>
    <x v="0"/>
    <s v="41-50 years"/>
    <n v="50"/>
    <x v="0"/>
    <x v="3"/>
    <x v="0"/>
    <s v="Normal"/>
    <n v="-0.41028870000000001"/>
    <x v="1"/>
    <x v="1"/>
    <n v="-0.77314866000000004"/>
    <n v="4"/>
    <s v="Normal"/>
    <n v="-0.72356116999999998"/>
    <n v="4.6666664999999998"/>
    <n v="5"/>
    <x v="0"/>
    <n v="-0.63566619999999996"/>
    <x v="34"/>
    <x v="1"/>
    <x v="1"/>
    <n v="2000"/>
    <n v="2000"/>
    <x v="11"/>
    <x v="11"/>
    <x v="4"/>
    <x v="4"/>
    <x v="0"/>
  </r>
  <r>
    <n v="1113"/>
    <x v="0"/>
    <s v="41-50 years"/>
    <n v="48"/>
    <x v="0"/>
    <x v="3"/>
    <x v="4"/>
    <s v="Normal"/>
    <n v="-0.61133329999999997"/>
    <x v="5"/>
    <x v="1"/>
    <n v="-0.57848745999999995"/>
    <n v="0"/>
    <s v="Normal"/>
    <n v="-1.1088359000000001"/>
    <n v="3.3333333000000001"/>
    <n v="3"/>
    <x v="0"/>
    <n v="-0.76621890000000004"/>
    <x v="45"/>
    <x v="1"/>
    <x v="1"/>
    <n v="5000"/>
    <n v="5000"/>
    <x v="2"/>
    <x v="2"/>
    <x v="1"/>
    <x v="1"/>
    <x v="1"/>
  </r>
  <r>
    <n v="1114"/>
    <x v="0"/>
    <s v="21-30 years"/>
    <n v="29"/>
    <x v="0"/>
    <x v="3"/>
    <x v="2"/>
    <s v="Normal"/>
    <n v="-0.20924408999999999"/>
    <x v="10"/>
    <x v="1"/>
    <n v="-1.1624711999999999"/>
    <n v="8"/>
    <s v="Normal"/>
    <n v="-0.33828637"/>
    <n v="5.3333335000000002"/>
    <n v="5"/>
    <x v="0"/>
    <n v="-0.57000050000000002"/>
    <x v="80"/>
    <x v="0"/>
    <x v="0"/>
    <n v="6666.6665000000003"/>
    <n v="6667"/>
    <x v="21"/>
    <x v="21"/>
    <x v="2"/>
    <x v="2"/>
    <x v="2"/>
  </r>
  <r>
    <n v="1115"/>
    <x v="0"/>
    <s v="41-50 years"/>
    <n v="45"/>
    <x v="0"/>
    <x v="3"/>
    <x v="4"/>
    <s v="Normal"/>
    <n v="-0.61133329999999997"/>
    <x v="5"/>
    <x v="1"/>
    <n v="-0.57848745999999995"/>
    <n v="8"/>
    <s v="Normal"/>
    <n v="-0.33828637"/>
    <n v="6"/>
    <n v="6"/>
    <x v="0"/>
    <n v="-0.50936899999999996"/>
    <x v="81"/>
    <x v="0"/>
    <x v="0"/>
    <n v="5833.3334999999997"/>
    <n v="5833"/>
    <x v="30"/>
    <x v="30"/>
    <x v="1"/>
    <x v="1"/>
    <x v="1"/>
  </r>
  <r>
    <n v="1116"/>
    <x v="0"/>
    <s v="31-40 years"/>
    <n v="31"/>
    <x v="0"/>
    <x v="3"/>
    <x v="0"/>
    <s v="Normal"/>
    <n v="-0.41028870000000001"/>
    <x v="1"/>
    <x v="1"/>
    <n v="-0.77314866000000004"/>
    <n v="2"/>
    <s v="Normal"/>
    <n v="-0.91619854999999994"/>
    <n v="4"/>
    <n v="4"/>
    <x v="0"/>
    <n v="-0.69987862999999995"/>
    <x v="56"/>
    <x v="1"/>
    <x v="1"/>
    <n v="3333.3332999999998"/>
    <n v="3333"/>
    <x v="10"/>
    <x v="10"/>
    <x v="3"/>
    <x v="3"/>
    <x v="0"/>
  </r>
  <r>
    <n v="1117"/>
    <x v="0"/>
    <s v="31-40 years"/>
    <n v="40"/>
    <x v="1"/>
    <x v="1"/>
    <x v="0"/>
    <s v="Normal"/>
    <n v="-0.41028870000000001"/>
    <x v="2"/>
    <x v="1"/>
    <n v="-0.9678099"/>
    <n v="6"/>
    <s v="Normal"/>
    <n v="-0.53092379999999995"/>
    <n v="4.6666664999999998"/>
    <n v="5"/>
    <x v="0"/>
    <n v="-0.63634080000000004"/>
    <x v="71"/>
    <x v="1"/>
    <x v="1"/>
    <n v="2500"/>
    <n v="2500"/>
    <x v="12"/>
    <x v="12"/>
    <x v="4"/>
    <x v="4"/>
    <x v="0"/>
  </r>
  <r>
    <n v="1118"/>
    <x v="0"/>
    <s v="41-50 years"/>
    <n v="50"/>
    <x v="1"/>
    <x v="1"/>
    <x v="4"/>
    <s v="Normal"/>
    <n v="-0.61133329999999997"/>
    <x v="1"/>
    <x v="1"/>
    <n v="-0.77314866000000004"/>
    <n v="6"/>
    <s v="Normal"/>
    <n v="-0.53092379999999995"/>
    <n v="4.6666664999999998"/>
    <n v="5"/>
    <x v="0"/>
    <n v="-0.63846855999999996"/>
    <x v="75"/>
    <x v="1"/>
    <x v="1"/>
    <n v="2500"/>
    <n v="2500"/>
    <x v="12"/>
    <x v="12"/>
    <x v="4"/>
    <x v="4"/>
    <x v="0"/>
  </r>
  <r>
    <n v="1119"/>
    <x v="0"/>
    <s v="41-50 years"/>
    <n v="45"/>
    <x v="1"/>
    <x v="1"/>
    <x v="4"/>
    <s v="Normal"/>
    <n v="-0.61133329999999997"/>
    <x v="5"/>
    <x v="1"/>
    <n v="-0.57848745999999995"/>
    <n v="4"/>
    <s v="Normal"/>
    <n v="-0.72356116999999998"/>
    <n v="4.6666664999999998"/>
    <n v="5"/>
    <x v="0"/>
    <n v="-0.63779395999999999"/>
    <x v="67"/>
    <x v="1"/>
    <x v="1"/>
    <n v="6250"/>
    <n v="6250"/>
    <x v="27"/>
    <x v="27"/>
    <x v="2"/>
    <x v="2"/>
    <x v="2"/>
  </r>
  <r>
    <n v="1120"/>
    <x v="0"/>
    <s v="31-40 years"/>
    <n v="38"/>
    <x v="1"/>
    <x v="1"/>
    <x v="0"/>
    <s v="Normal"/>
    <n v="-0.41028870000000001"/>
    <x v="7"/>
    <x v="1"/>
    <n v="-0.38382620000000001"/>
    <n v="6"/>
    <s v="Normal"/>
    <n v="-0.53092379999999995"/>
    <n v="6.6666664999999998"/>
    <n v="7"/>
    <x v="0"/>
    <n v="-0.44167957000000002"/>
    <x v="82"/>
    <x v="0"/>
    <x v="0"/>
    <n v="7500"/>
    <n v="7500"/>
    <x v="13"/>
    <x v="13"/>
    <x v="5"/>
    <x v="5"/>
    <x v="2"/>
  </r>
  <r>
    <n v="1121"/>
    <x v="0"/>
    <s v="31-40 years"/>
    <n v="35"/>
    <x v="1"/>
    <x v="3"/>
    <x v="0"/>
    <s v="Normal"/>
    <n v="-0.41028870000000001"/>
    <x v="1"/>
    <x v="1"/>
    <n v="-0.77314866000000004"/>
    <n v="2"/>
    <s v="Normal"/>
    <n v="-0.91619854999999994"/>
    <n v="4"/>
    <n v="4"/>
    <x v="0"/>
    <n v="-0.69987862999999995"/>
    <x v="56"/>
    <x v="1"/>
    <x v="1"/>
    <n v="5000"/>
    <n v="5000"/>
    <x v="2"/>
    <x v="2"/>
    <x v="1"/>
    <x v="1"/>
    <x v="1"/>
  </r>
  <r>
    <n v="1122"/>
    <x v="0"/>
    <s v="31-40 years"/>
    <n v="37"/>
    <x v="1"/>
    <x v="0"/>
    <x v="0"/>
    <s v="Normal"/>
    <n v="-0.41028870000000001"/>
    <x v="1"/>
    <x v="1"/>
    <n v="-0.77314866000000004"/>
    <n v="4"/>
    <s v="Normal"/>
    <n v="-0.72356116999999998"/>
    <n v="4.6666664999999998"/>
    <n v="5"/>
    <x v="0"/>
    <n v="-0.63566619999999996"/>
    <x v="34"/>
    <x v="1"/>
    <x v="1"/>
    <n v="8333.3330000000005"/>
    <n v="8333"/>
    <x v="20"/>
    <x v="20"/>
    <x v="5"/>
    <x v="5"/>
    <x v="2"/>
  </r>
  <r>
    <n v="1123"/>
    <x v="0"/>
    <s v="41-50 years"/>
    <n v="45"/>
    <x v="1"/>
    <x v="1"/>
    <x v="0"/>
    <s v="Normal"/>
    <n v="-0.41028870000000001"/>
    <x v="1"/>
    <x v="1"/>
    <n v="-0.77314866000000004"/>
    <n v="0"/>
    <s v="Normal"/>
    <n v="-1.1088359000000001"/>
    <n v="3.3333333000000001"/>
    <n v="3"/>
    <x v="0"/>
    <n v="-0.76409110000000002"/>
    <x v="48"/>
    <x v="1"/>
    <x v="1"/>
    <n v="5000"/>
    <n v="5000"/>
    <x v="2"/>
    <x v="2"/>
    <x v="1"/>
    <x v="1"/>
    <x v="1"/>
  </r>
  <r>
    <n v="1124"/>
    <x v="0"/>
    <s v="51-60 years"/>
    <n v="55"/>
    <x v="1"/>
    <x v="1"/>
    <x v="0"/>
    <s v="Normal"/>
    <n v="-0.41028870000000001"/>
    <x v="10"/>
    <x v="1"/>
    <n v="-1.1624711999999999"/>
    <n v="4"/>
    <s v="Normal"/>
    <n v="-0.72356116999999998"/>
    <n v="3.3333333000000001"/>
    <n v="3"/>
    <x v="0"/>
    <n v="-0.76544034000000005"/>
    <x v="83"/>
    <x v="1"/>
    <x v="1"/>
    <n v="2000"/>
    <n v="2000"/>
    <x v="11"/>
    <x v="11"/>
    <x v="4"/>
    <x v="4"/>
    <x v="0"/>
  </r>
  <r>
    <n v="1125"/>
    <x v="0"/>
    <s v="41-50 years"/>
    <n v="43"/>
    <x v="1"/>
    <x v="3"/>
    <x v="4"/>
    <s v="Normal"/>
    <n v="-0.61133329999999997"/>
    <x v="2"/>
    <x v="1"/>
    <n v="-0.9678099"/>
    <n v="6"/>
    <s v="Normal"/>
    <n v="-0.53092379999999995"/>
    <n v="4"/>
    <n v="4"/>
    <x v="0"/>
    <n v="-0.70335566999999999"/>
    <x v="61"/>
    <x v="1"/>
    <x v="1"/>
    <n v="2000"/>
    <n v="2000"/>
    <x v="11"/>
    <x v="11"/>
    <x v="4"/>
    <x v="4"/>
    <x v="0"/>
  </r>
  <r>
    <n v="1126"/>
    <x v="0"/>
    <s v="31-40 years"/>
    <n v="35"/>
    <x v="1"/>
    <x v="1"/>
    <x v="0"/>
    <s v="Normal"/>
    <n v="-0.41028870000000001"/>
    <x v="2"/>
    <x v="1"/>
    <n v="-0.9678099"/>
    <n v="0"/>
    <s v="Normal"/>
    <n v="-1.1088359000000001"/>
    <n v="2.6666666999999999"/>
    <n v="3"/>
    <x v="0"/>
    <n v="-0.8289782"/>
    <x v="84"/>
    <x v="1"/>
    <x v="1"/>
    <n v="3750"/>
    <n v="3750"/>
    <x v="15"/>
    <x v="15"/>
    <x v="3"/>
    <x v="3"/>
    <x v="0"/>
  </r>
  <r>
    <n v="1127"/>
    <x v="0"/>
    <s v="31-40 years"/>
    <n v="40"/>
    <x v="1"/>
    <x v="3"/>
    <x v="8"/>
    <s v="Normal"/>
    <n v="-1.0134224999999999"/>
    <x v="10"/>
    <x v="1"/>
    <n v="-1.1624711999999999"/>
    <n v="0"/>
    <s v="Normal"/>
    <n v="-1.1088359000000001"/>
    <n v="0"/>
    <n v="0"/>
    <x v="0"/>
    <n v="-1.0949099"/>
    <x v="72"/>
    <x v="1"/>
    <x v="1"/>
    <n v="3750"/>
    <n v="3750"/>
    <x v="15"/>
    <x v="15"/>
    <x v="3"/>
    <x v="3"/>
    <x v="0"/>
  </r>
  <r>
    <n v="1128"/>
    <x v="0"/>
    <s v="31-40 years"/>
    <n v="34"/>
    <x v="0"/>
    <x v="0"/>
    <x v="9"/>
    <s v="Severe"/>
    <n v="1.6001574999999999"/>
    <x v="11"/>
    <x v="2"/>
    <n v="1.3681251000000001"/>
    <n v="24"/>
    <s v="Severe"/>
    <n v="1.2028128"/>
    <n v="25.333334000000001"/>
    <n v="25"/>
    <x v="2"/>
    <n v="1.3903650999999999"/>
    <x v="85"/>
    <x v="2"/>
    <x v="2"/>
    <n v="3000"/>
    <n v="3000"/>
    <x v="22"/>
    <x v="22"/>
    <x v="3"/>
    <x v="3"/>
    <x v="0"/>
  </r>
  <r>
    <n v="1129"/>
    <x v="0"/>
    <s v="31-40 years"/>
    <n v="40"/>
    <x v="0"/>
    <x v="4"/>
    <x v="9"/>
    <s v="Severe"/>
    <n v="1.6001574999999999"/>
    <x v="12"/>
    <x v="2"/>
    <n v="1.1734637999999999"/>
    <n v="26"/>
    <s v="Severe"/>
    <n v="1.3954502"/>
    <n v="25.333334000000001"/>
    <n v="25"/>
    <x v="2"/>
    <n v="1.3896904999999999"/>
    <x v="86"/>
    <x v="2"/>
    <x v="2"/>
    <n v="3333.3332999999998"/>
    <n v="3333"/>
    <x v="10"/>
    <x v="10"/>
    <x v="3"/>
    <x v="3"/>
    <x v="0"/>
  </r>
  <r>
    <n v="1130"/>
    <x v="0"/>
    <s v="41-50 years"/>
    <n v="45"/>
    <x v="0"/>
    <x v="0"/>
    <x v="10"/>
    <s v="Severe"/>
    <n v="1.1980683000000001"/>
    <x v="13"/>
    <x v="3"/>
    <n v="1.9521089"/>
    <n v="22"/>
    <s v="Severe"/>
    <n v="1.0101753"/>
    <n v="25.333334000000001"/>
    <n v="25"/>
    <x v="2"/>
    <n v="1.3867841999999999"/>
    <x v="87"/>
    <x v="2"/>
    <x v="2"/>
    <n v="3600"/>
    <n v="3600"/>
    <x v="31"/>
    <x v="31"/>
    <x v="3"/>
    <x v="3"/>
    <x v="0"/>
  </r>
  <r>
    <n v="1131"/>
    <x v="0"/>
    <s v="31-40 years"/>
    <n v="33"/>
    <x v="0"/>
    <x v="3"/>
    <x v="11"/>
    <s v="Moderate"/>
    <n v="0.99702360000000001"/>
    <x v="12"/>
    <x v="2"/>
    <n v="1.1734637999999999"/>
    <n v="34"/>
    <s v="Extremely Severe"/>
    <n v="2.1659999999999999"/>
    <n v="26"/>
    <n v="26"/>
    <x v="2"/>
    <n v="1.4454956999999999"/>
    <x v="88"/>
    <x v="3"/>
    <x v="3"/>
    <n v="3600"/>
    <n v="3600"/>
    <x v="31"/>
    <x v="31"/>
    <x v="3"/>
    <x v="3"/>
    <x v="0"/>
  </r>
  <r>
    <n v="1132"/>
    <x v="0"/>
    <s v="41-50 years"/>
    <n v="47"/>
    <x v="0"/>
    <x v="3"/>
    <x v="12"/>
    <s v="Moderate"/>
    <n v="0.79597896000000001"/>
    <x v="14"/>
    <x v="2"/>
    <n v="1.5627863"/>
    <n v="24"/>
    <s v="Severe"/>
    <n v="1.2028128"/>
    <n v="23.333334000000001"/>
    <n v="23"/>
    <x v="2"/>
    <n v="1.1871927"/>
    <x v="89"/>
    <x v="2"/>
    <x v="2"/>
    <n v="2800"/>
    <n v="2800"/>
    <x v="32"/>
    <x v="32"/>
    <x v="4"/>
    <x v="4"/>
    <x v="0"/>
  </r>
  <r>
    <n v="1133"/>
    <x v="0"/>
    <s v="31-40 years"/>
    <n v="35"/>
    <x v="0"/>
    <x v="3"/>
    <x v="12"/>
    <s v="Moderate"/>
    <n v="0.79597896000000001"/>
    <x v="15"/>
    <x v="2"/>
    <n v="1.7574476000000001"/>
    <n v="24"/>
    <s v="Severe"/>
    <n v="1.2028128"/>
    <n v="24"/>
    <n v="24"/>
    <x v="2"/>
    <n v="1.2520796999999999"/>
    <x v="90"/>
    <x v="2"/>
    <x v="2"/>
    <n v="3200"/>
    <n v="3200"/>
    <x v="33"/>
    <x v="33"/>
    <x v="3"/>
    <x v="3"/>
    <x v="0"/>
  </r>
  <r>
    <n v="1134"/>
    <x v="0"/>
    <s v="41-50 years"/>
    <n v="44"/>
    <x v="0"/>
    <x v="3"/>
    <x v="13"/>
    <s v="Severe"/>
    <n v="1.3991127999999999"/>
    <x v="14"/>
    <x v="2"/>
    <n v="1.5627863"/>
    <n v="36"/>
    <s v="Extremely Severe"/>
    <n v="2.3586369999999999"/>
    <n v="29.333334000000001"/>
    <n v="29"/>
    <x v="2"/>
    <n v="1.7735121"/>
    <x v="91"/>
    <x v="3"/>
    <x v="3"/>
    <n v="2400"/>
    <n v="2400"/>
    <x v="34"/>
    <x v="34"/>
    <x v="4"/>
    <x v="4"/>
    <x v="0"/>
  </r>
  <r>
    <n v="1135"/>
    <x v="0"/>
    <s v="41-50 years"/>
    <n v="43"/>
    <x v="0"/>
    <x v="0"/>
    <x v="11"/>
    <s v="Moderate"/>
    <n v="0.99702360000000001"/>
    <x v="15"/>
    <x v="2"/>
    <n v="1.7574476000000001"/>
    <n v="28"/>
    <s v="Severe"/>
    <n v="1.5880875999999999"/>
    <n v="26"/>
    <n v="26"/>
    <x v="2"/>
    <n v="1.4475195000000001"/>
    <x v="92"/>
    <x v="3"/>
    <x v="3"/>
    <n v="1000"/>
    <n v="1000"/>
    <x v="4"/>
    <x v="4"/>
    <x v="0"/>
    <x v="0"/>
    <x v="0"/>
  </r>
  <r>
    <n v="1136"/>
    <x v="0"/>
    <s v="41-50 years"/>
    <n v="42"/>
    <x v="0"/>
    <x v="0"/>
    <x v="13"/>
    <s v="Severe"/>
    <n v="1.3991127999999999"/>
    <x v="16"/>
    <x v="3"/>
    <n v="2.1467700000000001"/>
    <n v="32"/>
    <s v="Extremely Severe"/>
    <n v="1.9733623"/>
    <n v="30"/>
    <n v="30"/>
    <x v="2"/>
    <n v="1.8397484"/>
    <x v="93"/>
    <x v="3"/>
    <x v="3"/>
    <n v="2600"/>
    <n v="2600"/>
    <x v="35"/>
    <x v="35"/>
    <x v="4"/>
    <x v="4"/>
    <x v="0"/>
  </r>
  <r>
    <n v="1137"/>
    <x v="0"/>
    <s v="41-50 years"/>
    <n v="50"/>
    <x v="0"/>
    <x v="0"/>
    <x v="9"/>
    <s v="Severe"/>
    <n v="1.6001574999999999"/>
    <x v="13"/>
    <x v="3"/>
    <n v="1.9521089"/>
    <n v="14"/>
    <s v="Moderate"/>
    <n v="0.23962580999999999"/>
    <n v="24"/>
    <n v="24"/>
    <x v="2"/>
    <n v="1.2639640000000001"/>
    <x v="94"/>
    <x v="2"/>
    <x v="2"/>
    <n v="3750"/>
    <n v="3750"/>
    <x v="15"/>
    <x v="15"/>
    <x v="3"/>
    <x v="3"/>
    <x v="0"/>
  </r>
  <r>
    <n v="1138"/>
    <x v="0"/>
    <s v="31-40 years"/>
    <n v="35"/>
    <x v="0"/>
    <x v="3"/>
    <x v="14"/>
    <s v="Severe"/>
    <n v="1.801202"/>
    <x v="9"/>
    <x v="2"/>
    <n v="0.97880255999999999"/>
    <n v="26"/>
    <s v="Severe"/>
    <n v="1.3954502"/>
    <n v="25.333334000000001"/>
    <n v="25"/>
    <x v="2"/>
    <n v="1.3918183"/>
    <x v="95"/>
    <x v="2"/>
    <x v="2"/>
    <n v="1750"/>
    <n v="1750"/>
    <x v="9"/>
    <x v="9"/>
    <x v="0"/>
    <x v="0"/>
    <x v="0"/>
  </r>
  <r>
    <n v="1139"/>
    <x v="0"/>
    <s v="31-40 years"/>
    <n v="36"/>
    <x v="0"/>
    <x v="0"/>
    <x v="4"/>
    <s v="Normal"/>
    <n v="-0.61133329999999997"/>
    <x v="10"/>
    <x v="1"/>
    <n v="-1.1624711999999999"/>
    <n v="4"/>
    <s v="Normal"/>
    <n v="-0.72356116999999998"/>
    <n v="2.6666666999999999"/>
    <n v="3"/>
    <x v="0"/>
    <n v="-0.83245519999999995"/>
    <x v="70"/>
    <x v="1"/>
    <x v="1"/>
    <n v="5000"/>
    <n v="5000"/>
    <x v="2"/>
    <x v="2"/>
    <x v="1"/>
    <x v="1"/>
    <x v="1"/>
  </r>
  <r>
    <n v="1140"/>
    <x v="0"/>
    <s v="41-50 years"/>
    <n v="50"/>
    <x v="0"/>
    <x v="3"/>
    <x v="9"/>
    <s v="Severe"/>
    <n v="1.6001574999999999"/>
    <x v="6"/>
    <x v="0"/>
    <n v="0.58948003999999998"/>
    <n v="28"/>
    <s v="Severe"/>
    <n v="1.5880875999999999"/>
    <n v="24"/>
    <n v="24"/>
    <x v="2"/>
    <n v="1.2592417"/>
    <x v="96"/>
    <x v="2"/>
    <x v="2"/>
    <n v="3333.3332999999998"/>
    <n v="3333"/>
    <x v="10"/>
    <x v="10"/>
    <x v="3"/>
    <x v="3"/>
    <x v="0"/>
  </r>
  <r>
    <n v="1141"/>
    <x v="0"/>
    <s v="21-30 years"/>
    <n v="30"/>
    <x v="0"/>
    <x v="0"/>
    <x v="13"/>
    <s v="Severe"/>
    <n v="1.3991127999999999"/>
    <x v="12"/>
    <x v="2"/>
    <n v="1.1734637999999999"/>
    <n v="30"/>
    <s v="Severe"/>
    <n v="1.7807249999999999"/>
    <n v="26"/>
    <n v="26"/>
    <x v="2"/>
    <n v="1.4511006"/>
    <x v="97"/>
    <x v="3"/>
    <x v="3"/>
    <n v="6250"/>
    <n v="6250"/>
    <x v="27"/>
    <x v="27"/>
    <x v="2"/>
    <x v="2"/>
    <x v="2"/>
  </r>
  <r>
    <n v="1142"/>
    <x v="0"/>
    <s v="21-30 years"/>
    <n v="29"/>
    <x v="0"/>
    <x v="0"/>
    <x v="11"/>
    <s v="Moderate"/>
    <n v="0.99702360000000001"/>
    <x v="14"/>
    <x v="2"/>
    <n v="1.5627863"/>
    <n v="28"/>
    <s v="Severe"/>
    <n v="1.5880875999999999"/>
    <n v="25.333334000000001"/>
    <n v="25"/>
    <x v="2"/>
    <n v="1.3826324999999999"/>
    <x v="98"/>
    <x v="2"/>
    <x v="2"/>
    <n v="5000"/>
    <n v="5000"/>
    <x v="2"/>
    <x v="2"/>
    <x v="1"/>
    <x v="1"/>
    <x v="1"/>
  </r>
  <r>
    <n v="1143"/>
    <x v="0"/>
    <s v="41-50 years"/>
    <n v="41"/>
    <x v="0"/>
    <x v="0"/>
    <x v="11"/>
    <s v="Moderate"/>
    <n v="0.99702360000000001"/>
    <x v="13"/>
    <x v="3"/>
    <n v="1.9521089"/>
    <n v="32"/>
    <s v="Extremely Severe"/>
    <n v="1.9733623"/>
    <n v="28"/>
    <n v="28"/>
    <x v="2"/>
    <n v="1.6408316000000001"/>
    <x v="99"/>
    <x v="3"/>
    <x v="3"/>
    <n v="5000"/>
    <n v="5000"/>
    <x v="2"/>
    <x v="2"/>
    <x v="1"/>
    <x v="1"/>
    <x v="1"/>
  </r>
  <r>
    <n v="1144"/>
    <x v="0"/>
    <s v="31-40 years"/>
    <n v="31"/>
    <x v="0"/>
    <x v="0"/>
    <x v="11"/>
    <s v="Moderate"/>
    <n v="0.99702360000000001"/>
    <x v="14"/>
    <x v="2"/>
    <n v="1.5627863"/>
    <n v="20"/>
    <s v="Moderate"/>
    <n v="0.81753799999999999"/>
    <n v="22.666665999999999"/>
    <n v="23"/>
    <x v="2"/>
    <n v="1.1257826"/>
    <x v="100"/>
    <x v="2"/>
    <x v="2"/>
    <n v="2500"/>
    <n v="2500"/>
    <x v="12"/>
    <x v="12"/>
    <x v="4"/>
    <x v="4"/>
    <x v="0"/>
  </r>
  <r>
    <n v="1145"/>
    <x v="0"/>
    <s v="31-40 years"/>
    <n v="40"/>
    <x v="0"/>
    <x v="0"/>
    <x v="13"/>
    <s v="Severe"/>
    <n v="1.3991127999999999"/>
    <x v="13"/>
    <x v="3"/>
    <n v="1.9521089"/>
    <n v="26"/>
    <s v="Severe"/>
    <n v="1.3954502"/>
    <n v="27.333334000000001"/>
    <n v="27"/>
    <x v="2"/>
    <n v="1.5822240000000001"/>
    <x v="101"/>
    <x v="3"/>
    <x v="3"/>
    <n v="4000"/>
    <n v="4000"/>
    <x v="7"/>
    <x v="7"/>
    <x v="3"/>
    <x v="3"/>
    <x v="0"/>
  </r>
  <r>
    <n v="1146"/>
    <x v="0"/>
    <s v="41-50 years"/>
    <n v="42"/>
    <x v="0"/>
    <x v="0"/>
    <x v="13"/>
    <s v="Severe"/>
    <n v="1.3991127999999999"/>
    <x v="9"/>
    <x v="2"/>
    <n v="0.97880255999999999"/>
    <n v="30"/>
    <s v="Severe"/>
    <n v="1.7807249999999999"/>
    <n v="25.333334000000001"/>
    <n v="25"/>
    <x v="2"/>
    <n v="1.3862133999999999"/>
    <x v="102"/>
    <x v="2"/>
    <x v="2"/>
    <n v="2000"/>
    <n v="2000"/>
    <x v="11"/>
    <x v="11"/>
    <x v="4"/>
    <x v="4"/>
    <x v="0"/>
  </r>
  <r>
    <n v="1147"/>
    <x v="0"/>
    <s v="31-40 years"/>
    <n v="35"/>
    <x v="0"/>
    <x v="3"/>
    <x v="9"/>
    <s v="Severe"/>
    <n v="1.6001574999999999"/>
    <x v="11"/>
    <x v="2"/>
    <n v="1.3681251000000001"/>
    <n v="18"/>
    <s v="Moderate"/>
    <n v="0.62490060000000003"/>
    <n v="23.333334000000001"/>
    <n v="23"/>
    <x v="2"/>
    <n v="1.1977277"/>
    <x v="103"/>
    <x v="2"/>
    <x v="2"/>
    <n v="2000"/>
    <n v="2000"/>
    <x v="11"/>
    <x v="11"/>
    <x v="4"/>
    <x v="4"/>
    <x v="0"/>
  </r>
  <r>
    <n v="1148"/>
    <x v="0"/>
    <s v="31-40 years"/>
    <n v="37"/>
    <x v="0"/>
    <x v="0"/>
    <x v="10"/>
    <s v="Severe"/>
    <n v="1.1980683000000001"/>
    <x v="6"/>
    <x v="0"/>
    <n v="0.58948003999999998"/>
    <n v="30"/>
    <s v="Severe"/>
    <n v="1.7807249999999999"/>
    <n v="23.333334000000001"/>
    <n v="23"/>
    <x v="2"/>
    <n v="1.1894244"/>
    <x v="104"/>
    <x v="2"/>
    <x v="2"/>
    <n v="2666.6667000000002"/>
    <n v="2667"/>
    <x v="16"/>
    <x v="16"/>
    <x v="4"/>
    <x v="4"/>
    <x v="0"/>
  </r>
  <r>
    <n v="1149"/>
    <x v="0"/>
    <s v="51-60 years"/>
    <n v="51"/>
    <x v="0"/>
    <x v="0"/>
    <x v="13"/>
    <s v="Severe"/>
    <n v="1.3991127999999999"/>
    <x v="17"/>
    <x v="0"/>
    <n v="0.78414130000000004"/>
    <n v="26"/>
    <s v="Severe"/>
    <n v="1.3954502"/>
    <n v="23.333334000000001"/>
    <n v="23"/>
    <x v="2"/>
    <n v="1.1929015000000001"/>
    <x v="105"/>
    <x v="2"/>
    <x v="2"/>
    <n v="3750"/>
    <n v="3750"/>
    <x v="15"/>
    <x v="15"/>
    <x v="3"/>
    <x v="3"/>
    <x v="0"/>
  </r>
  <r>
    <n v="1150"/>
    <x v="0"/>
    <s v="41-50 years"/>
    <n v="46"/>
    <x v="0"/>
    <x v="0"/>
    <x v="13"/>
    <s v="Severe"/>
    <n v="1.3991127999999999"/>
    <x v="9"/>
    <x v="2"/>
    <n v="0.97880255999999999"/>
    <n v="32"/>
    <s v="Extremely Severe"/>
    <n v="1.9733623"/>
    <n v="26"/>
    <n v="26"/>
    <x v="2"/>
    <n v="1.4504258999999999"/>
    <x v="106"/>
    <x v="3"/>
    <x v="3"/>
    <n v="3600"/>
    <n v="3600"/>
    <x v="31"/>
    <x v="31"/>
    <x v="3"/>
    <x v="3"/>
    <x v="0"/>
  </r>
  <r>
    <n v="1151"/>
    <x v="0"/>
    <s v="31-40 years"/>
    <n v="38"/>
    <x v="0"/>
    <x v="0"/>
    <x v="10"/>
    <s v="Severe"/>
    <n v="1.1980683000000001"/>
    <x v="17"/>
    <x v="0"/>
    <n v="0.78414130000000004"/>
    <n v="24"/>
    <s v="Severe"/>
    <n v="1.2028128"/>
    <n v="22"/>
    <n v="22"/>
    <x v="2"/>
    <n v="1.0616741000000001"/>
    <x v="107"/>
    <x v="2"/>
    <x v="2"/>
    <n v="3000"/>
    <n v="3000"/>
    <x v="22"/>
    <x v="22"/>
    <x v="3"/>
    <x v="3"/>
    <x v="0"/>
  </r>
  <r>
    <n v="1152"/>
    <x v="0"/>
    <s v="41-50 years"/>
    <n v="41"/>
    <x v="0"/>
    <x v="0"/>
    <x v="9"/>
    <s v="Severe"/>
    <n v="1.6001574999999999"/>
    <x v="14"/>
    <x v="2"/>
    <n v="1.5627863"/>
    <n v="36"/>
    <s v="Extremely Severe"/>
    <n v="2.3586369999999999"/>
    <n v="30"/>
    <n v="30"/>
    <x v="2"/>
    <n v="1.8405269"/>
    <x v="108"/>
    <x v="3"/>
    <x v="3"/>
    <n v="2500"/>
    <n v="2500"/>
    <x v="12"/>
    <x v="12"/>
    <x v="4"/>
    <x v="4"/>
    <x v="0"/>
  </r>
  <r>
    <n v="1153"/>
    <x v="0"/>
    <s v="31-40 years"/>
    <n v="32"/>
    <x v="0"/>
    <x v="0"/>
    <x v="13"/>
    <s v="Severe"/>
    <n v="1.3991127999999999"/>
    <x v="6"/>
    <x v="0"/>
    <n v="0.58948003999999998"/>
    <n v="30"/>
    <s v="Severe"/>
    <n v="1.7807249999999999"/>
    <n v="24"/>
    <n v="24"/>
    <x v="2"/>
    <n v="1.2564393"/>
    <x v="109"/>
    <x v="2"/>
    <x v="2"/>
    <n v="2000"/>
    <n v="2000"/>
    <x v="11"/>
    <x v="11"/>
    <x v="4"/>
    <x v="4"/>
    <x v="0"/>
  </r>
  <r>
    <n v="1154"/>
    <x v="0"/>
    <s v="31-40 years"/>
    <n v="32"/>
    <x v="0"/>
    <x v="0"/>
    <x v="10"/>
    <s v="Severe"/>
    <n v="1.1980683000000001"/>
    <x v="12"/>
    <x v="2"/>
    <n v="1.1734637999999999"/>
    <n v="30"/>
    <s v="Severe"/>
    <n v="1.7807249999999999"/>
    <n v="25.333334000000001"/>
    <n v="25"/>
    <x v="2"/>
    <n v="1.3840857"/>
    <x v="110"/>
    <x v="2"/>
    <x v="2"/>
    <n v="2250"/>
    <n v="2250"/>
    <x v="36"/>
    <x v="36"/>
    <x v="4"/>
    <x v="4"/>
    <x v="0"/>
  </r>
  <r>
    <n v="1155"/>
    <x v="0"/>
    <s v="41-50 years"/>
    <n v="50"/>
    <x v="0"/>
    <x v="3"/>
    <x v="14"/>
    <s v="Severe"/>
    <n v="1.801202"/>
    <x v="15"/>
    <x v="2"/>
    <n v="1.7574476000000001"/>
    <n v="20"/>
    <s v="Moderate"/>
    <n v="0.81753799999999999"/>
    <n v="26"/>
    <n v="26"/>
    <x v="2"/>
    <n v="1.4587292999999999"/>
    <x v="111"/>
    <x v="3"/>
    <x v="3"/>
    <n v="1750"/>
    <n v="1750"/>
    <x v="9"/>
    <x v="9"/>
    <x v="0"/>
    <x v="0"/>
    <x v="0"/>
  </r>
  <r>
    <n v="1156"/>
    <x v="0"/>
    <s v="21-30 years"/>
    <n v="26"/>
    <x v="0"/>
    <x v="0"/>
    <x v="13"/>
    <s v="Severe"/>
    <n v="1.3991127999999999"/>
    <x v="12"/>
    <x v="2"/>
    <n v="1.1734637999999999"/>
    <n v="32"/>
    <s v="Extremely Severe"/>
    <n v="1.9733623"/>
    <n v="26.666665999999999"/>
    <n v="27"/>
    <x v="2"/>
    <n v="1.5153129999999999"/>
    <x v="112"/>
    <x v="3"/>
    <x v="3"/>
    <n v="5000"/>
    <n v="5000"/>
    <x v="2"/>
    <x v="2"/>
    <x v="1"/>
    <x v="1"/>
    <x v="1"/>
  </r>
  <r>
    <n v="1157"/>
    <x v="0"/>
    <s v="31-40 years"/>
    <n v="36"/>
    <x v="1"/>
    <x v="3"/>
    <x v="10"/>
    <s v="Severe"/>
    <n v="1.1980683000000001"/>
    <x v="14"/>
    <x v="2"/>
    <n v="1.5627863"/>
    <n v="26"/>
    <s v="Severe"/>
    <n v="1.3954502"/>
    <n v="25.333334000000001"/>
    <n v="25"/>
    <x v="2"/>
    <n v="1.385435"/>
    <x v="113"/>
    <x v="2"/>
    <x v="2"/>
    <n v="2333.3332999999998"/>
    <n v="2333"/>
    <x v="37"/>
    <x v="37"/>
    <x v="4"/>
    <x v="4"/>
    <x v="0"/>
  </r>
  <r>
    <n v="1158"/>
    <x v="0"/>
    <s v="31-40 years"/>
    <n v="37"/>
    <x v="1"/>
    <x v="0"/>
    <x v="15"/>
    <s v="Extremely Severe"/>
    <n v="2.2032911999999998"/>
    <x v="9"/>
    <x v="2"/>
    <n v="0.97880255999999999"/>
    <n v="26"/>
    <s v="Severe"/>
    <n v="1.3954502"/>
    <n v="26.666665999999999"/>
    <n v="27"/>
    <x v="2"/>
    <n v="1.5258480000000001"/>
    <x v="114"/>
    <x v="3"/>
    <x v="3"/>
    <n v="3250"/>
    <n v="3250"/>
    <x v="38"/>
    <x v="38"/>
    <x v="3"/>
    <x v="3"/>
    <x v="0"/>
  </r>
  <r>
    <n v="1159"/>
    <x v="0"/>
    <s v="31-40 years"/>
    <n v="40"/>
    <x v="1"/>
    <x v="1"/>
    <x v="9"/>
    <s v="Severe"/>
    <n v="1.6001574999999999"/>
    <x v="15"/>
    <x v="2"/>
    <n v="1.7574476000000001"/>
    <n v="28"/>
    <s v="Severe"/>
    <n v="1.5880875999999999"/>
    <n v="28"/>
    <n v="28"/>
    <x v="2"/>
    <n v="1.6485642"/>
    <x v="115"/>
    <x v="3"/>
    <x v="3"/>
    <n v="3500"/>
    <n v="3500"/>
    <x v="39"/>
    <x v="39"/>
    <x v="3"/>
    <x v="3"/>
    <x v="0"/>
  </r>
  <r>
    <n v="1160"/>
    <x v="0"/>
    <s v="31-40 years"/>
    <n v="37"/>
    <x v="1"/>
    <x v="3"/>
    <x v="14"/>
    <s v="Severe"/>
    <n v="1.801202"/>
    <x v="12"/>
    <x v="2"/>
    <n v="1.1734637999999999"/>
    <n v="22"/>
    <s v="Severe"/>
    <n v="1.0101753"/>
    <n v="24.666665999999999"/>
    <n v="25"/>
    <x v="2"/>
    <n v="1.3282803999999999"/>
    <x v="116"/>
    <x v="2"/>
    <x v="2"/>
    <n v="3000"/>
    <n v="3000"/>
    <x v="22"/>
    <x v="22"/>
    <x v="3"/>
    <x v="3"/>
    <x v="0"/>
  </r>
  <r>
    <n v="1161"/>
    <x v="0"/>
    <s v="21-30 years"/>
    <n v="26"/>
    <x v="1"/>
    <x v="5"/>
    <x v="13"/>
    <s v="Severe"/>
    <n v="1.3991127999999999"/>
    <x v="11"/>
    <x v="2"/>
    <n v="1.3681251000000001"/>
    <n v="28"/>
    <s v="Severe"/>
    <n v="1.5880875999999999"/>
    <n v="26"/>
    <n v="26"/>
    <x v="2"/>
    <n v="1.4517751999999999"/>
    <x v="117"/>
    <x v="3"/>
    <x v="3"/>
    <n v="3600"/>
    <n v="3600"/>
    <x v="31"/>
    <x v="31"/>
    <x v="3"/>
    <x v="3"/>
    <x v="0"/>
  </r>
  <r>
    <n v="1162"/>
    <x v="0"/>
    <s v="21-30 years"/>
    <n v="25"/>
    <x v="1"/>
    <x v="3"/>
    <x v="10"/>
    <s v="Severe"/>
    <n v="1.1980683000000001"/>
    <x v="12"/>
    <x v="2"/>
    <n v="1.1734637999999999"/>
    <n v="34"/>
    <s v="Extremely Severe"/>
    <n v="2.1659999999999999"/>
    <n v="26.666665999999999"/>
    <n v="27"/>
    <x v="2"/>
    <n v="1.5125107"/>
    <x v="118"/>
    <x v="3"/>
    <x v="3"/>
    <n v="3200"/>
    <n v="3200"/>
    <x v="33"/>
    <x v="33"/>
    <x v="3"/>
    <x v="3"/>
    <x v="0"/>
  </r>
  <r>
    <n v="1163"/>
    <x v="0"/>
    <s v="21-30 years"/>
    <n v="28"/>
    <x v="1"/>
    <x v="1"/>
    <x v="9"/>
    <s v="Severe"/>
    <n v="1.6001574999999999"/>
    <x v="15"/>
    <x v="2"/>
    <n v="1.7574476000000001"/>
    <n v="26"/>
    <s v="Severe"/>
    <n v="1.3954502"/>
    <n v="27.333334000000001"/>
    <n v="27"/>
    <x v="2"/>
    <n v="1.5843518000000001"/>
    <x v="119"/>
    <x v="3"/>
    <x v="3"/>
    <n v="3400"/>
    <n v="3400"/>
    <x v="40"/>
    <x v="40"/>
    <x v="3"/>
    <x v="3"/>
    <x v="0"/>
  </r>
  <r>
    <n v="1164"/>
    <x v="0"/>
    <s v="21-30 years"/>
    <n v="26"/>
    <x v="1"/>
    <x v="3"/>
    <x v="13"/>
    <s v="Severe"/>
    <n v="1.3991127999999999"/>
    <x v="9"/>
    <x v="2"/>
    <n v="0.97880255999999999"/>
    <n v="28"/>
    <s v="Severe"/>
    <n v="1.5880875999999999"/>
    <n v="24.666665999999999"/>
    <n v="25"/>
    <x v="2"/>
    <n v="1.322001"/>
    <x v="120"/>
    <x v="2"/>
    <x v="2"/>
    <n v="3750"/>
    <n v="3750"/>
    <x v="15"/>
    <x v="15"/>
    <x v="3"/>
    <x v="3"/>
    <x v="0"/>
  </r>
  <r>
    <n v="1165"/>
    <x v="0"/>
    <s v="21-30 years"/>
    <n v="28"/>
    <x v="1"/>
    <x v="3"/>
    <x v="9"/>
    <s v="Severe"/>
    <n v="1.6001574999999999"/>
    <x v="12"/>
    <x v="2"/>
    <n v="1.1734637999999999"/>
    <n v="26"/>
    <s v="Severe"/>
    <n v="1.3954502"/>
    <n v="25.333334000000001"/>
    <n v="25"/>
    <x v="2"/>
    <n v="1.3896904999999999"/>
    <x v="86"/>
    <x v="2"/>
    <x v="2"/>
    <n v="3500"/>
    <n v="3500"/>
    <x v="39"/>
    <x v="39"/>
    <x v="3"/>
    <x v="3"/>
    <x v="0"/>
  </r>
  <r>
    <n v="1166"/>
    <x v="0"/>
    <s v="21-30 years"/>
    <n v="25"/>
    <x v="1"/>
    <x v="3"/>
    <x v="11"/>
    <s v="Moderate"/>
    <n v="0.99702360000000001"/>
    <x v="14"/>
    <x v="2"/>
    <n v="1.5627863"/>
    <n v="24"/>
    <s v="Severe"/>
    <n v="1.2028128"/>
    <n v="24"/>
    <n v="24"/>
    <x v="2"/>
    <n v="1.2542076"/>
    <x v="121"/>
    <x v="2"/>
    <x v="2"/>
    <n v="3400"/>
    <n v="3400"/>
    <x v="40"/>
    <x v="40"/>
    <x v="3"/>
    <x v="3"/>
    <x v="0"/>
  </r>
  <r>
    <n v="1167"/>
    <x v="0"/>
    <s v="21-30 years"/>
    <n v="27"/>
    <x v="1"/>
    <x v="3"/>
    <x v="15"/>
    <s v="Extremely Severe"/>
    <n v="2.2032911999999998"/>
    <x v="11"/>
    <x v="2"/>
    <n v="1.3681251000000001"/>
    <n v="22"/>
    <s v="Severe"/>
    <n v="1.0101753"/>
    <n v="26.666665999999999"/>
    <n v="27"/>
    <x v="2"/>
    <n v="1.5271972"/>
    <x v="122"/>
    <x v="3"/>
    <x v="3"/>
    <n v="2800"/>
    <n v="2800"/>
    <x v="32"/>
    <x v="32"/>
    <x v="4"/>
    <x v="4"/>
    <x v="0"/>
  </r>
  <r>
    <n v="1168"/>
    <x v="0"/>
    <s v="21-30 years"/>
    <n v="25"/>
    <x v="1"/>
    <x v="3"/>
    <x v="13"/>
    <s v="Severe"/>
    <n v="1.3991127999999999"/>
    <x v="12"/>
    <x v="2"/>
    <n v="1.1734637999999999"/>
    <n v="26"/>
    <s v="Severe"/>
    <n v="1.3954502"/>
    <n v="24.666665999999999"/>
    <n v="25"/>
    <x v="2"/>
    <n v="1.3226756"/>
    <x v="123"/>
    <x v="2"/>
    <x v="2"/>
    <n v="4000"/>
    <n v="4000"/>
    <x v="7"/>
    <x v="7"/>
    <x v="3"/>
    <x v="3"/>
    <x v="0"/>
  </r>
  <r>
    <n v="1169"/>
    <x v="0"/>
    <s v="31-40 years"/>
    <n v="36"/>
    <x v="1"/>
    <x v="0"/>
    <x v="13"/>
    <s v="Severe"/>
    <n v="1.3991127999999999"/>
    <x v="11"/>
    <x v="2"/>
    <n v="1.3681251000000001"/>
    <n v="34"/>
    <s v="Extremely Severe"/>
    <n v="2.1659999999999999"/>
    <n v="28"/>
    <n v="28"/>
    <x v="2"/>
    <n v="1.6444125999999999"/>
    <x v="124"/>
    <x v="3"/>
    <x v="3"/>
    <n v="2333.3332999999998"/>
    <n v="2333"/>
    <x v="37"/>
    <x v="37"/>
    <x v="4"/>
    <x v="4"/>
    <x v="0"/>
  </r>
  <r>
    <n v="1170"/>
    <x v="0"/>
    <s v="31-40 years"/>
    <n v="35"/>
    <x v="1"/>
    <x v="1"/>
    <x v="16"/>
    <s v="Extremely Severe"/>
    <n v="2.4043359999999998"/>
    <x v="16"/>
    <x v="3"/>
    <n v="2.1467700000000001"/>
    <n v="22"/>
    <s v="Severe"/>
    <n v="1.0101753"/>
    <n v="30"/>
    <n v="30"/>
    <x v="2"/>
    <n v="1.8537604999999999"/>
    <x v="125"/>
    <x v="3"/>
    <x v="3"/>
    <n v="3750"/>
    <n v="3750"/>
    <x v="15"/>
    <x v="15"/>
    <x v="3"/>
    <x v="3"/>
    <x v="0"/>
  </r>
  <r>
    <n v="1171"/>
    <x v="0"/>
    <s v="21-30 years"/>
    <n v="26"/>
    <x v="1"/>
    <x v="1"/>
    <x v="9"/>
    <s v="Severe"/>
    <n v="1.6001574999999999"/>
    <x v="12"/>
    <x v="2"/>
    <n v="1.1734637999999999"/>
    <n v="32"/>
    <s v="Extremely Severe"/>
    <n v="1.9733623"/>
    <n v="27.333334000000001"/>
    <n v="27"/>
    <x v="2"/>
    <n v="1.5823278000000001"/>
    <x v="126"/>
    <x v="3"/>
    <x v="3"/>
    <n v="3200"/>
    <n v="3200"/>
    <x v="33"/>
    <x v="33"/>
    <x v="3"/>
    <x v="3"/>
    <x v="0"/>
  </r>
  <r>
    <n v="1172"/>
    <x v="0"/>
    <s v="31-40 years"/>
    <n v="35"/>
    <x v="1"/>
    <x v="1"/>
    <x v="10"/>
    <s v="Severe"/>
    <n v="1.1980683000000001"/>
    <x v="17"/>
    <x v="0"/>
    <n v="0.78414130000000004"/>
    <n v="34"/>
    <s v="Extremely Severe"/>
    <n v="2.1659999999999999"/>
    <n v="25.333334000000001"/>
    <n v="25"/>
    <x v="2"/>
    <n v="1.3827364"/>
    <x v="127"/>
    <x v="2"/>
    <x v="2"/>
    <n v="3000"/>
    <n v="3000"/>
    <x v="22"/>
    <x v="22"/>
    <x v="3"/>
    <x v="3"/>
    <x v="0"/>
  </r>
  <r>
    <n v="1173"/>
    <x v="0"/>
    <s v="31-40 years"/>
    <n v="38"/>
    <x v="1"/>
    <x v="3"/>
    <x v="17"/>
    <s v="Severe"/>
    <n v="2.0022465999999999"/>
    <x v="12"/>
    <x v="2"/>
    <n v="1.1734637999999999"/>
    <n v="18"/>
    <s v="Moderate"/>
    <n v="0.62490060000000003"/>
    <n v="24"/>
    <n v="24"/>
    <x v="2"/>
    <n v="1.2668704"/>
    <x v="128"/>
    <x v="2"/>
    <x v="2"/>
    <n v="3250"/>
    <n v="3250"/>
    <x v="38"/>
    <x v="38"/>
    <x v="3"/>
    <x v="3"/>
    <x v="0"/>
  </r>
  <r>
    <n v="1174"/>
    <x v="0"/>
    <s v="41-50 years"/>
    <n v="43"/>
    <x v="1"/>
    <x v="1"/>
    <x v="10"/>
    <s v="Severe"/>
    <n v="1.1980683000000001"/>
    <x v="11"/>
    <x v="2"/>
    <n v="1.3681251000000001"/>
    <n v="30"/>
    <s v="Severe"/>
    <n v="1.7807249999999999"/>
    <n v="26"/>
    <n v="26"/>
    <x v="2"/>
    <n v="1.4489727999999999"/>
    <x v="129"/>
    <x v="3"/>
    <x v="3"/>
    <n v="2600"/>
    <n v="2600"/>
    <x v="35"/>
    <x v="35"/>
    <x v="4"/>
    <x v="4"/>
    <x v="0"/>
  </r>
  <r>
    <n v="1175"/>
    <x v="0"/>
    <s v="31-40 years"/>
    <n v="32"/>
    <x v="1"/>
    <x v="1"/>
    <x v="14"/>
    <s v="Severe"/>
    <n v="1.801202"/>
    <x v="15"/>
    <x v="2"/>
    <n v="1.7574476000000001"/>
    <n v="28"/>
    <s v="Severe"/>
    <n v="1.5880875999999999"/>
    <n v="28.666665999999999"/>
    <n v="29"/>
    <x v="2"/>
    <n v="1.715579"/>
    <x v="130"/>
    <x v="3"/>
    <x v="3"/>
    <n v="4000"/>
    <n v="4000"/>
    <x v="7"/>
    <x v="7"/>
    <x v="3"/>
    <x v="3"/>
    <x v="0"/>
  </r>
  <r>
    <n v="1176"/>
    <x v="0"/>
    <s v="21-30 years"/>
    <n v="28"/>
    <x v="1"/>
    <x v="1"/>
    <x v="11"/>
    <s v="Moderate"/>
    <n v="0.99702360000000001"/>
    <x v="13"/>
    <x v="3"/>
    <n v="1.9521089"/>
    <n v="34"/>
    <s v="Extremely Severe"/>
    <n v="2.1659999999999999"/>
    <n v="28.666665999999999"/>
    <n v="29"/>
    <x v="2"/>
    <n v="1.7050441999999999"/>
    <x v="131"/>
    <x v="3"/>
    <x v="3"/>
    <n v="4250"/>
    <n v="4250"/>
    <x v="41"/>
    <x v="41"/>
    <x v="3"/>
    <x v="3"/>
    <x v="0"/>
  </r>
  <r>
    <n v="1177"/>
    <x v="0"/>
    <s v="31-40 years"/>
    <n v="36"/>
    <x v="1"/>
    <x v="1"/>
    <x v="13"/>
    <s v="Severe"/>
    <n v="1.3991127999999999"/>
    <x v="12"/>
    <x v="2"/>
    <n v="1.1734637999999999"/>
    <n v="32"/>
    <s v="Extremely Severe"/>
    <n v="1.9733623"/>
    <n v="26.666665999999999"/>
    <n v="27"/>
    <x v="2"/>
    <n v="1.5153129999999999"/>
    <x v="112"/>
    <x v="3"/>
    <x v="3"/>
    <n v="4500"/>
    <n v="4500"/>
    <x v="42"/>
    <x v="42"/>
    <x v="1"/>
    <x v="1"/>
    <x v="1"/>
  </r>
  <r>
    <n v="1178"/>
    <x v="0"/>
    <s v="21-30 years"/>
    <n v="26"/>
    <x v="1"/>
    <x v="5"/>
    <x v="14"/>
    <s v="Severe"/>
    <n v="1.801202"/>
    <x v="14"/>
    <x v="2"/>
    <n v="1.5627863"/>
    <n v="32"/>
    <s v="Extremely Severe"/>
    <n v="1.9733623"/>
    <n v="29.333334000000001"/>
    <n v="29"/>
    <x v="2"/>
    <n v="1.7791169"/>
    <x v="132"/>
    <x v="3"/>
    <x v="3"/>
    <n v="3200"/>
    <n v="3200"/>
    <x v="33"/>
    <x v="33"/>
    <x v="3"/>
    <x v="3"/>
    <x v="0"/>
  </r>
  <r>
    <n v="1179"/>
    <x v="0"/>
    <s v="21-30 years"/>
    <n v="26"/>
    <x v="1"/>
    <x v="3"/>
    <x v="14"/>
    <s v="Severe"/>
    <n v="1.801202"/>
    <x v="9"/>
    <x v="2"/>
    <n v="0.97880255999999999"/>
    <n v="28"/>
    <s v="Severe"/>
    <n v="1.5880875999999999"/>
    <n v="26"/>
    <n v="26"/>
    <x v="2"/>
    <n v="1.4560306999999999"/>
    <x v="133"/>
    <x v="3"/>
    <x v="3"/>
    <n v="2800"/>
    <n v="2800"/>
    <x v="32"/>
    <x v="32"/>
    <x v="4"/>
    <x v="4"/>
    <x v="0"/>
  </r>
  <r>
    <n v="1180"/>
    <x v="0"/>
    <s v="41-50 years"/>
    <n v="43"/>
    <x v="1"/>
    <x v="3"/>
    <x v="13"/>
    <s v="Severe"/>
    <n v="1.3991127999999999"/>
    <x v="11"/>
    <x v="2"/>
    <n v="1.3681251000000001"/>
    <n v="20"/>
    <s v="Moderate"/>
    <n v="0.81753799999999999"/>
    <n v="23.333334000000001"/>
    <n v="23"/>
    <x v="2"/>
    <n v="1.1949253"/>
    <x v="134"/>
    <x v="2"/>
    <x v="2"/>
    <n v="3200"/>
    <n v="3200"/>
    <x v="33"/>
    <x v="33"/>
    <x v="3"/>
    <x v="3"/>
    <x v="0"/>
  </r>
  <r>
    <n v="1181"/>
    <x v="0"/>
    <s v="21-30 years"/>
    <n v="26"/>
    <x v="1"/>
    <x v="5"/>
    <x v="11"/>
    <s v="Moderate"/>
    <n v="0.99702360000000001"/>
    <x v="9"/>
    <x v="2"/>
    <n v="0.97880255999999999"/>
    <n v="26"/>
    <s v="Severe"/>
    <n v="1.3954502"/>
    <n v="22.666665999999999"/>
    <n v="23"/>
    <x v="2"/>
    <n v="1.1237588000000001"/>
    <x v="135"/>
    <x v="2"/>
    <x v="2"/>
    <n v="2571.4285"/>
    <n v="2571"/>
    <x v="43"/>
    <x v="43"/>
    <x v="4"/>
    <x v="4"/>
    <x v="0"/>
  </r>
  <r>
    <n v="1182"/>
    <x v="0"/>
    <s v="41-50 years"/>
    <n v="43"/>
    <x v="1"/>
    <x v="1"/>
    <x v="17"/>
    <s v="Severe"/>
    <n v="2.0022465999999999"/>
    <x v="11"/>
    <x v="2"/>
    <n v="1.3681251000000001"/>
    <n v="26"/>
    <s v="Severe"/>
    <n v="1.3954502"/>
    <n v="27.333334000000001"/>
    <n v="27"/>
    <x v="2"/>
    <n v="1.5886073000000001"/>
    <x v="136"/>
    <x v="3"/>
    <x v="3"/>
    <n v="3750"/>
    <n v="3750"/>
    <x v="15"/>
    <x v="15"/>
    <x v="3"/>
    <x v="3"/>
    <x v="0"/>
  </r>
  <r>
    <n v="1183"/>
    <x v="0"/>
    <s v="21-30 years"/>
    <n v="27"/>
    <x v="1"/>
    <x v="3"/>
    <x v="14"/>
    <s v="Severe"/>
    <n v="1.801202"/>
    <x v="12"/>
    <x v="2"/>
    <n v="1.1734637999999999"/>
    <n v="32"/>
    <s v="Extremely Severe"/>
    <n v="1.9733623"/>
    <n v="28"/>
    <n v="28"/>
    <x v="2"/>
    <n v="1.6493428000000001"/>
    <x v="137"/>
    <x v="3"/>
    <x v="3"/>
    <n v="3000"/>
    <n v="3000"/>
    <x v="22"/>
    <x v="22"/>
    <x v="3"/>
    <x v="3"/>
    <x v="0"/>
  </r>
  <r>
    <n v="1184"/>
    <x v="0"/>
    <s v="21-30 years"/>
    <n v="30"/>
    <x v="1"/>
    <x v="1"/>
    <x v="15"/>
    <s v="Extremely Severe"/>
    <n v="2.2032911999999998"/>
    <x v="11"/>
    <x v="2"/>
    <n v="1.3681251000000001"/>
    <n v="26"/>
    <s v="Severe"/>
    <n v="1.3954502"/>
    <n v="28"/>
    <n v="28"/>
    <x v="2"/>
    <n v="1.6556221"/>
    <x v="138"/>
    <x v="3"/>
    <x v="3"/>
    <n v="2666.6667000000002"/>
    <n v="2667"/>
    <x v="16"/>
    <x v="16"/>
    <x v="4"/>
    <x v="4"/>
    <x v="0"/>
  </r>
  <r>
    <n v="1185"/>
    <x v="0"/>
    <s v="21-30 years"/>
    <n v="28"/>
    <x v="1"/>
    <x v="1"/>
    <x v="11"/>
    <s v="Moderate"/>
    <n v="0.99702360000000001"/>
    <x v="17"/>
    <x v="0"/>
    <n v="0.78414130000000004"/>
    <n v="36"/>
    <s v="Extremely Severe"/>
    <n v="2.3586369999999999"/>
    <n v="25.333334000000001"/>
    <n v="25"/>
    <x v="2"/>
    <n v="1.379934"/>
    <x v="139"/>
    <x v="2"/>
    <x v="2"/>
    <n v="2666.6667000000002"/>
    <n v="2667"/>
    <x v="16"/>
    <x v="16"/>
    <x v="4"/>
    <x v="4"/>
    <x v="0"/>
  </r>
  <r>
    <n v="1186"/>
    <x v="0"/>
    <s v="21-30 years"/>
    <n v="29"/>
    <x v="1"/>
    <x v="3"/>
    <x v="17"/>
    <s v="Severe"/>
    <n v="2.0022465999999999"/>
    <x v="14"/>
    <x v="2"/>
    <n v="1.5627863"/>
    <n v="24"/>
    <s v="Severe"/>
    <n v="1.2028128"/>
    <n v="27.333334000000001"/>
    <n v="27"/>
    <x v="2"/>
    <n v="1.5892819"/>
    <x v="140"/>
    <x v="3"/>
    <x v="3"/>
    <n v="3000"/>
    <n v="3000"/>
    <x v="22"/>
    <x v="22"/>
    <x v="3"/>
    <x v="3"/>
    <x v="0"/>
  </r>
  <r>
    <n v="1187"/>
    <x v="0"/>
    <s v="31-40 years"/>
    <n v="33"/>
    <x v="1"/>
    <x v="3"/>
    <x v="10"/>
    <s v="Severe"/>
    <n v="1.1980683000000001"/>
    <x v="15"/>
    <x v="2"/>
    <n v="1.7574476000000001"/>
    <n v="22"/>
    <s v="Severe"/>
    <n v="1.0101753"/>
    <n v="24.666665999999999"/>
    <n v="25"/>
    <x v="2"/>
    <n v="1.3218970000000001"/>
    <x v="141"/>
    <x v="2"/>
    <x v="2"/>
    <n v="4250"/>
    <n v="4250"/>
    <x v="41"/>
    <x v="41"/>
    <x v="3"/>
    <x v="3"/>
    <x v="0"/>
  </r>
  <r>
    <n v="1188"/>
    <x v="0"/>
    <s v="31-40 years"/>
    <n v="40"/>
    <x v="1"/>
    <x v="0"/>
    <x v="14"/>
    <s v="Severe"/>
    <n v="1.801202"/>
    <x v="15"/>
    <x v="2"/>
    <n v="1.7574476000000001"/>
    <n v="24"/>
    <s v="Severe"/>
    <n v="1.2028128"/>
    <n v="27.333334000000001"/>
    <n v="27"/>
    <x v="2"/>
    <n v="1.5871542000000001"/>
    <x v="142"/>
    <x v="3"/>
    <x v="3"/>
    <n v="4000"/>
    <n v="4000"/>
    <x v="7"/>
    <x v="7"/>
    <x v="3"/>
    <x v="3"/>
    <x v="0"/>
  </r>
  <r>
    <n v="1189"/>
    <x v="0"/>
    <s v="31-40 years"/>
    <n v="31"/>
    <x v="1"/>
    <x v="1"/>
    <x v="13"/>
    <s v="Severe"/>
    <n v="1.3991127999999999"/>
    <x v="14"/>
    <x v="2"/>
    <n v="1.5627863"/>
    <n v="20"/>
    <s v="Moderate"/>
    <n v="0.81753799999999999"/>
    <n v="24"/>
    <n v="24"/>
    <x v="2"/>
    <n v="1.2598123999999999"/>
    <x v="143"/>
    <x v="2"/>
    <x v="2"/>
    <n v="2400"/>
    <n v="2400"/>
    <x v="34"/>
    <x v="34"/>
    <x v="4"/>
    <x v="4"/>
    <x v="0"/>
  </r>
  <r>
    <n v="1190"/>
    <x v="0"/>
    <s v="21-30 years"/>
    <n v="29"/>
    <x v="1"/>
    <x v="1"/>
    <x v="14"/>
    <s v="Severe"/>
    <n v="1.801202"/>
    <x v="15"/>
    <x v="2"/>
    <n v="1.7574476000000001"/>
    <n v="28"/>
    <s v="Severe"/>
    <n v="1.5880875999999999"/>
    <n v="28.666665999999999"/>
    <n v="29"/>
    <x v="2"/>
    <n v="1.715579"/>
    <x v="130"/>
    <x v="3"/>
    <x v="3"/>
    <n v="2800"/>
    <n v="2800"/>
    <x v="32"/>
    <x v="32"/>
    <x v="4"/>
    <x v="4"/>
    <x v="0"/>
  </r>
  <r>
    <n v="1191"/>
    <x v="0"/>
    <s v="31-40 years"/>
    <n v="32"/>
    <x v="1"/>
    <x v="3"/>
    <x v="10"/>
    <s v="Severe"/>
    <n v="1.1980683000000001"/>
    <x v="12"/>
    <x v="2"/>
    <n v="1.1734637999999999"/>
    <n v="32"/>
    <s v="Extremely Severe"/>
    <n v="1.9733623"/>
    <n v="26"/>
    <n v="26"/>
    <x v="2"/>
    <n v="1.4482980999999999"/>
    <x v="144"/>
    <x v="3"/>
    <x v="3"/>
    <n v="3750"/>
    <n v="3750"/>
    <x v="15"/>
    <x v="15"/>
    <x v="3"/>
    <x v="3"/>
    <x v="0"/>
  </r>
  <r>
    <n v="1192"/>
    <x v="0"/>
    <s v="41-50 years"/>
    <n v="45"/>
    <x v="1"/>
    <x v="1"/>
    <x v="10"/>
    <s v="Severe"/>
    <n v="1.1980683000000001"/>
    <x v="11"/>
    <x v="2"/>
    <n v="1.3681251000000001"/>
    <n v="38"/>
    <s v="Extremely Severe"/>
    <n v="2.5512744999999999"/>
    <n v="28.666665999999999"/>
    <n v="29"/>
    <x v="2"/>
    <n v="1.7058226000000001"/>
    <x v="145"/>
    <x v="3"/>
    <x v="3"/>
    <n v="3000"/>
    <n v="3000"/>
    <x v="22"/>
    <x v="22"/>
    <x v="3"/>
    <x v="3"/>
    <x v="0"/>
  </r>
  <r>
    <n v="1193"/>
    <x v="0"/>
    <s v="31-40 years"/>
    <n v="32"/>
    <x v="1"/>
    <x v="1"/>
    <x v="13"/>
    <s v="Severe"/>
    <n v="1.3991127999999999"/>
    <x v="14"/>
    <x v="2"/>
    <n v="1.5627863"/>
    <n v="32"/>
    <s v="Extremely Severe"/>
    <n v="1.9733623"/>
    <n v="28"/>
    <n v="28"/>
    <x v="2"/>
    <n v="1.6450871"/>
    <x v="146"/>
    <x v="3"/>
    <x v="3"/>
    <n v="3500"/>
    <n v="3500"/>
    <x v="39"/>
    <x v="39"/>
    <x v="3"/>
    <x v="3"/>
    <x v="0"/>
  </r>
  <r>
    <n v="1194"/>
    <x v="0"/>
    <s v="31-40 years"/>
    <n v="40"/>
    <x v="1"/>
    <x v="0"/>
    <x v="14"/>
    <s v="Severe"/>
    <n v="1.801202"/>
    <x v="13"/>
    <x v="3"/>
    <n v="1.9521089"/>
    <n v="20"/>
    <s v="Moderate"/>
    <n v="0.81753799999999999"/>
    <n v="26.666665999999999"/>
    <n v="27"/>
    <x v="2"/>
    <n v="1.5236163"/>
    <x v="147"/>
    <x v="3"/>
    <x v="3"/>
    <n v="2800"/>
    <n v="2800"/>
    <x v="32"/>
    <x v="32"/>
    <x v="4"/>
    <x v="4"/>
    <x v="0"/>
  </r>
  <r>
    <n v="1195"/>
    <x v="0"/>
    <s v="41-50 years"/>
    <n v="44"/>
    <x v="0"/>
    <x v="0"/>
    <x v="13"/>
    <s v="Severe"/>
    <n v="1.3991127999999999"/>
    <x v="9"/>
    <x v="2"/>
    <n v="0.97880255999999999"/>
    <n v="26"/>
    <s v="Severe"/>
    <n v="1.3954502"/>
    <n v="24"/>
    <n v="24"/>
    <x v="2"/>
    <n v="1.2577885"/>
    <x v="148"/>
    <x v="2"/>
    <x v="2"/>
    <n v="2500"/>
    <n v="2500"/>
    <x v="12"/>
    <x v="12"/>
    <x v="4"/>
    <x v="4"/>
    <x v="0"/>
  </r>
  <r>
    <n v="1196"/>
    <x v="0"/>
    <s v="31-40 years"/>
    <n v="35"/>
    <x v="0"/>
    <x v="0"/>
    <x v="14"/>
    <s v="Severe"/>
    <n v="1.801202"/>
    <x v="9"/>
    <x v="2"/>
    <n v="0.97880255999999999"/>
    <n v="24"/>
    <s v="Severe"/>
    <n v="1.2028128"/>
    <n v="24.666665999999999"/>
    <n v="25"/>
    <x v="2"/>
    <n v="1.3276057999999999"/>
    <x v="149"/>
    <x v="2"/>
    <x v="2"/>
    <n v="3200"/>
    <n v="3200"/>
    <x v="33"/>
    <x v="33"/>
    <x v="3"/>
    <x v="3"/>
    <x v="0"/>
  </r>
  <r>
    <n v="1197"/>
    <x v="0"/>
    <s v="41-50 years"/>
    <n v="42"/>
    <x v="0"/>
    <x v="3"/>
    <x v="14"/>
    <s v="Severe"/>
    <n v="1.801202"/>
    <x v="17"/>
    <x v="0"/>
    <n v="0.78414130000000004"/>
    <n v="22"/>
    <s v="Severe"/>
    <n v="1.0101753"/>
    <n v="23.333334000000001"/>
    <n v="23"/>
    <x v="2"/>
    <n v="1.1985062"/>
    <x v="150"/>
    <x v="2"/>
    <x v="2"/>
    <n v="2166.6667000000002"/>
    <n v="2167"/>
    <x v="44"/>
    <x v="44"/>
    <x v="4"/>
    <x v="4"/>
    <x v="0"/>
  </r>
  <r>
    <n v="1198"/>
    <x v="0"/>
    <s v="31-40 years"/>
    <n v="33"/>
    <x v="0"/>
    <x v="3"/>
    <x v="14"/>
    <s v="Severe"/>
    <n v="1.801202"/>
    <x v="15"/>
    <x v="2"/>
    <n v="1.7574476000000001"/>
    <n v="26"/>
    <s v="Severe"/>
    <n v="1.3954502"/>
    <n v="28"/>
    <n v="28"/>
    <x v="2"/>
    <n v="1.6513666"/>
    <x v="151"/>
    <x v="3"/>
    <x v="3"/>
    <n v="6250"/>
    <n v="6250"/>
    <x v="27"/>
    <x v="27"/>
    <x v="2"/>
    <x v="2"/>
    <x v="2"/>
  </r>
  <r>
    <n v="1199"/>
    <x v="0"/>
    <s v="41-50 years"/>
    <n v="41"/>
    <x v="0"/>
    <x v="0"/>
    <x v="16"/>
    <s v="Extremely Severe"/>
    <n v="2.4043359999999998"/>
    <x v="14"/>
    <x v="2"/>
    <n v="1.5627863"/>
    <n v="28"/>
    <s v="Severe"/>
    <n v="1.5880875999999999"/>
    <n v="30"/>
    <n v="30"/>
    <x v="2"/>
    <n v="1.8517367"/>
    <x v="152"/>
    <x v="3"/>
    <x v="3"/>
    <n v="6250"/>
    <n v="6250"/>
    <x v="27"/>
    <x v="27"/>
    <x v="2"/>
    <x v="2"/>
    <x v="2"/>
  </r>
  <r>
    <n v="1200"/>
    <x v="0"/>
    <s v="31-40 years"/>
    <n v="38"/>
    <x v="0"/>
    <x v="0"/>
    <x v="14"/>
    <s v="Severe"/>
    <n v="1.801202"/>
    <x v="9"/>
    <x v="2"/>
    <n v="0.97880255999999999"/>
    <n v="22"/>
    <s v="Severe"/>
    <n v="1.0101753"/>
    <n v="24"/>
    <n v="24"/>
    <x v="2"/>
    <n v="1.2633932999999999"/>
    <x v="153"/>
    <x v="2"/>
    <x v="2"/>
    <n v="3333.3332999999998"/>
    <n v="3333"/>
    <x v="10"/>
    <x v="10"/>
    <x v="3"/>
    <x v="3"/>
    <x v="0"/>
  </r>
  <r>
    <n v="1201"/>
    <x v="0"/>
    <s v="21-30 years"/>
    <n v="30"/>
    <x v="0"/>
    <x v="0"/>
    <x v="11"/>
    <s v="Moderate"/>
    <n v="0.99702360000000001"/>
    <x v="12"/>
    <x v="2"/>
    <n v="1.1734637999999999"/>
    <n v="32"/>
    <s v="Extremely Severe"/>
    <n v="1.9733623"/>
    <n v="25.333334000000001"/>
    <n v="25"/>
    <x v="2"/>
    <n v="1.3812833"/>
    <x v="154"/>
    <x v="2"/>
    <x v="2"/>
    <n v="6000"/>
    <n v="6000"/>
    <x v="6"/>
    <x v="6"/>
    <x v="2"/>
    <x v="2"/>
    <x v="2"/>
  </r>
  <r>
    <n v="1202"/>
    <x v="0"/>
    <s v="31-40 years"/>
    <n v="31"/>
    <x v="0"/>
    <x v="3"/>
    <x v="11"/>
    <s v="Moderate"/>
    <n v="0.99702360000000001"/>
    <x v="18"/>
    <x v="3"/>
    <n v="2.5360925000000001"/>
    <n v="16"/>
    <s v="Moderate"/>
    <n v="0.43226320000000001"/>
    <n v="24.666665999999999"/>
    <n v="25"/>
    <x v="2"/>
    <n v="1.3217931000000001"/>
    <x v="155"/>
    <x v="2"/>
    <x v="2"/>
    <n v="2000"/>
    <n v="2000"/>
    <x v="11"/>
    <x v="11"/>
    <x v="4"/>
    <x v="4"/>
    <x v="0"/>
  </r>
  <r>
    <n v="1203"/>
    <x v="0"/>
    <s v="31-40 years"/>
    <n v="40"/>
    <x v="0"/>
    <x v="3"/>
    <x v="14"/>
    <s v="Severe"/>
    <n v="1.801202"/>
    <x v="11"/>
    <x v="2"/>
    <n v="1.3681251000000001"/>
    <n v="18"/>
    <s v="Moderate"/>
    <n v="0.62490060000000003"/>
    <n v="24"/>
    <n v="24"/>
    <x v="2"/>
    <n v="1.2647425999999999"/>
    <x v="156"/>
    <x v="2"/>
    <x v="2"/>
    <n v="1750"/>
    <n v="1750"/>
    <x v="9"/>
    <x v="9"/>
    <x v="0"/>
    <x v="0"/>
    <x v="0"/>
  </r>
  <r>
    <n v="1204"/>
    <x v="0"/>
    <s v="41-50 years"/>
    <n v="50"/>
    <x v="0"/>
    <x v="0"/>
    <x v="10"/>
    <s v="Severe"/>
    <n v="1.1980683000000001"/>
    <x v="12"/>
    <x v="2"/>
    <n v="1.1734637999999999"/>
    <n v="28"/>
    <s v="Severe"/>
    <n v="1.5880875999999999"/>
    <n v="24.666665999999999"/>
    <n v="25"/>
    <x v="2"/>
    <n v="1.3198732"/>
    <x v="157"/>
    <x v="2"/>
    <x v="2"/>
    <n v="2400"/>
    <n v="2400"/>
    <x v="34"/>
    <x v="34"/>
    <x v="4"/>
    <x v="4"/>
    <x v="0"/>
  </r>
  <r>
    <n v="1205"/>
    <x v="0"/>
    <s v="41-50 years"/>
    <n v="49"/>
    <x v="0"/>
    <x v="3"/>
    <x v="13"/>
    <s v="Severe"/>
    <n v="1.3991127999999999"/>
    <x v="14"/>
    <x v="2"/>
    <n v="1.5627863"/>
    <n v="22"/>
    <s v="Severe"/>
    <n v="1.0101753"/>
    <n v="24.666665999999999"/>
    <n v="25"/>
    <x v="2"/>
    <n v="1.3240247999999999"/>
    <x v="158"/>
    <x v="2"/>
    <x v="2"/>
    <n v="4000"/>
    <n v="4000"/>
    <x v="7"/>
    <x v="7"/>
    <x v="3"/>
    <x v="3"/>
    <x v="0"/>
  </r>
  <r>
    <n v="1206"/>
    <x v="0"/>
    <s v="41-50 years"/>
    <n v="43"/>
    <x v="0"/>
    <x v="0"/>
    <x v="13"/>
    <s v="Severe"/>
    <n v="1.3991127999999999"/>
    <x v="15"/>
    <x v="2"/>
    <n v="1.7574476000000001"/>
    <n v="22"/>
    <s v="Severe"/>
    <n v="1.0101753"/>
    <n v="25.333334000000001"/>
    <n v="25"/>
    <x v="2"/>
    <n v="1.3889119999999999"/>
    <x v="159"/>
    <x v="2"/>
    <x v="2"/>
    <n v="2500"/>
    <n v="2500"/>
    <x v="12"/>
    <x v="12"/>
    <x v="4"/>
    <x v="4"/>
    <x v="0"/>
  </r>
  <r>
    <n v="1207"/>
    <x v="0"/>
    <s v="41-50 years"/>
    <n v="45"/>
    <x v="1"/>
    <x v="0"/>
    <x v="9"/>
    <s v="Severe"/>
    <n v="1.6001574999999999"/>
    <x v="9"/>
    <x v="2"/>
    <n v="0.97880255999999999"/>
    <n v="28"/>
    <s v="Severe"/>
    <n v="1.5880875999999999"/>
    <n v="25.333334000000001"/>
    <n v="25"/>
    <x v="2"/>
    <n v="1.3890159"/>
    <x v="160"/>
    <x v="2"/>
    <x v="2"/>
    <n v="2666.6667000000002"/>
    <n v="2667"/>
    <x v="16"/>
    <x v="16"/>
    <x v="4"/>
    <x v="4"/>
    <x v="0"/>
  </r>
  <r>
    <n v="1208"/>
    <x v="0"/>
    <s v="31-40 years"/>
    <n v="31"/>
    <x v="1"/>
    <x v="0"/>
    <x v="9"/>
    <s v="Severe"/>
    <n v="1.6001574999999999"/>
    <x v="12"/>
    <x v="2"/>
    <n v="1.1734637999999999"/>
    <n v="24"/>
    <s v="Severe"/>
    <n v="1.2028128"/>
    <n v="24.666665999999999"/>
    <n v="25"/>
    <x v="2"/>
    <n v="1.3254781"/>
    <x v="161"/>
    <x v="2"/>
    <x v="2"/>
    <n v="1333.3334"/>
    <n v="1333"/>
    <x v="18"/>
    <x v="18"/>
    <x v="0"/>
    <x v="0"/>
    <x v="0"/>
  </r>
  <r>
    <n v="1209"/>
    <x v="0"/>
    <s v="21-30 years"/>
    <n v="26"/>
    <x v="1"/>
    <x v="1"/>
    <x v="10"/>
    <s v="Severe"/>
    <n v="1.1980683000000001"/>
    <x v="14"/>
    <x v="2"/>
    <n v="1.5627863"/>
    <n v="24"/>
    <s v="Severe"/>
    <n v="1.2028128"/>
    <n v="24.666665999999999"/>
    <n v="25"/>
    <x v="2"/>
    <n v="1.3212223999999999"/>
    <x v="162"/>
    <x v="2"/>
    <x v="2"/>
    <n v="2500"/>
    <n v="2500"/>
    <x v="12"/>
    <x v="12"/>
    <x v="4"/>
    <x v="4"/>
    <x v="0"/>
  </r>
  <r>
    <n v="1210"/>
    <x v="0"/>
    <s v="41-50 years"/>
    <n v="50"/>
    <x v="1"/>
    <x v="0"/>
    <x v="10"/>
    <s v="Severe"/>
    <n v="1.1980683000000001"/>
    <x v="12"/>
    <x v="2"/>
    <n v="1.1734637999999999"/>
    <n v="24"/>
    <s v="Severe"/>
    <n v="1.2028128"/>
    <n v="23.333334000000001"/>
    <n v="23"/>
    <x v="2"/>
    <n v="1.1914483"/>
    <x v="163"/>
    <x v="2"/>
    <x v="2"/>
    <n v="3000"/>
    <n v="3000"/>
    <x v="22"/>
    <x v="22"/>
    <x v="3"/>
    <x v="3"/>
    <x v="0"/>
  </r>
  <r>
    <n v="1211"/>
    <x v="0"/>
    <s v="31-40 years"/>
    <n v="37"/>
    <x v="1"/>
    <x v="0"/>
    <x v="14"/>
    <s v="Severe"/>
    <n v="1.801202"/>
    <x v="14"/>
    <x v="2"/>
    <n v="1.5627863"/>
    <n v="24"/>
    <s v="Severe"/>
    <n v="1.2028128"/>
    <n v="26.666665999999999"/>
    <n v="27"/>
    <x v="2"/>
    <n v="1.5222671000000001"/>
    <x v="164"/>
    <x v="3"/>
    <x v="3"/>
    <n v="36000.199999999997"/>
    <n v="36000"/>
    <x v="45"/>
    <x v="45"/>
    <x v="5"/>
    <x v="5"/>
    <x v="2"/>
  </r>
  <r>
    <n v="1212"/>
    <x v="0"/>
    <s v="41-50 years"/>
    <n v="45"/>
    <x v="1"/>
    <x v="3"/>
    <x v="11"/>
    <s v="Moderate"/>
    <n v="0.99702360000000001"/>
    <x v="14"/>
    <x v="2"/>
    <n v="1.5627863"/>
    <n v="24"/>
    <s v="Severe"/>
    <n v="1.2028128"/>
    <n v="24"/>
    <n v="24"/>
    <x v="2"/>
    <n v="1.2542076"/>
    <x v="121"/>
    <x v="2"/>
    <x v="2"/>
    <n v="1750"/>
    <n v="1750"/>
    <x v="9"/>
    <x v="9"/>
    <x v="0"/>
    <x v="0"/>
    <x v="0"/>
  </r>
  <r>
    <n v="1213"/>
    <x v="0"/>
    <s v="41-50 years"/>
    <n v="48"/>
    <x v="1"/>
    <x v="1"/>
    <x v="14"/>
    <s v="Severe"/>
    <n v="1.801202"/>
    <x v="12"/>
    <x v="2"/>
    <n v="1.1734637999999999"/>
    <n v="32"/>
    <s v="Extremely Severe"/>
    <n v="1.9733623"/>
    <n v="28"/>
    <n v="28"/>
    <x v="2"/>
    <n v="1.6493428000000001"/>
    <x v="137"/>
    <x v="3"/>
    <x v="3"/>
    <n v="2333.3332999999998"/>
    <n v="2333"/>
    <x v="37"/>
    <x v="37"/>
    <x v="4"/>
    <x v="4"/>
    <x v="0"/>
  </r>
  <r>
    <n v="1214"/>
    <x v="0"/>
    <s v="31-40 years"/>
    <n v="38"/>
    <x v="1"/>
    <x v="1"/>
    <x v="14"/>
    <s v="Severe"/>
    <n v="1.801202"/>
    <x v="17"/>
    <x v="0"/>
    <n v="0.78414130000000004"/>
    <n v="32"/>
    <s v="Extremely Severe"/>
    <n v="1.9733623"/>
    <n v="26.666665999999999"/>
    <n v="27"/>
    <x v="2"/>
    <n v="1.5195685999999999"/>
    <x v="165"/>
    <x v="3"/>
    <x v="3"/>
    <n v="3250"/>
    <n v="3250"/>
    <x v="38"/>
    <x v="38"/>
    <x v="3"/>
    <x v="3"/>
    <x v="0"/>
  </r>
  <r>
    <n v="1215"/>
    <x v="0"/>
    <s v="21-30 years"/>
    <n v="29"/>
    <x v="1"/>
    <x v="3"/>
    <x v="12"/>
    <s v="Moderate"/>
    <n v="0.79597896000000001"/>
    <x v="11"/>
    <x v="2"/>
    <n v="1.3681251000000001"/>
    <n v="26"/>
    <s v="Severe"/>
    <n v="1.3954502"/>
    <n v="23.333334000000001"/>
    <n v="23"/>
    <x v="2"/>
    <n v="1.1865181"/>
    <x v="166"/>
    <x v="2"/>
    <x v="2"/>
    <n v="2800"/>
    <n v="2800"/>
    <x v="32"/>
    <x v="32"/>
    <x v="4"/>
    <x v="4"/>
    <x v="0"/>
  </r>
  <r>
    <n v="1216"/>
    <x v="0"/>
    <s v="21-30 years"/>
    <n v="27"/>
    <x v="1"/>
    <x v="3"/>
    <x v="13"/>
    <s v="Severe"/>
    <n v="1.3991127999999999"/>
    <x v="11"/>
    <x v="2"/>
    <n v="1.3681251000000001"/>
    <n v="28"/>
    <s v="Severe"/>
    <n v="1.5880875999999999"/>
    <n v="26"/>
    <n v="26"/>
    <x v="2"/>
    <n v="1.4517751999999999"/>
    <x v="117"/>
    <x v="3"/>
    <x v="3"/>
    <n v="2666.6667000000002"/>
    <n v="2667"/>
    <x v="16"/>
    <x v="16"/>
    <x v="4"/>
    <x v="4"/>
    <x v="0"/>
  </r>
  <r>
    <n v="1217"/>
    <x v="0"/>
    <s v="21-30 years"/>
    <n v="26"/>
    <x v="1"/>
    <x v="1"/>
    <x v="10"/>
    <s v="Severe"/>
    <n v="1.1980683000000001"/>
    <x v="9"/>
    <x v="2"/>
    <n v="0.97880255999999999"/>
    <n v="28"/>
    <s v="Severe"/>
    <n v="1.5880875999999999"/>
    <n v="24"/>
    <n v="24"/>
    <x v="2"/>
    <n v="1.2549862000000001"/>
    <x v="167"/>
    <x v="2"/>
    <x v="2"/>
    <n v="2800"/>
    <n v="2800"/>
    <x v="32"/>
    <x v="32"/>
    <x v="4"/>
    <x v="4"/>
    <x v="0"/>
  </r>
  <r>
    <n v="1218"/>
    <x v="0"/>
    <s v="21-30 years"/>
    <n v="26"/>
    <x v="1"/>
    <x v="3"/>
    <x v="13"/>
    <s v="Severe"/>
    <n v="1.3991127999999999"/>
    <x v="14"/>
    <x v="2"/>
    <n v="1.5627863"/>
    <n v="28"/>
    <s v="Severe"/>
    <n v="1.5880875999999999"/>
    <n v="26.666665999999999"/>
    <n v="27"/>
    <x v="2"/>
    <n v="1.5166622000000001"/>
    <x v="168"/>
    <x v="3"/>
    <x v="3"/>
    <n v="3500"/>
    <n v="3500"/>
    <x v="39"/>
    <x v="39"/>
    <x v="3"/>
    <x v="3"/>
    <x v="0"/>
  </r>
  <r>
    <n v="1219"/>
    <x v="0"/>
    <s v="31-40 years"/>
    <n v="40"/>
    <x v="0"/>
    <x v="3"/>
    <x v="8"/>
    <s v="Normal"/>
    <n v="-1.0134224999999999"/>
    <x v="10"/>
    <x v="1"/>
    <n v="-1.1624711999999999"/>
    <n v="0"/>
    <s v="Normal"/>
    <n v="-1.1088359000000001"/>
    <n v="0"/>
    <n v="0"/>
    <x v="0"/>
    <n v="-1.0949099"/>
    <x v="72"/>
    <x v="1"/>
    <x v="1"/>
    <n v="15000"/>
    <n v="15000"/>
    <x v="46"/>
    <x v="46"/>
    <x v="5"/>
    <x v="5"/>
    <x v="2"/>
  </r>
  <r>
    <n v="1220"/>
    <x v="0"/>
    <s v="41-50 years"/>
    <n v="48"/>
    <x v="1"/>
    <x v="0"/>
    <x v="9"/>
    <s v="Severe"/>
    <n v="1.6001574999999999"/>
    <x v="11"/>
    <x v="2"/>
    <n v="1.3681251000000001"/>
    <n v="24"/>
    <s v="Severe"/>
    <n v="1.2028128"/>
    <n v="25.333334000000001"/>
    <n v="25"/>
    <x v="2"/>
    <n v="1.3903650999999999"/>
    <x v="85"/>
    <x v="2"/>
    <x v="2"/>
    <n v="2666.6667000000002"/>
    <n v="2667"/>
    <x v="16"/>
    <x v="16"/>
    <x v="4"/>
    <x v="4"/>
    <x v="0"/>
  </r>
  <r>
    <n v="1221"/>
    <x v="0"/>
    <s v="41-50 years"/>
    <n v="49"/>
    <x v="1"/>
    <x v="0"/>
    <x v="17"/>
    <s v="Severe"/>
    <n v="2.0022465999999999"/>
    <x v="12"/>
    <x v="2"/>
    <n v="1.1734637999999999"/>
    <n v="26"/>
    <s v="Severe"/>
    <n v="1.3954502"/>
    <n v="26.666665999999999"/>
    <n v="27"/>
    <x v="2"/>
    <n v="1.5237202999999999"/>
    <x v="169"/>
    <x v="3"/>
    <x v="3"/>
    <n v="5500"/>
    <n v="5500"/>
    <x v="47"/>
    <x v="47"/>
    <x v="1"/>
    <x v="1"/>
    <x v="1"/>
  </r>
  <r>
    <n v="1222"/>
    <x v="0"/>
    <s v="21-30 years"/>
    <n v="30"/>
    <x v="1"/>
    <x v="3"/>
    <x v="15"/>
    <s v="Extremely Severe"/>
    <n v="2.2032911999999998"/>
    <x v="6"/>
    <x v="0"/>
    <n v="0.58948003999999998"/>
    <n v="24"/>
    <s v="Severe"/>
    <n v="1.2028128"/>
    <n v="24.666665999999999"/>
    <n v="25"/>
    <x v="2"/>
    <n v="1.3318614"/>
    <x v="170"/>
    <x v="2"/>
    <x v="2"/>
    <n v="1714.2858000000001"/>
    <n v="1714"/>
    <x v="48"/>
    <x v="48"/>
    <x v="0"/>
    <x v="0"/>
    <x v="0"/>
  </r>
  <r>
    <n v="1223"/>
    <x v="0"/>
    <s v="51-60 years"/>
    <n v="54"/>
    <x v="1"/>
    <x v="0"/>
    <x v="11"/>
    <s v="Moderate"/>
    <n v="0.99702360000000001"/>
    <x v="14"/>
    <x v="2"/>
    <n v="1.5627863"/>
    <n v="24"/>
    <s v="Severe"/>
    <n v="1.2028128"/>
    <n v="24"/>
    <n v="24"/>
    <x v="2"/>
    <n v="1.2542076"/>
    <x v="121"/>
    <x v="2"/>
    <x v="2"/>
    <n v="3400"/>
    <n v="3400"/>
    <x v="40"/>
    <x v="40"/>
    <x v="3"/>
    <x v="3"/>
    <x v="0"/>
  </r>
  <r>
    <n v="1224"/>
    <x v="0"/>
    <s v="41-50 years"/>
    <n v="45"/>
    <x v="1"/>
    <x v="1"/>
    <x v="14"/>
    <s v="Severe"/>
    <n v="1.801202"/>
    <x v="9"/>
    <x v="2"/>
    <n v="0.97880255999999999"/>
    <n v="28"/>
    <s v="Severe"/>
    <n v="1.5880875999999999"/>
    <n v="26"/>
    <n v="26"/>
    <x v="2"/>
    <n v="1.4560306999999999"/>
    <x v="133"/>
    <x v="3"/>
    <x v="3"/>
    <n v="2400"/>
    <n v="2400"/>
    <x v="34"/>
    <x v="34"/>
    <x v="4"/>
    <x v="4"/>
    <x v="0"/>
  </r>
  <r>
    <n v="1225"/>
    <x v="0"/>
    <s v="31-40 years"/>
    <n v="40"/>
    <x v="1"/>
    <x v="1"/>
    <x v="17"/>
    <s v="Severe"/>
    <n v="2.0022465999999999"/>
    <x v="17"/>
    <x v="0"/>
    <n v="0.78414130000000004"/>
    <n v="26"/>
    <s v="Severe"/>
    <n v="1.3954502"/>
    <n v="25.333334000000001"/>
    <n v="25"/>
    <x v="2"/>
    <n v="1.3939459999999999"/>
    <x v="171"/>
    <x v="2"/>
    <x v="2"/>
    <n v="2500"/>
    <n v="2500"/>
    <x v="12"/>
    <x v="12"/>
    <x v="4"/>
    <x v="4"/>
    <x v="0"/>
  </r>
  <r>
    <n v="1226"/>
    <x v="0"/>
    <s v="41-50 years"/>
    <n v="47"/>
    <x v="1"/>
    <x v="0"/>
    <x v="11"/>
    <s v="Moderate"/>
    <n v="0.99702360000000001"/>
    <x v="12"/>
    <x v="2"/>
    <n v="1.1734637999999999"/>
    <n v="30"/>
    <s v="Severe"/>
    <n v="1.7807249999999999"/>
    <n v="24.666665999999999"/>
    <n v="25"/>
    <x v="2"/>
    <n v="1.3170708"/>
    <x v="172"/>
    <x v="2"/>
    <x v="2"/>
    <n v="4000"/>
    <n v="4000"/>
    <x v="7"/>
    <x v="7"/>
    <x v="3"/>
    <x v="3"/>
    <x v="0"/>
  </r>
  <r>
    <n v="1227"/>
    <x v="0"/>
    <s v="21-30 years"/>
    <n v="26"/>
    <x v="1"/>
    <x v="3"/>
    <x v="13"/>
    <s v="Severe"/>
    <n v="1.3991127999999999"/>
    <x v="15"/>
    <x v="2"/>
    <n v="1.7574476000000001"/>
    <n v="24"/>
    <s v="Severe"/>
    <n v="1.2028128"/>
    <n v="26"/>
    <n v="26"/>
    <x v="2"/>
    <n v="1.4531244000000001"/>
    <x v="173"/>
    <x v="3"/>
    <x v="3"/>
    <n v="1600"/>
    <n v="1600"/>
    <x v="5"/>
    <x v="5"/>
    <x v="0"/>
    <x v="0"/>
    <x v="0"/>
  </r>
  <r>
    <n v="1228"/>
    <x v="0"/>
    <s v="31-40 years"/>
    <n v="35"/>
    <x v="1"/>
    <x v="4"/>
    <x v="13"/>
    <s v="Severe"/>
    <n v="1.3991127999999999"/>
    <x v="12"/>
    <x v="2"/>
    <n v="1.1734637999999999"/>
    <n v="26"/>
    <s v="Severe"/>
    <n v="1.3954502"/>
    <n v="24.666665999999999"/>
    <n v="25"/>
    <x v="2"/>
    <n v="1.3226756"/>
    <x v="123"/>
    <x v="2"/>
    <x v="2"/>
    <n v="3750"/>
    <n v="3750"/>
    <x v="15"/>
    <x v="15"/>
    <x v="3"/>
    <x v="3"/>
    <x v="0"/>
  </r>
  <r>
    <n v="1229"/>
    <x v="0"/>
    <s v="31-40 years"/>
    <n v="40"/>
    <x v="0"/>
    <x v="3"/>
    <x v="4"/>
    <s v="Normal"/>
    <n v="-0.61133329999999997"/>
    <x v="1"/>
    <x v="1"/>
    <n v="-0.77314866000000004"/>
    <n v="4"/>
    <s v="Normal"/>
    <n v="-0.72356116999999998"/>
    <n v="4"/>
    <n v="4"/>
    <x v="0"/>
    <n v="-0.70268105999999997"/>
    <x v="39"/>
    <x v="1"/>
    <x v="1"/>
    <n v="2000"/>
    <n v="2000"/>
    <x v="11"/>
    <x v="11"/>
    <x v="4"/>
    <x v="4"/>
    <x v="0"/>
  </r>
  <r>
    <n v="1230"/>
    <x v="0"/>
    <s v="21-30 years"/>
    <n v="30"/>
    <x v="0"/>
    <x v="0"/>
    <x v="0"/>
    <s v="Normal"/>
    <n v="-0.41028870000000001"/>
    <x v="5"/>
    <x v="1"/>
    <n v="-0.57848745999999995"/>
    <n v="4"/>
    <s v="Normal"/>
    <n v="-0.72356116999999998"/>
    <n v="5.3333335000000002"/>
    <n v="5"/>
    <x v="0"/>
    <n v="-0.57077909999999998"/>
    <x v="174"/>
    <x v="0"/>
    <x v="0"/>
    <n v="12500"/>
    <n v="12500"/>
    <x v="49"/>
    <x v="49"/>
    <x v="5"/>
    <x v="5"/>
    <x v="2"/>
  </r>
  <r>
    <n v="1231"/>
    <x v="0"/>
    <s v="41-50 years"/>
    <n v="50"/>
    <x v="0"/>
    <x v="0"/>
    <x v="4"/>
    <s v="Normal"/>
    <n v="-0.61133329999999997"/>
    <x v="7"/>
    <x v="1"/>
    <n v="-0.38382620000000001"/>
    <n v="6"/>
    <s v="Normal"/>
    <n v="-0.53092379999999995"/>
    <n v="6"/>
    <n v="6"/>
    <x v="0"/>
    <n v="-0.50869439999999999"/>
    <x v="175"/>
    <x v="0"/>
    <x v="0"/>
    <n v="1250"/>
    <n v="1250"/>
    <x v="3"/>
    <x v="3"/>
    <x v="0"/>
    <x v="0"/>
    <x v="0"/>
  </r>
  <r>
    <n v="1232"/>
    <x v="0"/>
    <s v="31-40 years"/>
    <n v="40"/>
    <x v="0"/>
    <x v="3"/>
    <x v="0"/>
    <s v="Normal"/>
    <n v="-0.41028870000000001"/>
    <x v="5"/>
    <x v="1"/>
    <n v="-0.57848745999999995"/>
    <n v="2"/>
    <s v="Normal"/>
    <n v="-0.91619854999999994"/>
    <n v="4.6666664999999998"/>
    <n v="5"/>
    <x v="0"/>
    <n v="-0.63499159999999999"/>
    <x v="14"/>
    <x v="1"/>
    <x v="1"/>
    <n v="10000"/>
    <n v="10000"/>
    <x v="26"/>
    <x v="26"/>
    <x v="5"/>
    <x v="5"/>
    <x v="2"/>
  </r>
  <r>
    <n v="1233"/>
    <x v="0"/>
    <s v="21-30 years"/>
    <n v="30"/>
    <x v="0"/>
    <x v="0"/>
    <x v="3"/>
    <s v="Normal"/>
    <n v="-8.1994660000000007E-3"/>
    <x v="2"/>
    <x v="1"/>
    <n v="-0.9678099"/>
    <n v="4"/>
    <s v="Normal"/>
    <n v="-0.72356116999999998"/>
    <n v="5.3333335000000002"/>
    <n v="5"/>
    <x v="0"/>
    <n v="-0.56652349999999996"/>
    <x v="176"/>
    <x v="0"/>
    <x v="0"/>
    <n v="2000"/>
    <n v="2000"/>
    <x v="11"/>
    <x v="11"/>
    <x v="4"/>
    <x v="4"/>
    <x v="0"/>
  </r>
  <r>
    <n v="1234"/>
    <x v="0"/>
    <s v="31-40 years"/>
    <n v="37"/>
    <x v="0"/>
    <x v="0"/>
    <x v="0"/>
    <s v="Normal"/>
    <n v="-0.41028870000000001"/>
    <x v="1"/>
    <x v="1"/>
    <n v="-0.77314866000000004"/>
    <n v="0"/>
    <s v="Normal"/>
    <n v="-1.1088359000000001"/>
    <n v="3.3333333000000001"/>
    <n v="3"/>
    <x v="0"/>
    <n v="-0.76409110000000002"/>
    <x v="48"/>
    <x v="1"/>
    <x v="1"/>
    <n v="2000"/>
    <n v="2000"/>
    <x v="11"/>
    <x v="11"/>
    <x v="4"/>
    <x v="4"/>
    <x v="0"/>
  </r>
  <r>
    <n v="1235"/>
    <x v="0"/>
    <s v="41-50 years"/>
    <n v="50"/>
    <x v="0"/>
    <x v="3"/>
    <x v="0"/>
    <s v="Normal"/>
    <n v="-0.41028870000000001"/>
    <x v="5"/>
    <x v="1"/>
    <n v="-0.57848745999999995"/>
    <n v="2"/>
    <s v="Normal"/>
    <n v="-0.91619854999999994"/>
    <n v="4.6666664999999998"/>
    <n v="5"/>
    <x v="0"/>
    <n v="-0.63499159999999999"/>
    <x v="14"/>
    <x v="1"/>
    <x v="1"/>
    <n v="1500"/>
    <n v="1500"/>
    <x v="8"/>
    <x v="8"/>
    <x v="0"/>
    <x v="0"/>
    <x v="0"/>
  </r>
  <r>
    <n v="1236"/>
    <x v="0"/>
    <s v="31-40 years"/>
    <n v="37"/>
    <x v="0"/>
    <x v="3"/>
    <x v="3"/>
    <s v="Normal"/>
    <n v="-8.1994660000000007E-3"/>
    <x v="7"/>
    <x v="1"/>
    <n v="-0.38382620000000001"/>
    <n v="6"/>
    <s v="Normal"/>
    <n v="-0.53092379999999995"/>
    <n v="8"/>
    <n v="8"/>
    <x v="0"/>
    <n v="-0.30764982000000002"/>
    <x v="177"/>
    <x v="0"/>
    <x v="0"/>
    <n v="2166.6667000000002"/>
    <n v="2167"/>
    <x v="44"/>
    <x v="44"/>
    <x v="4"/>
    <x v="4"/>
    <x v="0"/>
  </r>
  <r>
    <n v="1237"/>
    <x v="0"/>
    <s v="21-30 years"/>
    <n v="30"/>
    <x v="0"/>
    <x v="3"/>
    <x v="4"/>
    <s v="Normal"/>
    <n v="-0.61133329999999997"/>
    <x v="5"/>
    <x v="1"/>
    <n v="-0.57848745999999995"/>
    <n v="6"/>
    <s v="Normal"/>
    <n v="-0.53092379999999995"/>
    <n v="5.3333335000000002"/>
    <n v="5"/>
    <x v="0"/>
    <n v="-0.57358149999999997"/>
    <x v="178"/>
    <x v="0"/>
    <x v="0"/>
    <n v="1000"/>
    <n v="1000"/>
    <x v="4"/>
    <x v="4"/>
    <x v="0"/>
    <x v="0"/>
    <x v="0"/>
  </r>
  <r>
    <n v="1238"/>
    <x v="0"/>
    <s v="31-40 years"/>
    <n v="40"/>
    <x v="0"/>
    <x v="3"/>
    <x v="0"/>
    <s v="Normal"/>
    <n v="-0.41028870000000001"/>
    <x v="1"/>
    <x v="1"/>
    <n v="-0.77314866000000004"/>
    <n v="6"/>
    <s v="Normal"/>
    <n v="-0.53092379999999995"/>
    <n v="5.3333335000000002"/>
    <n v="5"/>
    <x v="0"/>
    <n v="-0.57145369999999995"/>
    <x v="179"/>
    <x v="0"/>
    <x v="0"/>
    <n v="1400"/>
    <n v="1400"/>
    <x v="0"/>
    <x v="0"/>
    <x v="0"/>
    <x v="0"/>
    <x v="0"/>
  </r>
  <r>
    <n v="1239"/>
    <x v="0"/>
    <s v="21-30 years"/>
    <n v="30"/>
    <x v="0"/>
    <x v="3"/>
    <x v="2"/>
    <s v="Normal"/>
    <n v="-0.20924408999999999"/>
    <x v="2"/>
    <x v="1"/>
    <n v="-0.9678099"/>
    <n v="8"/>
    <s v="Normal"/>
    <n v="-0.33828637"/>
    <n v="6"/>
    <n v="6"/>
    <x v="0"/>
    <n v="-0.50511349999999999"/>
    <x v="180"/>
    <x v="0"/>
    <x v="0"/>
    <n v="1000"/>
    <n v="1000"/>
    <x v="4"/>
    <x v="4"/>
    <x v="0"/>
    <x v="0"/>
    <x v="0"/>
  </r>
  <r>
    <n v="1240"/>
    <x v="0"/>
    <s v="41-50 years"/>
    <n v="48"/>
    <x v="1"/>
    <x v="1"/>
    <x v="2"/>
    <s v="Normal"/>
    <n v="-0.20924408999999999"/>
    <x v="7"/>
    <x v="1"/>
    <n v="-0.38382620000000001"/>
    <n v="2"/>
    <s v="Normal"/>
    <n v="-0.91619854999999994"/>
    <n v="6"/>
    <n v="6"/>
    <x v="0"/>
    <n v="-0.50308960000000003"/>
    <x v="181"/>
    <x v="0"/>
    <x v="0"/>
    <n v="800"/>
    <n v="800"/>
    <x v="50"/>
    <x v="50"/>
    <x v="0"/>
    <x v="0"/>
    <x v="0"/>
  </r>
  <r>
    <n v="1241"/>
    <x v="0"/>
    <s v="51-60 years"/>
    <n v="52"/>
    <x v="1"/>
    <x v="1"/>
    <x v="2"/>
    <s v="Normal"/>
    <n v="-0.20924408999999999"/>
    <x v="5"/>
    <x v="1"/>
    <n v="-0.57848745999999995"/>
    <n v="2"/>
    <s v="Normal"/>
    <n v="-0.91619854999999994"/>
    <n v="5.3333335000000002"/>
    <n v="5"/>
    <x v="0"/>
    <n v="-0.5679767"/>
    <x v="16"/>
    <x v="0"/>
    <x v="0"/>
    <n v="1750"/>
    <n v="1750"/>
    <x v="9"/>
    <x v="9"/>
    <x v="0"/>
    <x v="0"/>
    <x v="0"/>
  </r>
  <r>
    <n v="1242"/>
    <x v="0"/>
    <s v="41-50 years"/>
    <n v="42"/>
    <x v="1"/>
    <x v="2"/>
    <x v="2"/>
    <s v="Normal"/>
    <n v="-0.20924408999999999"/>
    <x v="7"/>
    <x v="1"/>
    <n v="-0.38382620000000001"/>
    <n v="12"/>
    <s v="Moderate"/>
    <n v="4.6988415999999998E-2"/>
    <n v="9.3333329999999997"/>
    <n v="9"/>
    <x v="0"/>
    <n v="-0.1820273"/>
    <x v="182"/>
    <x v="0"/>
    <x v="0"/>
    <n v="555.55553999999995"/>
    <n v="556"/>
    <x v="51"/>
    <x v="51"/>
    <x v="0"/>
    <x v="0"/>
    <x v="0"/>
  </r>
  <r>
    <n v="1243"/>
    <x v="0"/>
    <s v="31-40 years"/>
    <n v="36"/>
    <x v="1"/>
    <x v="0"/>
    <x v="0"/>
    <s v="Normal"/>
    <n v="-0.41028870000000001"/>
    <x v="1"/>
    <x v="1"/>
    <n v="-0.77314866000000004"/>
    <n v="4"/>
    <s v="Normal"/>
    <n v="-0.72356116999999998"/>
    <n v="4.6666664999999998"/>
    <n v="5"/>
    <x v="0"/>
    <n v="-0.63566619999999996"/>
    <x v="34"/>
    <x v="1"/>
    <x v="1"/>
    <n v="2500"/>
    <n v="2500"/>
    <x v="12"/>
    <x v="12"/>
    <x v="4"/>
    <x v="4"/>
    <x v="0"/>
  </r>
  <r>
    <n v="1244"/>
    <x v="0"/>
    <s v="41-50 years"/>
    <n v="48"/>
    <x v="1"/>
    <x v="1"/>
    <x v="4"/>
    <s v="Normal"/>
    <n v="-0.61133329999999997"/>
    <x v="7"/>
    <x v="1"/>
    <n v="-0.38382620000000001"/>
    <n v="4"/>
    <s v="Normal"/>
    <n v="-0.72356116999999998"/>
    <n v="5.3333335000000002"/>
    <n v="5"/>
    <x v="0"/>
    <n v="-0.5729069"/>
    <x v="49"/>
    <x v="0"/>
    <x v="0"/>
    <n v="1000"/>
    <n v="1000"/>
    <x v="4"/>
    <x v="4"/>
    <x v="0"/>
    <x v="0"/>
    <x v="0"/>
  </r>
  <r>
    <n v="1245"/>
    <x v="0"/>
    <s v="21-30 years"/>
    <n v="30"/>
    <x v="1"/>
    <x v="1"/>
    <x v="4"/>
    <s v="Normal"/>
    <n v="-0.61133329999999997"/>
    <x v="7"/>
    <x v="1"/>
    <n v="-0.38382620000000001"/>
    <n v="4"/>
    <s v="Normal"/>
    <n v="-0.72356116999999998"/>
    <n v="5.3333335000000002"/>
    <n v="5"/>
    <x v="0"/>
    <n v="-0.5729069"/>
    <x v="49"/>
    <x v="0"/>
    <x v="0"/>
    <n v="10000"/>
    <n v="10000"/>
    <x v="26"/>
    <x v="26"/>
    <x v="5"/>
    <x v="5"/>
    <x v="2"/>
  </r>
  <r>
    <n v="1246"/>
    <x v="0"/>
    <s v="21-30 years"/>
    <n v="28"/>
    <x v="1"/>
    <x v="1"/>
    <x v="2"/>
    <s v="Normal"/>
    <n v="-0.20924408999999999"/>
    <x v="7"/>
    <x v="1"/>
    <n v="-0.38382620000000001"/>
    <n v="2"/>
    <s v="Normal"/>
    <n v="-0.91619854999999994"/>
    <n v="6"/>
    <n v="6"/>
    <x v="0"/>
    <n v="-0.50308960000000003"/>
    <x v="181"/>
    <x v="0"/>
    <x v="0"/>
    <n v="1500"/>
    <n v="1500"/>
    <x v="8"/>
    <x v="8"/>
    <x v="0"/>
    <x v="0"/>
    <x v="0"/>
  </r>
  <r>
    <n v="1247"/>
    <x v="0"/>
    <s v="21-30 years"/>
    <n v="28"/>
    <x v="1"/>
    <x v="1"/>
    <x v="3"/>
    <s v="Normal"/>
    <n v="-8.1994660000000007E-3"/>
    <x v="5"/>
    <x v="1"/>
    <n v="-0.57848745999999995"/>
    <n v="10"/>
    <s v="Normal"/>
    <n v="-0.14564899000000001"/>
    <n v="8.6666670000000003"/>
    <n v="9"/>
    <x v="0"/>
    <n v="-0.24411197000000001"/>
    <x v="183"/>
    <x v="0"/>
    <x v="0"/>
    <n v="1666.6666"/>
    <n v="1667"/>
    <x v="1"/>
    <x v="1"/>
    <x v="0"/>
    <x v="0"/>
    <x v="0"/>
  </r>
  <r>
    <n v="1248"/>
    <x v="0"/>
    <s v="41-50 years"/>
    <n v="45"/>
    <x v="0"/>
    <x v="3"/>
    <x v="3"/>
    <s v="Normal"/>
    <n v="-8.1994660000000007E-3"/>
    <x v="8"/>
    <x v="1"/>
    <n v="-0.18916494"/>
    <n v="6"/>
    <s v="Normal"/>
    <n v="-0.53092379999999995"/>
    <n v="8.6666670000000003"/>
    <n v="9"/>
    <x v="0"/>
    <n v="-0.24276273000000001"/>
    <x v="35"/>
    <x v="0"/>
    <x v="0"/>
    <n v="1500"/>
    <n v="1500"/>
    <x v="8"/>
    <x v="8"/>
    <x v="0"/>
    <x v="0"/>
    <x v="0"/>
  </r>
  <r>
    <n v="1249"/>
    <x v="0"/>
    <s v="31-40 years"/>
    <n v="40"/>
    <x v="0"/>
    <x v="3"/>
    <x v="0"/>
    <s v="Normal"/>
    <n v="-0.41028870000000001"/>
    <x v="5"/>
    <x v="1"/>
    <n v="-0.57848745999999995"/>
    <n v="4"/>
    <s v="Normal"/>
    <n v="-0.72356116999999998"/>
    <n v="5.3333335000000002"/>
    <n v="5"/>
    <x v="0"/>
    <n v="-0.57077909999999998"/>
    <x v="174"/>
    <x v="0"/>
    <x v="0"/>
    <n v="2000"/>
    <n v="2000"/>
    <x v="11"/>
    <x v="11"/>
    <x v="4"/>
    <x v="4"/>
    <x v="0"/>
  </r>
  <r>
    <n v="1250"/>
    <x v="0"/>
    <s v="21-30 years"/>
    <n v="28"/>
    <x v="0"/>
    <x v="0"/>
    <x v="0"/>
    <s v="Normal"/>
    <n v="-0.41028870000000001"/>
    <x v="5"/>
    <x v="1"/>
    <n v="-0.57848745999999995"/>
    <n v="6"/>
    <s v="Normal"/>
    <n v="-0.53092379999999995"/>
    <n v="6"/>
    <n v="6"/>
    <x v="0"/>
    <n v="-0.50656663999999996"/>
    <x v="184"/>
    <x v="0"/>
    <x v="0"/>
    <n v="1250"/>
    <n v="1250"/>
    <x v="3"/>
    <x v="3"/>
    <x v="0"/>
    <x v="0"/>
    <x v="0"/>
  </r>
  <r>
    <n v="1251"/>
    <x v="0"/>
    <s v="31-40 years"/>
    <n v="32"/>
    <x v="0"/>
    <x v="3"/>
    <x v="0"/>
    <s v="Normal"/>
    <n v="-0.41028870000000001"/>
    <x v="7"/>
    <x v="1"/>
    <n v="-0.38382620000000001"/>
    <n v="10"/>
    <s v="Normal"/>
    <n v="-0.14564899000000001"/>
    <n v="8"/>
    <n v="8"/>
    <x v="0"/>
    <n v="-0.31325461999999998"/>
    <x v="185"/>
    <x v="0"/>
    <x v="0"/>
    <n v="2666.6667000000002"/>
    <n v="2667"/>
    <x v="16"/>
    <x v="16"/>
    <x v="4"/>
    <x v="4"/>
    <x v="0"/>
  </r>
  <r>
    <n v="1252"/>
    <x v="0"/>
    <s v="41-50 years"/>
    <n v="48"/>
    <x v="0"/>
    <x v="3"/>
    <x v="6"/>
    <s v="Moderate"/>
    <n v="0.59493434000000001"/>
    <x v="8"/>
    <x v="1"/>
    <n v="-0.18916494"/>
    <n v="12"/>
    <s v="Moderate"/>
    <n v="4.6988415999999998E-2"/>
    <n v="12.666667"/>
    <n v="13"/>
    <x v="1"/>
    <n v="0.15091926999999999"/>
    <x v="186"/>
    <x v="0"/>
    <x v="0"/>
    <n v="1250"/>
    <n v="1250"/>
    <x v="3"/>
    <x v="3"/>
    <x v="0"/>
    <x v="0"/>
    <x v="0"/>
  </r>
  <r>
    <n v="1253"/>
    <x v="0"/>
    <s v="31-40 years"/>
    <n v="38"/>
    <x v="0"/>
    <x v="0"/>
    <x v="4"/>
    <s v="Normal"/>
    <n v="-0.61133329999999997"/>
    <x v="5"/>
    <x v="1"/>
    <n v="-0.57848745999999995"/>
    <n v="8"/>
    <s v="Normal"/>
    <n v="-0.33828637"/>
    <n v="6"/>
    <n v="6"/>
    <x v="0"/>
    <n v="-0.50936899999999996"/>
    <x v="81"/>
    <x v="0"/>
    <x v="0"/>
    <n v="1750"/>
    <n v="1750"/>
    <x v="9"/>
    <x v="9"/>
    <x v="0"/>
    <x v="0"/>
    <x v="0"/>
  </r>
  <r>
    <n v="1254"/>
    <x v="0"/>
    <s v="31-40 years"/>
    <n v="37"/>
    <x v="0"/>
    <x v="3"/>
    <x v="2"/>
    <s v="Normal"/>
    <n v="-0.20924408999999999"/>
    <x v="8"/>
    <x v="1"/>
    <n v="-0.18916494"/>
    <n v="4"/>
    <s v="Normal"/>
    <n v="-0.72356116999999998"/>
    <n v="7.3333335000000002"/>
    <n v="7"/>
    <x v="0"/>
    <n v="-0.37399006000000001"/>
    <x v="187"/>
    <x v="0"/>
    <x v="0"/>
    <n v="800"/>
    <n v="800"/>
    <x v="50"/>
    <x v="50"/>
    <x v="0"/>
    <x v="0"/>
    <x v="0"/>
  </r>
  <r>
    <n v="1255"/>
    <x v="0"/>
    <s v="31-40 years"/>
    <n v="40"/>
    <x v="0"/>
    <x v="3"/>
    <x v="0"/>
    <s v="Normal"/>
    <n v="-0.41028870000000001"/>
    <x v="7"/>
    <x v="1"/>
    <n v="-0.38382620000000001"/>
    <n v="2"/>
    <s v="Normal"/>
    <n v="-0.91619854999999994"/>
    <n v="5.3333335000000002"/>
    <n v="5"/>
    <x v="0"/>
    <n v="-0.57010450000000001"/>
    <x v="188"/>
    <x v="0"/>
    <x v="0"/>
    <n v="1625"/>
    <n v="1625"/>
    <x v="52"/>
    <x v="52"/>
    <x v="0"/>
    <x v="0"/>
    <x v="0"/>
  </r>
  <r>
    <n v="1256"/>
    <x v="0"/>
    <s v="41-50 years"/>
    <n v="50"/>
    <x v="0"/>
    <x v="3"/>
    <x v="0"/>
    <s v="Normal"/>
    <n v="-0.41028870000000001"/>
    <x v="1"/>
    <x v="1"/>
    <n v="-0.77314866000000004"/>
    <n v="4"/>
    <s v="Normal"/>
    <n v="-0.72356116999999998"/>
    <n v="4.6666664999999998"/>
    <n v="5"/>
    <x v="0"/>
    <n v="-0.63566619999999996"/>
    <x v="34"/>
    <x v="1"/>
    <x v="1"/>
    <n v="1000"/>
    <n v="1000"/>
    <x v="4"/>
    <x v="4"/>
    <x v="0"/>
    <x v="0"/>
    <x v="0"/>
  </r>
  <r>
    <n v="2001"/>
    <x v="1"/>
    <s v="41-50 years"/>
    <n v="42"/>
    <x v="0"/>
    <x v="0"/>
    <x v="15"/>
    <s v="Extremely Severe"/>
    <n v="2.2032911999999998"/>
    <x v="13"/>
    <x v="3"/>
    <n v="1.9521089"/>
    <n v="34"/>
    <s v="Extremely Severe"/>
    <n v="2.1659999999999999"/>
    <n v="32.666668000000001"/>
    <n v="33"/>
    <x v="3"/>
    <n v="2.1071333999999999"/>
    <x v="189"/>
    <x v="3"/>
    <x v="3"/>
    <n v="6250"/>
    <n v="6250"/>
    <x v="27"/>
    <x v="27"/>
    <x v="2"/>
    <x v="2"/>
    <x v="2"/>
  </r>
  <r>
    <n v="2002"/>
    <x v="1"/>
    <s v="31-40 years"/>
    <n v="35"/>
    <x v="0"/>
    <x v="0"/>
    <x v="10"/>
    <s v="Severe"/>
    <n v="1.1980683000000001"/>
    <x v="6"/>
    <x v="0"/>
    <n v="0.58948003999999998"/>
    <n v="24"/>
    <s v="Severe"/>
    <n v="1.2028128"/>
    <n v="21.333334000000001"/>
    <n v="21"/>
    <x v="2"/>
    <n v="0.99678699999999998"/>
    <x v="190"/>
    <x v="2"/>
    <x v="2"/>
    <n v="4285.7143999999998"/>
    <n v="4286"/>
    <x v="53"/>
    <x v="53"/>
    <x v="3"/>
    <x v="3"/>
    <x v="0"/>
  </r>
  <r>
    <n v="2003"/>
    <x v="1"/>
    <s v="41-50 years"/>
    <n v="45"/>
    <x v="0"/>
    <x v="3"/>
    <x v="12"/>
    <s v="Moderate"/>
    <n v="0.79597896000000001"/>
    <x v="11"/>
    <x v="2"/>
    <n v="1.3681251000000001"/>
    <n v="20"/>
    <s v="Moderate"/>
    <n v="0.81753799999999999"/>
    <n v="21.333334000000001"/>
    <n v="21"/>
    <x v="2"/>
    <n v="0.99388069999999995"/>
    <x v="191"/>
    <x v="2"/>
    <x v="2"/>
    <n v="7333.3334999999997"/>
    <n v="7333"/>
    <x v="54"/>
    <x v="54"/>
    <x v="2"/>
    <x v="2"/>
    <x v="2"/>
  </r>
  <r>
    <n v="2004"/>
    <x v="1"/>
    <s v="31-40 years"/>
    <n v="35"/>
    <x v="0"/>
    <x v="0"/>
    <x v="10"/>
    <s v="Severe"/>
    <n v="1.1980683000000001"/>
    <x v="11"/>
    <x v="2"/>
    <n v="1.3681251000000001"/>
    <n v="32"/>
    <s v="Extremely Severe"/>
    <n v="1.9733623"/>
    <n v="26.666665999999999"/>
    <n v="27"/>
    <x v="2"/>
    <n v="1.5131853"/>
    <x v="192"/>
    <x v="3"/>
    <x v="3"/>
    <n v="7000"/>
    <n v="7000"/>
    <x v="29"/>
    <x v="29"/>
    <x v="2"/>
    <x v="2"/>
    <x v="2"/>
  </r>
  <r>
    <n v="2005"/>
    <x v="1"/>
    <s v="31-40 years"/>
    <n v="40"/>
    <x v="0"/>
    <x v="0"/>
    <x v="13"/>
    <s v="Severe"/>
    <n v="1.3991127999999999"/>
    <x v="15"/>
    <x v="2"/>
    <n v="1.7574476000000001"/>
    <n v="30"/>
    <s v="Severe"/>
    <n v="1.7807249999999999"/>
    <n v="28"/>
    <n v="28"/>
    <x v="2"/>
    <n v="1.6457618000000001"/>
    <x v="193"/>
    <x v="3"/>
    <x v="3"/>
    <n v="7500"/>
    <n v="7500"/>
    <x v="13"/>
    <x v="13"/>
    <x v="5"/>
    <x v="5"/>
    <x v="2"/>
  </r>
  <r>
    <n v="2006"/>
    <x v="1"/>
    <s v="51-60 years"/>
    <n v="55"/>
    <x v="0"/>
    <x v="0"/>
    <x v="9"/>
    <s v="Severe"/>
    <n v="1.6001574999999999"/>
    <x v="12"/>
    <x v="2"/>
    <n v="1.1734637999999999"/>
    <n v="28"/>
    <s v="Severe"/>
    <n v="1.5880875999999999"/>
    <n v="26"/>
    <n v="26"/>
    <x v="2"/>
    <n v="1.4539029999999999"/>
    <x v="194"/>
    <x v="3"/>
    <x v="3"/>
    <n v="5600"/>
    <n v="5600"/>
    <x v="55"/>
    <x v="55"/>
    <x v="1"/>
    <x v="1"/>
    <x v="1"/>
  </r>
  <r>
    <n v="2007"/>
    <x v="1"/>
    <s v="41-50 years"/>
    <n v="45"/>
    <x v="0"/>
    <x v="3"/>
    <x v="2"/>
    <s v="Normal"/>
    <n v="-0.20924408999999999"/>
    <x v="7"/>
    <x v="1"/>
    <n v="-0.38382620000000001"/>
    <n v="8"/>
    <s v="Normal"/>
    <n v="-0.33828637"/>
    <n v="8"/>
    <n v="8"/>
    <x v="0"/>
    <n v="-0.31045222"/>
    <x v="195"/>
    <x v="0"/>
    <x v="0"/>
    <n v="2500"/>
    <n v="2500"/>
    <x v="12"/>
    <x v="12"/>
    <x v="4"/>
    <x v="4"/>
    <x v="0"/>
  </r>
  <r>
    <n v="2008"/>
    <x v="1"/>
    <s v="51-60 years"/>
    <n v="52"/>
    <x v="0"/>
    <x v="3"/>
    <x v="11"/>
    <s v="Moderate"/>
    <n v="0.99702360000000001"/>
    <x v="4"/>
    <x v="0"/>
    <n v="0.20015757000000001"/>
    <n v="12"/>
    <s v="Moderate"/>
    <n v="4.6988415999999998E-2"/>
    <n v="15.333333"/>
    <n v="15"/>
    <x v="1"/>
    <n v="0.41472320000000001"/>
    <x v="196"/>
    <x v="2"/>
    <x v="2"/>
    <n v="3000"/>
    <n v="3000"/>
    <x v="22"/>
    <x v="22"/>
    <x v="3"/>
    <x v="3"/>
    <x v="0"/>
  </r>
  <r>
    <n v="2009"/>
    <x v="1"/>
    <s v="41-50 years"/>
    <n v="41"/>
    <x v="0"/>
    <x v="3"/>
    <x v="0"/>
    <s v="Normal"/>
    <n v="-0.41028870000000001"/>
    <x v="7"/>
    <x v="1"/>
    <n v="-0.38382620000000001"/>
    <n v="10"/>
    <s v="Normal"/>
    <n v="-0.14564899000000001"/>
    <n v="8"/>
    <n v="8"/>
    <x v="0"/>
    <n v="-0.31325461999999998"/>
    <x v="185"/>
    <x v="0"/>
    <x v="0"/>
    <n v="3750"/>
    <n v="3750"/>
    <x v="15"/>
    <x v="15"/>
    <x v="3"/>
    <x v="3"/>
    <x v="0"/>
  </r>
  <r>
    <n v="2010"/>
    <x v="1"/>
    <s v="31-40 years"/>
    <n v="33"/>
    <x v="0"/>
    <x v="3"/>
    <x v="0"/>
    <s v="Normal"/>
    <n v="-0.41028870000000001"/>
    <x v="7"/>
    <x v="1"/>
    <n v="-0.38382620000000001"/>
    <n v="10"/>
    <s v="Normal"/>
    <n v="-0.14564899000000001"/>
    <n v="8"/>
    <n v="8"/>
    <x v="0"/>
    <n v="-0.31325461999999998"/>
    <x v="185"/>
    <x v="0"/>
    <x v="0"/>
    <n v="5000"/>
    <n v="5000"/>
    <x v="2"/>
    <x v="2"/>
    <x v="1"/>
    <x v="1"/>
    <x v="1"/>
  </r>
  <r>
    <n v="2011"/>
    <x v="1"/>
    <s v="51-60 years"/>
    <n v="53"/>
    <x v="0"/>
    <x v="3"/>
    <x v="13"/>
    <s v="Severe"/>
    <n v="1.3991127999999999"/>
    <x v="11"/>
    <x v="2"/>
    <n v="1.3681251000000001"/>
    <n v="22"/>
    <s v="Severe"/>
    <n v="1.0101753"/>
    <n v="24"/>
    <n v="24"/>
    <x v="2"/>
    <n v="1.2591376999999999"/>
    <x v="197"/>
    <x v="2"/>
    <x v="2"/>
    <n v="20000"/>
    <n v="20000"/>
    <x v="56"/>
    <x v="56"/>
    <x v="5"/>
    <x v="5"/>
    <x v="2"/>
  </r>
  <r>
    <n v="2012"/>
    <x v="1"/>
    <s v="51-60 years"/>
    <n v="59"/>
    <x v="0"/>
    <x v="0"/>
    <x v="6"/>
    <s v="Moderate"/>
    <n v="0.59493434000000001"/>
    <x v="17"/>
    <x v="0"/>
    <n v="0.78414130000000004"/>
    <n v="20"/>
    <s v="Moderate"/>
    <n v="0.81753799999999999"/>
    <n v="18.666665999999999"/>
    <n v="19"/>
    <x v="1"/>
    <n v="0.73220456"/>
    <x v="198"/>
    <x v="2"/>
    <x v="2"/>
    <n v="8750"/>
    <n v="8750"/>
    <x v="57"/>
    <x v="57"/>
    <x v="5"/>
    <x v="5"/>
    <x v="2"/>
  </r>
  <r>
    <n v="2013"/>
    <x v="1"/>
    <s v="51-60 years"/>
    <n v="58"/>
    <x v="0"/>
    <x v="3"/>
    <x v="3"/>
    <s v="Normal"/>
    <n v="-8.1994660000000007E-3"/>
    <x v="7"/>
    <x v="1"/>
    <n v="-0.38382620000000001"/>
    <n v="10"/>
    <s v="Normal"/>
    <n v="-0.14564899000000001"/>
    <n v="9.3333329999999997"/>
    <n v="9"/>
    <x v="0"/>
    <n v="-0.17922488"/>
    <x v="199"/>
    <x v="0"/>
    <x v="0"/>
    <n v="2500"/>
    <n v="2500"/>
    <x v="12"/>
    <x v="12"/>
    <x v="4"/>
    <x v="4"/>
    <x v="0"/>
  </r>
  <r>
    <n v="2014"/>
    <x v="1"/>
    <s v="41-50 years"/>
    <n v="47"/>
    <x v="0"/>
    <x v="3"/>
    <x v="6"/>
    <s v="Moderate"/>
    <n v="0.59493434000000001"/>
    <x v="4"/>
    <x v="0"/>
    <n v="0.20015757000000001"/>
    <n v="8"/>
    <s v="Normal"/>
    <n v="-0.33828637"/>
    <n v="12.666667"/>
    <n v="13"/>
    <x v="1"/>
    <n v="0.15226851"/>
    <x v="200"/>
    <x v="0"/>
    <x v="0"/>
    <n v="2666.6667000000002"/>
    <n v="2667"/>
    <x v="16"/>
    <x v="16"/>
    <x v="4"/>
    <x v="4"/>
    <x v="0"/>
  </r>
  <r>
    <n v="2015"/>
    <x v="1"/>
    <s v="51-60 years"/>
    <n v="57"/>
    <x v="0"/>
    <x v="0"/>
    <x v="15"/>
    <s v="Extremely Severe"/>
    <n v="2.2032911999999998"/>
    <x v="13"/>
    <x v="3"/>
    <n v="1.9521089"/>
    <n v="28"/>
    <s v="Severe"/>
    <n v="1.5880875999999999"/>
    <n v="30.666665999999999"/>
    <n v="31"/>
    <x v="3"/>
    <n v="1.9144958000000001"/>
    <x v="201"/>
    <x v="3"/>
    <x v="3"/>
    <n v="4500"/>
    <n v="4500"/>
    <x v="42"/>
    <x v="42"/>
    <x v="1"/>
    <x v="1"/>
    <x v="1"/>
  </r>
  <r>
    <n v="2016"/>
    <x v="1"/>
    <s v="31-40 years"/>
    <n v="38"/>
    <x v="0"/>
    <x v="0"/>
    <x v="13"/>
    <s v="Severe"/>
    <n v="1.3991127999999999"/>
    <x v="17"/>
    <x v="0"/>
    <n v="0.78414130000000004"/>
    <n v="22"/>
    <s v="Severe"/>
    <n v="1.0101753"/>
    <n v="22"/>
    <n v="22"/>
    <x v="2"/>
    <n v="1.0644765"/>
    <x v="202"/>
    <x v="2"/>
    <x v="2"/>
    <n v="2500"/>
    <n v="2500"/>
    <x v="12"/>
    <x v="12"/>
    <x v="4"/>
    <x v="4"/>
    <x v="0"/>
  </r>
  <r>
    <n v="2017"/>
    <x v="1"/>
    <s v="31-40 years"/>
    <n v="40"/>
    <x v="0"/>
    <x v="0"/>
    <x v="11"/>
    <s v="Moderate"/>
    <n v="0.99702360000000001"/>
    <x v="14"/>
    <x v="2"/>
    <n v="1.5627863"/>
    <n v="20"/>
    <s v="Moderate"/>
    <n v="0.81753799999999999"/>
    <n v="22.666665999999999"/>
    <n v="23"/>
    <x v="2"/>
    <n v="1.1257826"/>
    <x v="100"/>
    <x v="2"/>
    <x v="2"/>
    <n v="6666.6665000000003"/>
    <n v="6667"/>
    <x v="21"/>
    <x v="21"/>
    <x v="2"/>
    <x v="2"/>
    <x v="2"/>
  </r>
  <r>
    <n v="2018"/>
    <x v="1"/>
    <s v="41-50 years"/>
    <n v="48"/>
    <x v="0"/>
    <x v="0"/>
    <x v="10"/>
    <s v="Severe"/>
    <n v="1.1980683000000001"/>
    <x v="17"/>
    <x v="0"/>
    <n v="0.78414130000000004"/>
    <n v="26"/>
    <s v="Severe"/>
    <n v="1.3954502"/>
    <n v="22.666665999999999"/>
    <n v="23"/>
    <x v="2"/>
    <n v="1.1258866000000001"/>
    <x v="203"/>
    <x v="2"/>
    <x v="2"/>
    <n v="4500"/>
    <n v="4500"/>
    <x v="42"/>
    <x v="42"/>
    <x v="1"/>
    <x v="1"/>
    <x v="1"/>
  </r>
  <r>
    <n v="2019"/>
    <x v="1"/>
    <s v="41-50 years"/>
    <n v="41"/>
    <x v="0"/>
    <x v="0"/>
    <x v="9"/>
    <s v="Severe"/>
    <n v="1.6001574999999999"/>
    <x v="12"/>
    <x v="2"/>
    <n v="1.1734637999999999"/>
    <n v="26"/>
    <s v="Severe"/>
    <n v="1.3954502"/>
    <n v="25.333334000000001"/>
    <n v="25"/>
    <x v="2"/>
    <n v="1.3896904999999999"/>
    <x v="86"/>
    <x v="2"/>
    <x v="2"/>
    <n v="6250"/>
    <n v="6250"/>
    <x v="27"/>
    <x v="27"/>
    <x v="2"/>
    <x v="2"/>
    <x v="2"/>
  </r>
  <r>
    <n v="2020"/>
    <x v="1"/>
    <s v="51-60 years"/>
    <n v="56"/>
    <x v="0"/>
    <x v="0"/>
    <x v="18"/>
    <s v="Extremely Severe"/>
    <n v="2.6053804999999999"/>
    <x v="16"/>
    <x v="3"/>
    <n v="2.1467700000000001"/>
    <n v="34"/>
    <s v="Extremely Severe"/>
    <n v="2.1659999999999999"/>
    <n v="34.666668000000001"/>
    <n v="35"/>
    <x v="3"/>
    <n v="2.3060499999999999"/>
    <x v="204"/>
    <x v="3"/>
    <x v="3"/>
    <n v="6000"/>
    <n v="6000"/>
    <x v="6"/>
    <x v="6"/>
    <x v="2"/>
    <x v="2"/>
    <x v="2"/>
  </r>
  <r>
    <n v="2021"/>
    <x v="1"/>
    <s v="51-60 years"/>
    <n v="58"/>
    <x v="0"/>
    <x v="3"/>
    <x v="3"/>
    <s v="Normal"/>
    <n v="-8.1994660000000007E-3"/>
    <x v="7"/>
    <x v="1"/>
    <n v="-0.38382620000000001"/>
    <n v="12"/>
    <s v="Moderate"/>
    <n v="4.6988415999999998E-2"/>
    <n v="10"/>
    <n v="10"/>
    <x v="0"/>
    <n v="-0.11501241500000001"/>
    <x v="205"/>
    <x v="0"/>
    <x v="0"/>
    <n v="3000"/>
    <n v="3000"/>
    <x v="22"/>
    <x v="22"/>
    <x v="3"/>
    <x v="3"/>
    <x v="0"/>
  </r>
  <r>
    <n v="2022"/>
    <x v="1"/>
    <s v="31-40 years"/>
    <n v="40"/>
    <x v="0"/>
    <x v="0"/>
    <x v="12"/>
    <s v="Moderate"/>
    <n v="0.79597896000000001"/>
    <x v="6"/>
    <x v="0"/>
    <n v="0.58948003999999998"/>
    <n v="16"/>
    <s v="Moderate"/>
    <n v="0.43226320000000001"/>
    <n v="17.333334000000001"/>
    <n v="17"/>
    <x v="1"/>
    <n v="0.60590739999999998"/>
    <x v="206"/>
    <x v="2"/>
    <x v="2"/>
    <n v="9333.3330000000005"/>
    <n v="9333"/>
    <x v="58"/>
    <x v="58"/>
    <x v="5"/>
    <x v="5"/>
    <x v="2"/>
  </r>
  <r>
    <n v="2023"/>
    <x v="1"/>
    <s v="51-60 years"/>
    <n v="56"/>
    <x v="0"/>
    <x v="3"/>
    <x v="11"/>
    <s v="Moderate"/>
    <n v="0.99702360000000001"/>
    <x v="6"/>
    <x v="0"/>
    <n v="0.58948003999999998"/>
    <n v="18"/>
    <s v="Moderate"/>
    <n v="0.62490060000000003"/>
    <n v="18.666665999999999"/>
    <n v="19"/>
    <x v="1"/>
    <n v="0.73713474999999995"/>
    <x v="207"/>
    <x v="2"/>
    <x v="2"/>
    <n v="1000"/>
    <n v="1000"/>
    <x v="4"/>
    <x v="4"/>
    <x v="0"/>
    <x v="0"/>
    <x v="0"/>
  </r>
  <r>
    <n v="2024"/>
    <x v="1"/>
    <s v="31-40 years"/>
    <n v="36"/>
    <x v="0"/>
    <x v="3"/>
    <x v="14"/>
    <s v="Severe"/>
    <n v="1.801202"/>
    <x v="14"/>
    <x v="2"/>
    <n v="1.5627863"/>
    <n v="32"/>
    <s v="Extremely Severe"/>
    <n v="1.9733623"/>
    <n v="29.333334000000001"/>
    <n v="29"/>
    <x v="2"/>
    <n v="1.7791169"/>
    <x v="132"/>
    <x v="3"/>
    <x v="3"/>
    <n v="4000"/>
    <n v="4000"/>
    <x v="7"/>
    <x v="7"/>
    <x v="3"/>
    <x v="3"/>
    <x v="0"/>
  </r>
  <r>
    <n v="2025"/>
    <x v="1"/>
    <s v="41-50 years"/>
    <n v="49"/>
    <x v="0"/>
    <x v="3"/>
    <x v="12"/>
    <s v="Moderate"/>
    <n v="0.79597896000000001"/>
    <x v="9"/>
    <x v="2"/>
    <n v="0.97880255999999999"/>
    <n v="24"/>
    <s v="Severe"/>
    <n v="1.2028128"/>
    <n v="21.333334000000001"/>
    <n v="21"/>
    <x v="2"/>
    <n v="0.99253139999999995"/>
    <x v="208"/>
    <x v="2"/>
    <x v="2"/>
    <n v="7500"/>
    <n v="7500"/>
    <x v="13"/>
    <x v="13"/>
    <x v="5"/>
    <x v="5"/>
    <x v="2"/>
  </r>
  <r>
    <n v="2026"/>
    <x v="1"/>
    <s v="41-50 years"/>
    <n v="42"/>
    <x v="0"/>
    <x v="3"/>
    <x v="10"/>
    <s v="Severe"/>
    <n v="1.1980683000000001"/>
    <x v="6"/>
    <x v="0"/>
    <n v="0.58948003999999998"/>
    <n v="24"/>
    <s v="Severe"/>
    <n v="1.2028128"/>
    <n v="21.333334000000001"/>
    <n v="21"/>
    <x v="2"/>
    <n v="0.99678699999999998"/>
    <x v="190"/>
    <x v="2"/>
    <x v="2"/>
    <n v="3750"/>
    <n v="3750"/>
    <x v="15"/>
    <x v="15"/>
    <x v="3"/>
    <x v="3"/>
    <x v="0"/>
  </r>
  <r>
    <n v="2027"/>
    <x v="1"/>
    <s v="41-50 years"/>
    <n v="48"/>
    <x v="0"/>
    <x v="3"/>
    <x v="11"/>
    <s v="Moderate"/>
    <n v="0.99702360000000001"/>
    <x v="11"/>
    <x v="2"/>
    <n v="1.3681251000000001"/>
    <n v="20"/>
    <s v="Moderate"/>
    <n v="0.81753799999999999"/>
    <n v="22"/>
    <n v="22"/>
    <x v="2"/>
    <n v="1.0608956"/>
    <x v="209"/>
    <x v="2"/>
    <x v="2"/>
    <n v="6666.6665000000003"/>
    <n v="6667"/>
    <x v="21"/>
    <x v="21"/>
    <x v="2"/>
    <x v="2"/>
    <x v="2"/>
  </r>
  <r>
    <n v="2028"/>
    <x v="1"/>
    <s v="41-50 years"/>
    <n v="47"/>
    <x v="0"/>
    <x v="3"/>
    <x v="10"/>
    <s v="Severe"/>
    <n v="1.1980683000000001"/>
    <x v="17"/>
    <x v="0"/>
    <n v="0.78414130000000004"/>
    <n v="20"/>
    <s v="Moderate"/>
    <n v="0.81753799999999999"/>
    <n v="20.666665999999999"/>
    <n v="21"/>
    <x v="2"/>
    <n v="0.9332492"/>
    <x v="210"/>
    <x v="2"/>
    <x v="2"/>
    <n v="5000"/>
    <n v="5000"/>
    <x v="2"/>
    <x v="2"/>
    <x v="1"/>
    <x v="1"/>
    <x v="1"/>
  </r>
  <r>
    <n v="2029"/>
    <x v="1"/>
    <s v="31-40 years"/>
    <n v="36"/>
    <x v="0"/>
    <x v="3"/>
    <x v="13"/>
    <s v="Severe"/>
    <n v="1.3991127999999999"/>
    <x v="15"/>
    <x v="2"/>
    <n v="1.7574476000000001"/>
    <n v="26"/>
    <s v="Severe"/>
    <n v="1.3954502"/>
    <n v="26.666665999999999"/>
    <n v="27"/>
    <x v="2"/>
    <n v="1.5173368"/>
    <x v="211"/>
    <x v="3"/>
    <x v="3"/>
    <n v="7500"/>
    <n v="7500"/>
    <x v="13"/>
    <x v="13"/>
    <x v="5"/>
    <x v="5"/>
    <x v="2"/>
  </r>
  <r>
    <n v="2030"/>
    <x v="1"/>
    <s v="31-40 years"/>
    <n v="40"/>
    <x v="0"/>
    <x v="3"/>
    <x v="11"/>
    <s v="Moderate"/>
    <n v="0.99702360000000001"/>
    <x v="12"/>
    <x v="2"/>
    <n v="1.1734637999999999"/>
    <n v="18"/>
    <s v="Moderate"/>
    <n v="0.62490060000000003"/>
    <n v="20.666665999999999"/>
    <n v="21"/>
    <x v="2"/>
    <n v="0.93179599999999996"/>
    <x v="212"/>
    <x v="2"/>
    <x v="2"/>
    <n v="5000"/>
    <n v="5000"/>
    <x v="2"/>
    <x v="2"/>
    <x v="1"/>
    <x v="1"/>
    <x v="1"/>
  </r>
  <r>
    <n v="2031"/>
    <x v="1"/>
    <s v="21-30 years"/>
    <n v="26"/>
    <x v="0"/>
    <x v="3"/>
    <x v="5"/>
    <s v="Moderate"/>
    <n v="0.39388975999999998"/>
    <x v="3"/>
    <x v="0"/>
    <n v="0.39481880000000003"/>
    <n v="12"/>
    <s v="Moderate"/>
    <n v="4.6988415999999998E-2"/>
    <n v="14"/>
    <n v="14"/>
    <x v="1"/>
    <n v="0.27856567999999998"/>
    <x v="213"/>
    <x v="0"/>
    <x v="0"/>
    <n v="4400"/>
    <n v="4400"/>
    <x v="59"/>
    <x v="59"/>
    <x v="3"/>
    <x v="3"/>
    <x v="0"/>
  </r>
  <r>
    <n v="2032"/>
    <x v="1"/>
    <s v="51-60 years"/>
    <n v="53"/>
    <x v="0"/>
    <x v="3"/>
    <x v="9"/>
    <s v="Severe"/>
    <n v="1.6001574999999999"/>
    <x v="13"/>
    <x v="3"/>
    <n v="1.9521089"/>
    <n v="26"/>
    <s v="Severe"/>
    <n v="1.3954502"/>
    <n v="28"/>
    <n v="28"/>
    <x v="2"/>
    <n v="1.6492388"/>
    <x v="214"/>
    <x v="3"/>
    <x v="3"/>
    <n v="5000"/>
    <n v="5000"/>
    <x v="2"/>
    <x v="2"/>
    <x v="1"/>
    <x v="1"/>
    <x v="1"/>
  </r>
  <r>
    <n v="2033"/>
    <x v="1"/>
    <s v="31-40 years"/>
    <n v="40"/>
    <x v="0"/>
    <x v="3"/>
    <x v="11"/>
    <s v="Moderate"/>
    <n v="0.99702360000000001"/>
    <x v="9"/>
    <x v="2"/>
    <n v="0.97880255999999999"/>
    <n v="26"/>
    <s v="Severe"/>
    <n v="1.3954502"/>
    <n v="22.666665999999999"/>
    <n v="23"/>
    <x v="2"/>
    <n v="1.1237588000000001"/>
    <x v="135"/>
    <x v="2"/>
    <x v="2"/>
    <n v="7333.3334999999997"/>
    <n v="7333"/>
    <x v="54"/>
    <x v="54"/>
    <x v="2"/>
    <x v="2"/>
    <x v="2"/>
  </r>
  <r>
    <n v="2034"/>
    <x v="1"/>
    <s v="51-60 years"/>
    <n v="52"/>
    <x v="0"/>
    <x v="3"/>
    <x v="10"/>
    <s v="Severe"/>
    <n v="1.1980683000000001"/>
    <x v="9"/>
    <x v="2"/>
    <n v="0.97880255999999999"/>
    <n v="20"/>
    <s v="Moderate"/>
    <n v="0.81753799999999999"/>
    <n v="21.333334000000001"/>
    <n v="21"/>
    <x v="2"/>
    <n v="0.99813629999999998"/>
    <x v="215"/>
    <x v="2"/>
    <x v="2"/>
    <n v="3800"/>
    <n v="3800"/>
    <x v="60"/>
    <x v="60"/>
    <x v="3"/>
    <x v="3"/>
    <x v="0"/>
  </r>
  <r>
    <n v="2035"/>
    <x v="1"/>
    <s v="51-60 years"/>
    <n v="57"/>
    <x v="0"/>
    <x v="0"/>
    <x v="11"/>
    <s v="Moderate"/>
    <n v="0.99702360000000001"/>
    <x v="6"/>
    <x v="0"/>
    <n v="0.58948003999999998"/>
    <n v="16"/>
    <s v="Moderate"/>
    <n v="0.43226320000000001"/>
    <n v="18"/>
    <n v="18"/>
    <x v="1"/>
    <n v="0.67292225000000006"/>
    <x v="216"/>
    <x v="2"/>
    <x v="2"/>
    <n v="7500"/>
    <n v="7500"/>
    <x v="13"/>
    <x v="13"/>
    <x v="5"/>
    <x v="5"/>
    <x v="2"/>
  </r>
  <r>
    <n v="2036"/>
    <x v="1"/>
    <s v="41-50 years"/>
    <n v="50"/>
    <x v="0"/>
    <x v="3"/>
    <x v="6"/>
    <s v="Moderate"/>
    <n v="0.59493434000000001"/>
    <x v="11"/>
    <x v="2"/>
    <n v="1.3681251000000001"/>
    <n v="18"/>
    <s v="Moderate"/>
    <n v="0.62490060000000003"/>
    <n v="20"/>
    <n v="20"/>
    <x v="1"/>
    <n v="0.86265329999999996"/>
    <x v="217"/>
    <x v="2"/>
    <x v="2"/>
    <n v="5000"/>
    <n v="5000"/>
    <x v="2"/>
    <x v="2"/>
    <x v="1"/>
    <x v="1"/>
    <x v="1"/>
  </r>
  <r>
    <n v="2037"/>
    <x v="1"/>
    <s v="41-50 years"/>
    <n v="49"/>
    <x v="0"/>
    <x v="0"/>
    <x v="14"/>
    <s v="Severe"/>
    <n v="1.801202"/>
    <x v="14"/>
    <x v="2"/>
    <n v="1.5627863"/>
    <n v="32"/>
    <s v="Extremely Severe"/>
    <n v="1.9733623"/>
    <n v="29.333334000000001"/>
    <n v="29"/>
    <x v="2"/>
    <n v="1.7791169"/>
    <x v="132"/>
    <x v="3"/>
    <x v="3"/>
    <n v="7500"/>
    <n v="7500"/>
    <x v="13"/>
    <x v="13"/>
    <x v="5"/>
    <x v="5"/>
    <x v="2"/>
  </r>
  <r>
    <n v="2038"/>
    <x v="1"/>
    <s v="51-60 years"/>
    <n v="59"/>
    <x v="0"/>
    <x v="0"/>
    <x v="9"/>
    <s v="Severe"/>
    <n v="1.6001574999999999"/>
    <x v="13"/>
    <x v="3"/>
    <n v="1.9521089"/>
    <n v="28"/>
    <s v="Severe"/>
    <n v="1.5880875999999999"/>
    <n v="28.666665999999999"/>
    <n v="29"/>
    <x v="2"/>
    <n v="1.7134513"/>
    <x v="218"/>
    <x v="3"/>
    <x v="3"/>
    <n v="6000"/>
    <n v="6000"/>
    <x v="6"/>
    <x v="6"/>
    <x v="2"/>
    <x v="2"/>
    <x v="2"/>
  </r>
  <r>
    <n v="2039"/>
    <x v="1"/>
    <s v="51-60 years"/>
    <n v="54"/>
    <x v="0"/>
    <x v="3"/>
    <x v="11"/>
    <s v="Moderate"/>
    <n v="0.99702360000000001"/>
    <x v="6"/>
    <x v="0"/>
    <n v="0.58948003999999998"/>
    <n v="16"/>
    <s v="Moderate"/>
    <n v="0.43226320000000001"/>
    <n v="18"/>
    <n v="18"/>
    <x v="1"/>
    <n v="0.67292225000000006"/>
    <x v="216"/>
    <x v="2"/>
    <x v="2"/>
    <n v="9000"/>
    <n v="9000"/>
    <x v="61"/>
    <x v="61"/>
    <x v="5"/>
    <x v="5"/>
    <x v="2"/>
  </r>
  <r>
    <n v="2040"/>
    <x v="1"/>
    <s v="51-60 years"/>
    <n v="59"/>
    <x v="0"/>
    <x v="0"/>
    <x v="5"/>
    <s v="Moderate"/>
    <n v="0.39388975999999998"/>
    <x v="3"/>
    <x v="0"/>
    <n v="0.39481880000000003"/>
    <n v="16"/>
    <s v="Moderate"/>
    <n v="0.43226320000000001"/>
    <n v="15.333333"/>
    <n v="15"/>
    <x v="1"/>
    <n v="0.40699059999999998"/>
    <x v="219"/>
    <x v="2"/>
    <x v="2"/>
    <n v="8000"/>
    <n v="8000"/>
    <x v="62"/>
    <x v="62"/>
    <x v="5"/>
    <x v="5"/>
    <x v="2"/>
  </r>
  <r>
    <n v="2041"/>
    <x v="1"/>
    <s v="51-60 years"/>
    <n v="54"/>
    <x v="0"/>
    <x v="3"/>
    <x v="17"/>
    <s v="Severe"/>
    <n v="2.0022465999999999"/>
    <x v="11"/>
    <x v="2"/>
    <n v="1.3681251000000001"/>
    <n v="24"/>
    <s v="Severe"/>
    <n v="1.2028128"/>
    <n v="26.666665999999999"/>
    <n v="27"/>
    <x v="2"/>
    <n v="1.5243949000000001"/>
    <x v="220"/>
    <x v="3"/>
    <x v="3"/>
    <n v="6250"/>
    <n v="6250"/>
    <x v="27"/>
    <x v="27"/>
    <x v="2"/>
    <x v="2"/>
    <x v="2"/>
  </r>
  <r>
    <n v="2042"/>
    <x v="1"/>
    <s v="51-60 years"/>
    <n v="59"/>
    <x v="0"/>
    <x v="0"/>
    <x v="5"/>
    <s v="Moderate"/>
    <n v="0.39388975999999998"/>
    <x v="17"/>
    <x v="0"/>
    <n v="0.78414130000000004"/>
    <n v="18"/>
    <s v="Moderate"/>
    <n v="0.62490060000000003"/>
    <n v="17.333334000000001"/>
    <n v="17"/>
    <x v="1"/>
    <n v="0.60097719999999999"/>
    <x v="221"/>
    <x v="2"/>
    <x v="2"/>
    <n v="7500"/>
    <n v="7500"/>
    <x v="13"/>
    <x v="13"/>
    <x v="5"/>
    <x v="5"/>
    <x v="2"/>
  </r>
  <r>
    <n v="2043"/>
    <x v="1"/>
    <s v="21-30 years"/>
    <n v="28"/>
    <x v="0"/>
    <x v="3"/>
    <x v="6"/>
    <s v="Moderate"/>
    <n v="0.59493434000000001"/>
    <x v="6"/>
    <x v="0"/>
    <n v="0.58948003999999998"/>
    <n v="20"/>
    <s v="Moderate"/>
    <n v="0.81753799999999999"/>
    <n v="18"/>
    <n v="18"/>
    <x v="1"/>
    <n v="0.66731744999999998"/>
    <x v="222"/>
    <x v="2"/>
    <x v="2"/>
    <n v="7500"/>
    <n v="7500"/>
    <x v="13"/>
    <x v="13"/>
    <x v="5"/>
    <x v="5"/>
    <x v="2"/>
  </r>
  <r>
    <n v="2044"/>
    <x v="1"/>
    <s v="21-30 years"/>
    <n v="25"/>
    <x v="0"/>
    <x v="0"/>
    <x v="18"/>
    <s v="Extremely Severe"/>
    <n v="2.6053804999999999"/>
    <x v="18"/>
    <x v="3"/>
    <n v="2.5360925000000001"/>
    <n v="32"/>
    <s v="Extremely Severe"/>
    <n v="1.9733623"/>
    <n v="35.333331999999999"/>
    <n v="35"/>
    <x v="3"/>
    <n v="2.3716118000000002"/>
    <x v="223"/>
    <x v="3"/>
    <x v="3"/>
    <n v="5000"/>
    <n v="5000"/>
    <x v="2"/>
    <x v="2"/>
    <x v="1"/>
    <x v="1"/>
    <x v="1"/>
  </r>
  <r>
    <n v="2045"/>
    <x v="1"/>
    <s v="41-50 years"/>
    <n v="45"/>
    <x v="0"/>
    <x v="3"/>
    <x v="16"/>
    <s v="Extremely Severe"/>
    <n v="2.4043359999999998"/>
    <x v="18"/>
    <x v="3"/>
    <n v="2.5360925000000001"/>
    <n v="36"/>
    <s v="Extremely Severe"/>
    <n v="2.3586369999999999"/>
    <n v="36"/>
    <n v="36"/>
    <x v="3"/>
    <n v="2.4330218000000001"/>
    <x v="224"/>
    <x v="4"/>
    <x v="3"/>
    <n v="5250"/>
    <n v="5250"/>
    <x v="63"/>
    <x v="63"/>
    <x v="1"/>
    <x v="1"/>
    <x v="1"/>
  </r>
  <r>
    <n v="2046"/>
    <x v="1"/>
    <s v="51-60 years"/>
    <n v="55"/>
    <x v="0"/>
    <x v="3"/>
    <x v="6"/>
    <s v="Moderate"/>
    <n v="0.59493434000000001"/>
    <x v="12"/>
    <x v="2"/>
    <n v="1.1734637999999999"/>
    <n v="22"/>
    <s v="Severe"/>
    <n v="1.0101753"/>
    <n v="20.666665999999999"/>
    <n v="21"/>
    <x v="2"/>
    <n v="0.92619114999999996"/>
    <x v="225"/>
    <x v="2"/>
    <x v="2"/>
    <n v="4750"/>
    <n v="4750"/>
    <x v="64"/>
    <x v="64"/>
    <x v="1"/>
    <x v="1"/>
    <x v="1"/>
  </r>
  <r>
    <n v="2047"/>
    <x v="1"/>
    <s v="31-40 years"/>
    <n v="40"/>
    <x v="0"/>
    <x v="3"/>
    <x v="12"/>
    <s v="Moderate"/>
    <n v="0.79597896000000001"/>
    <x v="17"/>
    <x v="0"/>
    <n v="0.78414130000000004"/>
    <n v="28"/>
    <s v="Severe"/>
    <n v="1.5880875999999999"/>
    <n v="22"/>
    <n v="22"/>
    <x v="2"/>
    <n v="1.0560693000000001"/>
    <x v="226"/>
    <x v="2"/>
    <x v="2"/>
    <n v="5000"/>
    <n v="5000"/>
    <x v="2"/>
    <x v="2"/>
    <x v="1"/>
    <x v="1"/>
    <x v="1"/>
  </r>
  <r>
    <n v="2048"/>
    <x v="1"/>
    <s v="31-40 years"/>
    <n v="32"/>
    <x v="0"/>
    <x v="3"/>
    <x v="13"/>
    <s v="Severe"/>
    <n v="1.3991127999999999"/>
    <x v="12"/>
    <x v="2"/>
    <n v="1.1734637999999999"/>
    <n v="16"/>
    <s v="Moderate"/>
    <n v="0.43226320000000001"/>
    <n v="21.333334000000001"/>
    <n v="21"/>
    <x v="2"/>
    <n v="1.0016133"/>
    <x v="227"/>
    <x v="2"/>
    <x v="2"/>
    <n v="5000"/>
    <n v="5000"/>
    <x v="2"/>
    <x v="2"/>
    <x v="1"/>
    <x v="1"/>
    <x v="1"/>
  </r>
  <r>
    <n v="2049"/>
    <x v="1"/>
    <s v="31-40 years"/>
    <n v="36"/>
    <x v="0"/>
    <x v="3"/>
    <x v="12"/>
    <s v="Moderate"/>
    <n v="0.79597896000000001"/>
    <x v="9"/>
    <x v="2"/>
    <n v="0.97880255999999999"/>
    <n v="18"/>
    <s v="Moderate"/>
    <n v="0.62490060000000003"/>
    <n v="19.333334000000001"/>
    <n v="19"/>
    <x v="1"/>
    <n v="0.79989403000000003"/>
    <x v="228"/>
    <x v="2"/>
    <x v="2"/>
    <n v="3714.2856000000002"/>
    <n v="3714"/>
    <x v="65"/>
    <x v="65"/>
    <x v="3"/>
    <x v="3"/>
    <x v="0"/>
  </r>
  <r>
    <n v="2050"/>
    <x v="1"/>
    <s v="51-60 years"/>
    <n v="52"/>
    <x v="0"/>
    <x v="3"/>
    <x v="11"/>
    <s v="Moderate"/>
    <n v="0.99702360000000001"/>
    <x v="14"/>
    <x v="2"/>
    <n v="1.5627863"/>
    <n v="20"/>
    <s v="Moderate"/>
    <n v="0.81753799999999999"/>
    <n v="22.666665999999999"/>
    <n v="23"/>
    <x v="2"/>
    <n v="1.1257826"/>
    <x v="100"/>
    <x v="2"/>
    <x v="2"/>
    <n v="5000"/>
    <n v="5000"/>
    <x v="2"/>
    <x v="2"/>
    <x v="1"/>
    <x v="1"/>
    <x v="1"/>
  </r>
  <r>
    <n v="2051"/>
    <x v="1"/>
    <s v="31-40 years"/>
    <n v="40"/>
    <x v="0"/>
    <x v="3"/>
    <x v="11"/>
    <s v="Moderate"/>
    <n v="0.99702360000000001"/>
    <x v="9"/>
    <x v="2"/>
    <n v="0.97880255999999999"/>
    <n v="20"/>
    <s v="Moderate"/>
    <n v="0.81753799999999999"/>
    <n v="20.666665999999999"/>
    <n v="21"/>
    <x v="2"/>
    <n v="0.93112139999999999"/>
    <x v="229"/>
    <x v="2"/>
    <x v="2"/>
    <n v="5000"/>
    <n v="5000"/>
    <x v="2"/>
    <x v="2"/>
    <x v="1"/>
    <x v="1"/>
    <x v="1"/>
  </r>
  <r>
    <n v="2052"/>
    <x v="1"/>
    <s v="51-60 years"/>
    <n v="53"/>
    <x v="0"/>
    <x v="3"/>
    <x v="11"/>
    <s v="Moderate"/>
    <n v="0.99702360000000001"/>
    <x v="6"/>
    <x v="0"/>
    <n v="0.58948003999999998"/>
    <n v="24"/>
    <s v="Severe"/>
    <n v="1.2028128"/>
    <n v="20.666665999999999"/>
    <n v="21"/>
    <x v="2"/>
    <n v="0.92977213999999997"/>
    <x v="230"/>
    <x v="2"/>
    <x v="2"/>
    <n v="4000"/>
    <n v="4000"/>
    <x v="7"/>
    <x v="7"/>
    <x v="3"/>
    <x v="3"/>
    <x v="0"/>
  </r>
  <r>
    <n v="2053"/>
    <x v="1"/>
    <s v="51-60 years"/>
    <n v="52"/>
    <x v="0"/>
    <x v="3"/>
    <x v="11"/>
    <s v="Moderate"/>
    <n v="0.99702360000000001"/>
    <x v="15"/>
    <x v="2"/>
    <n v="1.7574476000000001"/>
    <n v="24"/>
    <s v="Severe"/>
    <n v="1.2028128"/>
    <n v="24.666665999999999"/>
    <n v="25"/>
    <x v="2"/>
    <n v="1.3190947"/>
    <x v="231"/>
    <x v="2"/>
    <x v="2"/>
    <n v="6250"/>
    <n v="6250"/>
    <x v="27"/>
    <x v="27"/>
    <x v="2"/>
    <x v="2"/>
    <x v="2"/>
  </r>
  <r>
    <n v="2054"/>
    <x v="1"/>
    <s v="31-40 years"/>
    <n v="36"/>
    <x v="0"/>
    <x v="4"/>
    <x v="17"/>
    <s v="Severe"/>
    <n v="2.0022465999999999"/>
    <x v="14"/>
    <x v="2"/>
    <n v="1.5627863"/>
    <n v="28"/>
    <s v="Severe"/>
    <n v="1.5880875999999999"/>
    <n v="28.666665999999999"/>
    <n v="29"/>
    <x v="2"/>
    <n v="1.7177068"/>
    <x v="232"/>
    <x v="3"/>
    <x v="3"/>
    <n v="4750"/>
    <n v="4750"/>
    <x v="64"/>
    <x v="64"/>
    <x v="1"/>
    <x v="1"/>
    <x v="1"/>
  </r>
  <r>
    <n v="2055"/>
    <x v="1"/>
    <s v="41-50 years"/>
    <n v="50"/>
    <x v="0"/>
    <x v="0"/>
    <x v="11"/>
    <s v="Moderate"/>
    <n v="0.99702360000000001"/>
    <x v="11"/>
    <x v="2"/>
    <n v="1.3681251000000001"/>
    <n v="16"/>
    <s v="Moderate"/>
    <n v="0.43226320000000001"/>
    <n v="20.666665999999999"/>
    <n v="21"/>
    <x v="2"/>
    <n v="0.93247060000000004"/>
    <x v="233"/>
    <x v="2"/>
    <x v="2"/>
    <n v="7000"/>
    <n v="7000"/>
    <x v="29"/>
    <x v="29"/>
    <x v="2"/>
    <x v="2"/>
    <x v="2"/>
  </r>
  <r>
    <n v="2056"/>
    <x v="1"/>
    <s v="41-50 years"/>
    <n v="49"/>
    <x v="0"/>
    <x v="3"/>
    <x v="9"/>
    <s v="Severe"/>
    <n v="1.6001574999999999"/>
    <x v="15"/>
    <x v="2"/>
    <n v="1.7574476000000001"/>
    <n v="32"/>
    <s v="Extremely Severe"/>
    <n v="1.9733623"/>
    <n v="29.333334000000001"/>
    <n v="29"/>
    <x v="2"/>
    <n v="1.7769891"/>
    <x v="234"/>
    <x v="3"/>
    <x v="3"/>
    <n v="10000"/>
    <n v="10000"/>
    <x v="26"/>
    <x v="26"/>
    <x v="5"/>
    <x v="5"/>
    <x v="2"/>
  </r>
  <r>
    <n v="2057"/>
    <x v="1"/>
    <s v="51-60 years"/>
    <n v="57"/>
    <x v="0"/>
    <x v="3"/>
    <x v="9"/>
    <s v="Severe"/>
    <n v="1.6001574999999999"/>
    <x v="15"/>
    <x v="2"/>
    <n v="1.7574476000000001"/>
    <n v="30"/>
    <s v="Severe"/>
    <n v="1.7807249999999999"/>
    <n v="28.666665999999999"/>
    <n v="29"/>
    <x v="2"/>
    <n v="1.7127767"/>
    <x v="235"/>
    <x v="3"/>
    <x v="3"/>
    <n v="6333.3334999999997"/>
    <n v="6333"/>
    <x v="23"/>
    <x v="23"/>
    <x v="2"/>
    <x v="2"/>
    <x v="2"/>
  </r>
  <r>
    <n v="2058"/>
    <x v="1"/>
    <s v="41-50 years"/>
    <n v="48"/>
    <x v="0"/>
    <x v="3"/>
    <x v="9"/>
    <s v="Severe"/>
    <n v="1.6001574999999999"/>
    <x v="15"/>
    <x v="2"/>
    <n v="1.7574476000000001"/>
    <n v="28"/>
    <s v="Severe"/>
    <n v="1.5880875999999999"/>
    <n v="28"/>
    <n v="28"/>
    <x v="2"/>
    <n v="1.6485642"/>
    <x v="115"/>
    <x v="3"/>
    <x v="3"/>
    <n v="5000"/>
    <n v="5000"/>
    <x v="2"/>
    <x v="2"/>
    <x v="1"/>
    <x v="1"/>
    <x v="1"/>
  </r>
  <r>
    <n v="2059"/>
    <x v="1"/>
    <s v="51-60 years"/>
    <n v="54"/>
    <x v="0"/>
    <x v="3"/>
    <x v="10"/>
    <s v="Severe"/>
    <n v="1.1980683000000001"/>
    <x v="9"/>
    <x v="2"/>
    <n v="0.97880255999999999"/>
    <n v="28"/>
    <s v="Severe"/>
    <n v="1.5880875999999999"/>
    <n v="24"/>
    <n v="24"/>
    <x v="2"/>
    <n v="1.2549862000000001"/>
    <x v="167"/>
    <x v="2"/>
    <x v="2"/>
    <n v="4400"/>
    <n v="4400"/>
    <x v="59"/>
    <x v="59"/>
    <x v="3"/>
    <x v="3"/>
    <x v="0"/>
  </r>
  <r>
    <n v="2060"/>
    <x v="1"/>
    <s v="51-60 years"/>
    <n v="58"/>
    <x v="0"/>
    <x v="3"/>
    <x v="7"/>
    <s v="Moderate"/>
    <n v="0.19284514999999999"/>
    <x v="3"/>
    <x v="0"/>
    <n v="0.39481880000000003"/>
    <n v="16"/>
    <s v="Moderate"/>
    <n v="0.43226320000000001"/>
    <n v="14.666667"/>
    <n v="15"/>
    <x v="1"/>
    <n v="0.33997569999999999"/>
    <x v="236"/>
    <x v="0"/>
    <x v="0"/>
    <n v="7000"/>
    <n v="7000"/>
    <x v="29"/>
    <x v="29"/>
    <x v="2"/>
    <x v="2"/>
    <x v="2"/>
  </r>
  <r>
    <n v="2061"/>
    <x v="1"/>
    <s v="41-50 years"/>
    <n v="45"/>
    <x v="1"/>
    <x v="2"/>
    <x v="4"/>
    <s v="Normal"/>
    <n v="-0.61133329999999997"/>
    <x v="7"/>
    <x v="1"/>
    <n v="-0.38382620000000001"/>
    <n v="12"/>
    <s v="Moderate"/>
    <n v="4.6988415999999998E-2"/>
    <n v="8"/>
    <n v="8"/>
    <x v="0"/>
    <n v="-0.31605703000000002"/>
    <x v="237"/>
    <x v="0"/>
    <x v="0"/>
    <n v="2500"/>
    <n v="2500"/>
    <x v="12"/>
    <x v="12"/>
    <x v="4"/>
    <x v="4"/>
    <x v="0"/>
  </r>
  <r>
    <n v="2062"/>
    <x v="1"/>
    <s v="31-40 years"/>
    <n v="35"/>
    <x v="1"/>
    <x v="2"/>
    <x v="0"/>
    <s v="Normal"/>
    <n v="-0.41028870000000001"/>
    <x v="7"/>
    <x v="1"/>
    <n v="-0.38382620000000001"/>
    <n v="16"/>
    <s v="Moderate"/>
    <n v="0.43226320000000001"/>
    <n v="10"/>
    <n v="10"/>
    <x v="0"/>
    <n v="-0.12061723000000001"/>
    <x v="238"/>
    <x v="0"/>
    <x v="0"/>
    <n v="2500"/>
    <n v="2500"/>
    <x v="12"/>
    <x v="12"/>
    <x v="4"/>
    <x v="4"/>
    <x v="0"/>
  </r>
  <r>
    <n v="2063"/>
    <x v="1"/>
    <s v="21-30 years"/>
    <n v="28"/>
    <x v="1"/>
    <x v="1"/>
    <x v="0"/>
    <s v="Normal"/>
    <n v="-0.41028870000000001"/>
    <x v="8"/>
    <x v="1"/>
    <n v="-0.18916494"/>
    <n v="14"/>
    <s v="Moderate"/>
    <n v="0.23962580999999999"/>
    <n v="10"/>
    <n v="10"/>
    <x v="0"/>
    <n v="-0.11994260499999999"/>
    <x v="239"/>
    <x v="0"/>
    <x v="0"/>
    <n v="3000"/>
    <n v="3000"/>
    <x v="22"/>
    <x v="22"/>
    <x v="3"/>
    <x v="3"/>
    <x v="0"/>
  </r>
  <r>
    <n v="2064"/>
    <x v="1"/>
    <s v="41-50 years"/>
    <n v="45"/>
    <x v="1"/>
    <x v="2"/>
    <x v="4"/>
    <s v="Normal"/>
    <n v="-0.61133329999999997"/>
    <x v="0"/>
    <x v="0"/>
    <n v="5.496318E-3"/>
    <n v="14"/>
    <s v="Moderate"/>
    <n v="0.23962580999999999"/>
    <n v="10"/>
    <n v="10"/>
    <x v="0"/>
    <n v="-0.122070394"/>
    <x v="240"/>
    <x v="0"/>
    <x v="0"/>
    <n v="2666.6667000000002"/>
    <n v="2667"/>
    <x v="16"/>
    <x v="16"/>
    <x v="4"/>
    <x v="4"/>
    <x v="0"/>
  </r>
  <r>
    <n v="2065"/>
    <x v="1"/>
    <s v="21-30 years"/>
    <n v="27"/>
    <x v="1"/>
    <x v="3"/>
    <x v="4"/>
    <s v="Normal"/>
    <n v="-0.61133329999999997"/>
    <x v="8"/>
    <x v="1"/>
    <n v="-0.18916494"/>
    <n v="14"/>
    <s v="Moderate"/>
    <n v="0.23962580999999999"/>
    <n v="9.3333329999999997"/>
    <n v="9"/>
    <x v="0"/>
    <n v="-0.18695748000000001"/>
    <x v="241"/>
    <x v="0"/>
    <x v="0"/>
    <n v="2500"/>
    <n v="2500"/>
    <x v="12"/>
    <x v="12"/>
    <x v="4"/>
    <x v="4"/>
    <x v="0"/>
  </r>
  <r>
    <n v="2066"/>
    <x v="1"/>
    <s v="31-40 years"/>
    <n v="39"/>
    <x v="1"/>
    <x v="1"/>
    <x v="0"/>
    <s v="Normal"/>
    <n v="-0.41028870000000001"/>
    <x v="4"/>
    <x v="0"/>
    <n v="0.20015757000000001"/>
    <n v="12"/>
    <s v="Moderate"/>
    <n v="4.6988415999999998E-2"/>
    <n v="10.666667"/>
    <n v="11"/>
    <x v="1"/>
    <n v="-5.4380900000000003E-2"/>
    <x v="242"/>
    <x v="0"/>
    <x v="0"/>
    <n v="2000"/>
    <n v="2000"/>
    <x v="11"/>
    <x v="11"/>
    <x v="4"/>
    <x v="4"/>
    <x v="0"/>
  </r>
  <r>
    <n v="2067"/>
    <x v="1"/>
    <s v="51-60 years"/>
    <n v="54"/>
    <x v="1"/>
    <x v="1"/>
    <x v="4"/>
    <s v="Normal"/>
    <n v="-0.61133329999999997"/>
    <x v="8"/>
    <x v="1"/>
    <n v="-0.18916494"/>
    <n v="14"/>
    <s v="Moderate"/>
    <n v="0.23962580999999999"/>
    <n v="9.3333329999999997"/>
    <n v="9"/>
    <x v="0"/>
    <n v="-0.18695748000000001"/>
    <x v="241"/>
    <x v="0"/>
    <x v="0"/>
    <n v="5000"/>
    <n v="5000"/>
    <x v="2"/>
    <x v="2"/>
    <x v="1"/>
    <x v="1"/>
    <x v="1"/>
  </r>
  <r>
    <n v="2068"/>
    <x v="1"/>
    <s v="31-40 years"/>
    <n v="38"/>
    <x v="1"/>
    <x v="0"/>
    <x v="4"/>
    <s v="Normal"/>
    <n v="-0.61133329999999997"/>
    <x v="1"/>
    <x v="1"/>
    <n v="-0.77314866000000004"/>
    <n v="4"/>
    <s v="Normal"/>
    <n v="-0.72356116999999998"/>
    <n v="4"/>
    <n v="4"/>
    <x v="0"/>
    <n v="-0.70268105999999997"/>
    <x v="39"/>
    <x v="1"/>
    <x v="1"/>
    <n v="3333.3332999999998"/>
    <n v="3333"/>
    <x v="10"/>
    <x v="10"/>
    <x v="3"/>
    <x v="3"/>
    <x v="0"/>
  </r>
  <r>
    <n v="2069"/>
    <x v="1"/>
    <s v="41-50 years"/>
    <n v="43"/>
    <x v="1"/>
    <x v="0"/>
    <x v="0"/>
    <s v="Normal"/>
    <n v="-0.41028870000000001"/>
    <x v="0"/>
    <x v="0"/>
    <n v="5.496318E-3"/>
    <n v="16"/>
    <s v="Moderate"/>
    <n v="0.43226320000000001"/>
    <n v="11.333333"/>
    <n v="11"/>
    <x v="1"/>
    <n v="9.156941E-3"/>
    <x v="243"/>
    <x v="0"/>
    <x v="0"/>
    <n v="3500"/>
    <n v="3500"/>
    <x v="39"/>
    <x v="39"/>
    <x v="3"/>
    <x v="3"/>
    <x v="0"/>
  </r>
  <r>
    <n v="2070"/>
    <x v="1"/>
    <s v="21-30 years"/>
    <n v="26"/>
    <x v="1"/>
    <x v="1"/>
    <x v="4"/>
    <s v="Normal"/>
    <n v="-0.61133329999999997"/>
    <x v="0"/>
    <x v="0"/>
    <n v="5.496318E-3"/>
    <n v="14"/>
    <s v="Moderate"/>
    <n v="0.23962580999999999"/>
    <n v="10"/>
    <n v="10"/>
    <x v="0"/>
    <n v="-0.122070394"/>
    <x v="240"/>
    <x v="0"/>
    <x v="0"/>
    <n v="3333.3332999999998"/>
    <n v="3333"/>
    <x v="10"/>
    <x v="10"/>
    <x v="3"/>
    <x v="3"/>
    <x v="0"/>
  </r>
  <r>
    <n v="2071"/>
    <x v="1"/>
    <s v="31-40 years"/>
    <n v="38"/>
    <x v="1"/>
    <x v="3"/>
    <x v="12"/>
    <s v="Moderate"/>
    <n v="0.79597896000000001"/>
    <x v="3"/>
    <x v="0"/>
    <n v="0.39481880000000003"/>
    <n v="20"/>
    <s v="Moderate"/>
    <n v="0.81753799999999999"/>
    <n v="18"/>
    <n v="18"/>
    <x v="1"/>
    <n v="0.66944530000000002"/>
    <x v="244"/>
    <x v="2"/>
    <x v="2"/>
    <n v="1666.6666"/>
    <n v="1667"/>
    <x v="1"/>
    <x v="1"/>
    <x v="0"/>
    <x v="0"/>
    <x v="0"/>
  </r>
  <r>
    <n v="2072"/>
    <x v="1"/>
    <s v="31-40 years"/>
    <n v="38"/>
    <x v="1"/>
    <x v="1"/>
    <x v="17"/>
    <s v="Severe"/>
    <n v="2.0022465999999999"/>
    <x v="16"/>
    <x v="3"/>
    <n v="2.1467700000000001"/>
    <n v="28"/>
    <s v="Severe"/>
    <n v="1.5880875999999999"/>
    <n v="30.666665999999999"/>
    <n v="31"/>
    <x v="3"/>
    <n v="1.9123680000000001"/>
    <x v="245"/>
    <x v="3"/>
    <x v="3"/>
    <n v="1500"/>
    <n v="1500"/>
    <x v="8"/>
    <x v="8"/>
    <x v="0"/>
    <x v="0"/>
    <x v="0"/>
  </r>
  <r>
    <n v="2073"/>
    <x v="1"/>
    <s v="51-60 years"/>
    <n v="52"/>
    <x v="1"/>
    <x v="1"/>
    <x v="11"/>
    <s v="Moderate"/>
    <n v="0.99702360000000001"/>
    <x v="17"/>
    <x v="0"/>
    <n v="0.78414130000000004"/>
    <n v="20"/>
    <s v="Moderate"/>
    <n v="0.81753799999999999"/>
    <n v="20"/>
    <n v="20"/>
    <x v="1"/>
    <n v="0.86623430000000001"/>
    <x v="246"/>
    <x v="2"/>
    <x v="2"/>
    <n v="3750"/>
    <n v="3750"/>
    <x v="15"/>
    <x v="15"/>
    <x v="3"/>
    <x v="3"/>
    <x v="0"/>
  </r>
  <r>
    <n v="2074"/>
    <x v="1"/>
    <s v="51-60 years"/>
    <n v="56"/>
    <x v="1"/>
    <x v="1"/>
    <x v="11"/>
    <s v="Moderate"/>
    <n v="0.99702360000000001"/>
    <x v="3"/>
    <x v="0"/>
    <n v="0.39481880000000003"/>
    <n v="12"/>
    <s v="Moderate"/>
    <n v="4.6988415999999998E-2"/>
    <n v="16"/>
    <n v="16"/>
    <x v="1"/>
    <n v="0.47961026000000001"/>
    <x v="247"/>
    <x v="2"/>
    <x v="2"/>
    <n v="5000"/>
    <n v="5000"/>
    <x v="2"/>
    <x v="2"/>
    <x v="1"/>
    <x v="1"/>
    <x v="1"/>
  </r>
  <r>
    <n v="2075"/>
    <x v="1"/>
    <s v="31-40 years"/>
    <n v="38"/>
    <x v="1"/>
    <x v="1"/>
    <x v="4"/>
    <s v="Normal"/>
    <n v="-0.61133329999999997"/>
    <x v="5"/>
    <x v="1"/>
    <n v="-0.57848745999999995"/>
    <n v="18"/>
    <s v="Moderate"/>
    <n v="0.62490060000000003"/>
    <n v="9.3333329999999997"/>
    <n v="9"/>
    <x v="0"/>
    <n v="-0.18830673000000001"/>
    <x v="248"/>
    <x v="0"/>
    <x v="0"/>
    <n v="3750"/>
    <n v="3750"/>
    <x v="15"/>
    <x v="15"/>
    <x v="3"/>
    <x v="3"/>
    <x v="0"/>
  </r>
  <r>
    <n v="2076"/>
    <x v="1"/>
    <s v="31-40 years"/>
    <n v="34"/>
    <x v="1"/>
    <x v="2"/>
    <x v="0"/>
    <s v="Normal"/>
    <n v="-0.41028870000000001"/>
    <x v="8"/>
    <x v="1"/>
    <n v="-0.18916494"/>
    <n v="14"/>
    <s v="Moderate"/>
    <n v="0.23962580999999999"/>
    <n v="10"/>
    <n v="10"/>
    <x v="0"/>
    <n v="-0.11994260499999999"/>
    <x v="239"/>
    <x v="0"/>
    <x v="0"/>
    <n v="2500"/>
    <n v="2500"/>
    <x v="12"/>
    <x v="12"/>
    <x v="4"/>
    <x v="4"/>
    <x v="0"/>
  </r>
  <r>
    <n v="2077"/>
    <x v="1"/>
    <s v="41-50 years"/>
    <n v="48"/>
    <x v="1"/>
    <x v="3"/>
    <x v="0"/>
    <s v="Normal"/>
    <n v="-0.41028870000000001"/>
    <x v="5"/>
    <x v="1"/>
    <n v="-0.57848745999999995"/>
    <n v="16"/>
    <s v="Moderate"/>
    <n v="0.43226320000000001"/>
    <n v="9.3333329999999997"/>
    <n v="9"/>
    <x v="0"/>
    <n v="-0.18550432"/>
    <x v="249"/>
    <x v="0"/>
    <x v="0"/>
    <n v="2666.6667000000002"/>
    <n v="2667"/>
    <x v="16"/>
    <x v="16"/>
    <x v="4"/>
    <x v="4"/>
    <x v="0"/>
  </r>
  <r>
    <n v="2078"/>
    <x v="1"/>
    <s v="31-40 years"/>
    <n v="35"/>
    <x v="1"/>
    <x v="2"/>
    <x v="0"/>
    <s v="Normal"/>
    <n v="-0.41028870000000001"/>
    <x v="8"/>
    <x v="1"/>
    <n v="-0.18916494"/>
    <n v="14"/>
    <s v="Moderate"/>
    <n v="0.23962580999999999"/>
    <n v="10"/>
    <n v="10"/>
    <x v="0"/>
    <n v="-0.11994260499999999"/>
    <x v="239"/>
    <x v="0"/>
    <x v="0"/>
    <n v="3750"/>
    <n v="3750"/>
    <x v="15"/>
    <x v="15"/>
    <x v="3"/>
    <x v="3"/>
    <x v="0"/>
  </r>
  <r>
    <n v="2079"/>
    <x v="1"/>
    <s v="51-60 years"/>
    <n v="52"/>
    <x v="1"/>
    <x v="0"/>
    <x v="2"/>
    <s v="Normal"/>
    <n v="-0.20924408999999999"/>
    <x v="8"/>
    <x v="1"/>
    <n v="-0.18916494"/>
    <n v="12"/>
    <s v="Moderate"/>
    <n v="4.6988415999999998E-2"/>
    <n v="10"/>
    <n v="10"/>
    <x v="0"/>
    <n v="-0.1171402"/>
    <x v="250"/>
    <x v="0"/>
    <x v="0"/>
    <n v="5000"/>
    <n v="5000"/>
    <x v="2"/>
    <x v="2"/>
    <x v="1"/>
    <x v="1"/>
    <x v="1"/>
  </r>
  <r>
    <n v="2080"/>
    <x v="1"/>
    <s v="31-40 years"/>
    <n v="37"/>
    <x v="1"/>
    <x v="1"/>
    <x v="4"/>
    <s v="Normal"/>
    <n v="-0.61133329999999997"/>
    <x v="8"/>
    <x v="1"/>
    <n v="-0.18916494"/>
    <n v="16"/>
    <s v="Moderate"/>
    <n v="0.43226320000000001"/>
    <n v="10"/>
    <n v="10"/>
    <x v="0"/>
    <n v="-0.122745015"/>
    <x v="251"/>
    <x v="0"/>
    <x v="0"/>
    <n v="2000"/>
    <n v="2000"/>
    <x v="11"/>
    <x v="11"/>
    <x v="4"/>
    <x v="4"/>
    <x v="0"/>
  </r>
  <r>
    <n v="2081"/>
    <x v="1"/>
    <s v="31-40 years"/>
    <n v="38"/>
    <x v="1"/>
    <x v="1"/>
    <x v="0"/>
    <s v="Normal"/>
    <n v="-0.41028870000000001"/>
    <x v="7"/>
    <x v="1"/>
    <n v="-0.38382620000000001"/>
    <n v="8"/>
    <s v="Normal"/>
    <n v="-0.33828637"/>
    <n v="7.3333335000000002"/>
    <n v="7"/>
    <x v="0"/>
    <n v="-0.3774671"/>
    <x v="32"/>
    <x v="0"/>
    <x v="0"/>
    <n v="1600"/>
    <n v="1600"/>
    <x v="5"/>
    <x v="5"/>
    <x v="0"/>
    <x v="0"/>
    <x v="0"/>
  </r>
  <r>
    <n v="2082"/>
    <x v="1"/>
    <s v="21-30 years"/>
    <n v="30"/>
    <x v="1"/>
    <x v="0"/>
    <x v="6"/>
    <s v="Moderate"/>
    <n v="0.59493434000000001"/>
    <x v="3"/>
    <x v="0"/>
    <n v="0.39481880000000003"/>
    <n v="14"/>
    <s v="Moderate"/>
    <n v="0.23962580999999999"/>
    <n v="15.333333"/>
    <n v="15"/>
    <x v="1"/>
    <n v="0.40979300000000002"/>
    <x v="252"/>
    <x v="2"/>
    <x v="2"/>
    <n v="5000"/>
    <n v="5000"/>
    <x v="2"/>
    <x v="2"/>
    <x v="1"/>
    <x v="1"/>
    <x v="1"/>
  </r>
  <r>
    <n v="2083"/>
    <x v="1"/>
    <s v="31-40 years"/>
    <n v="33"/>
    <x v="1"/>
    <x v="3"/>
    <x v="12"/>
    <s v="Moderate"/>
    <n v="0.79597896000000001"/>
    <x v="6"/>
    <x v="0"/>
    <n v="0.58948003999999998"/>
    <n v="16"/>
    <s v="Moderate"/>
    <n v="0.43226320000000001"/>
    <n v="17.333334000000001"/>
    <n v="17"/>
    <x v="1"/>
    <n v="0.60590739999999998"/>
    <x v="206"/>
    <x v="2"/>
    <x v="2"/>
    <n v="5000"/>
    <n v="5000"/>
    <x v="2"/>
    <x v="2"/>
    <x v="1"/>
    <x v="1"/>
    <x v="1"/>
  </r>
  <r>
    <n v="2084"/>
    <x v="1"/>
    <s v="21-30 years"/>
    <n v="25"/>
    <x v="1"/>
    <x v="0"/>
    <x v="17"/>
    <s v="Severe"/>
    <n v="2.0022465999999999"/>
    <x v="14"/>
    <x v="2"/>
    <n v="1.5627863"/>
    <n v="26"/>
    <s v="Severe"/>
    <n v="1.3954502"/>
    <n v="28"/>
    <n v="28"/>
    <x v="2"/>
    <n v="1.6534944"/>
    <x v="253"/>
    <x v="3"/>
    <x v="3"/>
    <n v="5000"/>
    <n v="5000"/>
    <x v="2"/>
    <x v="2"/>
    <x v="1"/>
    <x v="1"/>
    <x v="1"/>
  </r>
  <r>
    <n v="2085"/>
    <x v="1"/>
    <s v="31-40 years"/>
    <n v="40"/>
    <x v="1"/>
    <x v="1"/>
    <x v="13"/>
    <s v="Severe"/>
    <n v="1.3991127999999999"/>
    <x v="11"/>
    <x v="2"/>
    <n v="1.3681251000000001"/>
    <n v="24"/>
    <s v="Severe"/>
    <n v="1.2028128"/>
    <n v="24.666665999999999"/>
    <n v="25"/>
    <x v="2"/>
    <n v="1.3233501999999999"/>
    <x v="254"/>
    <x v="2"/>
    <x v="2"/>
    <n v="5000"/>
    <n v="5000"/>
    <x v="2"/>
    <x v="2"/>
    <x v="1"/>
    <x v="1"/>
    <x v="1"/>
  </r>
  <r>
    <n v="2086"/>
    <x v="1"/>
    <s v="41-50 years"/>
    <n v="45"/>
    <x v="1"/>
    <x v="1"/>
    <x v="10"/>
    <s v="Severe"/>
    <n v="1.1980683000000001"/>
    <x v="15"/>
    <x v="2"/>
    <n v="1.7574476000000001"/>
    <n v="28"/>
    <s v="Severe"/>
    <n v="1.5880875999999999"/>
    <n v="26.666665999999999"/>
    <n v="27"/>
    <x v="2"/>
    <n v="1.5145344999999999"/>
    <x v="255"/>
    <x v="3"/>
    <x v="3"/>
    <n v="5750"/>
    <n v="5750"/>
    <x v="66"/>
    <x v="66"/>
    <x v="1"/>
    <x v="1"/>
    <x v="1"/>
  </r>
  <r>
    <n v="2087"/>
    <x v="1"/>
    <s v="41-50 years"/>
    <n v="50"/>
    <x v="1"/>
    <x v="1"/>
    <x v="13"/>
    <s v="Severe"/>
    <n v="1.3991127999999999"/>
    <x v="12"/>
    <x v="2"/>
    <n v="1.1734637999999999"/>
    <n v="28"/>
    <s v="Severe"/>
    <n v="1.5880875999999999"/>
    <n v="25.333334000000001"/>
    <n v="25"/>
    <x v="2"/>
    <n v="1.3868879999999999"/>
    <x v="256"/>
    <x v="2"/>
    <x v="2"/>
    <n v="4400"/>
    <n v="4400"/>
    <x v="59"/>
    <x v="59"/>
    <x v="3"/>
    <x v="3"/>
    <x v="0"/>
  </r>
  <r>
    <n v="2088"/>
    <x v="1"/>
    <s v="31-40 years"/>
    <n v="35"/>
    <x v="1"/>
    <x v="0"/>
    <x v="6"/>
    <s v="Moderate"/>
    <n v="0.59493434000000001"/>
    <x v="12"/>
    <x v="2"/>
    <n v="1.1734637999999999"/>
    <n v="18"/>
    <s v="Moderate"/>
    <n v="0.62490060000000003"/>
    <n v="19.333334000000001"/>
    <n v="19"/>
    <x v="1"/>
    <n v="0.79776627"/>
    <x v="257"/>
    <x v="2"/>
    <x v="2"/>
    <n v="5500"/>
    <n v="5500"/>
    <x v="47"/>
    <x v="47"/>
    <x v="1"/>
    <x v="1"/>
    <x v="1"/>
  </r>
  <r>
    <n v="2089"/>
    <x v="1"/>
    <s v="51-60 years"/>
    <n v="54"/>
    <x v="1"/>
    <x v="1"/>
    <x v="13"/>
    <s v="Severe"/>
    <n v="1.3991127999999999"/>
    <x v="11"/>
    <x v="2"/>
    <n v="1.3681251000000001"/>
    <n v="24"/>
    <s v="Severe"/>
    <n v="1.2028128"/>
    <n v="24.666665999999999"/>
    <n v="25"/>
    <x v="2"/>
    <n v="1.3233501999999999"/>
    <x v="254"/>
    <x v="2"/>
    <x v="2"/>
    <n v="8333.3330000000005"/>
    <n v="8333"/>
    <x v="20"/>
    <x v="20"/>
    <x v="5"/>
    <x v="5"/>
    <x v="2"/>
  </r>
  <r>
    <n v="2090"/>
    <x v="1"/>
    <s v="41-50 years"/>
    <n v="45"/>
    <x v="1"/>
    <x v="1"/>
    <x v="15"/>
    <s v="Extremely Severe"/>
    <n v="2.2032911999999998"/>
    <x v="19"/>
    <x v="3"/>
    <n v="2.3414313999999998"/>
    <n v="30"/>
    <s v="Severe"/>
    <n v="1.7807249999999999"/>
    <n v="32.666668000000001"/>
    <n v="33"/>
    <x v="3"/>
    <n v="2.1084825999999999"/>
    <x v="258"/>
    <x v="3"/>
    <x v="3"/>
    <n v="6000"/>
    <n v="6000"/>
    <x v="6"/>
    <x v="6"/>
    <x v="2"/>
    <x v="2"/>
    <x v="2"/>
  </r>
  <r>
    <n v="2091"/>
    <x v="1"/>
    <s v="31-40 years"/>
    <n v="40"/>
    <x v="1"/>
    <x v="1"/>
    <x v="4"/>
    <s v="Normal"/>
    <n v="-0.61133329999999997"/>
    <x v="8"/>
    <x v="1"/>
    <n v="-0.18916494"/>
    <n v="14"/>
    <s v="Moderate"/>
    <n v="0.23962580999999999"/>
    <n v="9.3333329999999997"/>
    <n v="9"/>
    <x v="0"/>
    <n v="-0.18695748000000001"/>
    <x v="241"/>
    <x v="0"/>
    <x v="0"/>
    <n v="5000"/>
    <n v="5000"/>
    <x v="2"/>
    <x v="2"/>
    <x v="1"/>
    <x v="1"/>
    <x v="1"/>
  </r>
  <r>
    <n v="2092"/>
    <x v="1"/>
    <s v="31-40 years"/>
    <n v="40"/>
    <x v="1"/>
    <x v="0"/>
    <x v="1"/>
    <s v="Normal"/>
    <n v="-0.81237789999999999"/>
    <x v="8"/>
    <x v="1"/>
    <n v="-0.18916494"/>
    <n v="14"/>
    <s v="Moderate"/>
    <n v="0.23962580999999999"/>
    <n v="8.6666670000000003"/>
    <n v="9"/>
    <x v="0"/>
    <n v="-0.25397235000000001"/>
    <x v="259"/>
    <x v="0"/>
    <x v="0"/>
    <n v="6666.6665000000003"/>
    <n v="6667"/>
    <x v="21"/>
    <x v="21"/>
    <x v="2"/>
    <x v="2"/>
    <x v="2"/>
  </r>
  <r>
    <n v="2093"/>
    <x v="1"/>
    <s v="41-50 years"/>
    <n v="48"/>
    <x v="1"/>
    <x v="1"/>
    <x v="1"/>
    <s v="Normal"/>
    <n v="-0.81237789999999999"/>
    <x v="5"/>
    <x v="1"/>
    <n v="-0.57848745999999995"/>
    <n v="6"/>
    <s v="Normal"/>
    <n v="-0.53092379999999995"/>
    <n v="4.6666664999999998"/>
    <n v="5"/>
    <x v="0"/>
    <n v="-0.64059639999999995"/>
    <x v="260"/>
    <x v="1"/>
    <x v="1"/>
    <n v="2333.3332999999998"/>
    <n v="2333"/>
    <x v="37"/>
    <x v="37"/>
    <x v="4"/>
    <x v="4"/>
    <x v="0"/>
  </r>
  <r>
    <n v="2094"/>
    <x v="1"/>
    <s v="31-40 years"/>
    <n v="35"/>
    <x v="1"/>
    <x v="1"/>
    <x v="0"/>
    <s v="Normal"/>
    <n v="-0.41028870000000001"/>
    <x v="8"/>
    <x v="1"/>
    <n v="-0.18916494"/>
    <n v="14"/>
    <s v="Moderate"/>
    <n v="0.23962580999999999"/>
    <n v="10"/>
    <n v="10"/>
    <x v="0"/>
    <n v="-0.11994260499999999"/>
    <x v="239"/>
    <x v="0"/>
    <x v="0"/>
    <n v="2500"/>
    <n v="2500"/>
    <x v="12"/>
    <x v="12"/>
    <x v="4"/>
    <x v="4"/>
    <x v="0"/>
  </r>
  <r>
    <n v="2095"/>
    <x v="1"/>
    <s v="31-40 years"/>
    <n v="37"/>
    <x v="1"/>
    <x v="1"/>
    <x v="4"/>
    <s v="Normal"/>
    <n v="-0.61133329999999997"/>
    <x v="8"/>
    <x v="1"/>
    <n v="-0.18916494"/>
    <n v="14"/>
    <s v="Moderate"/>
    <n v="0.23962580999999999"/>
    <n v="9.3333329999999997"/>
    <n v="9"/>
    <x v="0"/>
    <n v="-0.18695748000000001"/>
    <x v="241"/>
    <x v="0"/>
    <x v="0"/>
    <n v="2500"/>
    <n v="2500"/>
    <x v="12"/>
    <x v="12"/>
    <x v="4"/>
    <x v="4"/>
    <x v="0"/>
  </r>
  <r>
    <n v="2096"/>
    <x v="1"/>
    <s v="51-60 years"/>
    <n v="56"/>
    <x v="1"/>
    <x v="1"/>
    <x v="0"/>
    <s v="Normal"/>
    <n v="-0.41028870000000001"/>
    <x v="0"/>
    <x v="0"/>
    <n v="5.496318E-3"/>
    <n v="14"/>
    <s v="Moderate"/>
    <n v="0.23962580999999999"/>
    <n v="10.666667"/>
    <n v="11"/>
    <x v="1"/>
    <n v="-5.5055519999999997E-2"/>
    <x v="261"/>
    <x v="0"/>
    <x v="0"/>
    <n v="3750"/>
    <n v="3750"/>
    <x v="15"/>
    <x v="15"/>
    <x v="3"/>
    <x v="3"/>
    <x v="0"/>
  </r>
  <r>
    <n v="2097"/>
    <x v="1"/>
    <s v="41-50 years"/>
    <n v="42"/>
    <x v="1"/>
    <x v="1"/>
    <x v="0"/>
    <s v="Normal"/>
    <n v="-0.41028870000000001"/>
    <x v="8"/>
    <x v="1"/>
    <n v="-0.18916494"/>
    <n v="12"/>
    <s v="Moderate"/>
    <n v="4.6988415999999998E-2"/>
    <n v="9.3333329999999997"/>
    <n v="9"/>
    <x v="0"/>
    <n v="-0.18415508"/>
    <x v="262"/>
    <x v="0"/>
    <x v="0"/>
    <n v="2500"/>
    <n v="2500"/>
    <x v="12"/>
    <x v="12"/>
    <x v="4"/>
    <x v="4"/>
    <x v="0"/>
  </r>
  <r>
    <n v="2098"/>
    <x v="1"/>
    <s v="51-60 years"/>
    <n v="52"/>
    <x v="1"/>
    <x v="1"/>
    <x v="0"/>
    <s v="Normal"/>
    <n v="-0.41028870000000001"/>
    <x v="7"/>
    <x v="1"/>
    <n v="-0.38382620000000001"/>
    <n v="14"/>
    <s v="Moderate"/>
    <n v="0.23962580999999999"/>
    <n v="9.3333329999999997"/>
    <n v="9"/>
    <x v="0"/>
    <n v="-0.18482970000000001"/>
    <x v="263"/>
    <x v="0"/>
    <x v="0"/>
    <n v="3500"/>
    <n v="3500"/>
    <x v="39"/>
    <x v="39"/>
    <x v="3"/>
    <x v="3"/>
    <x v="0"/>
  </r>
  <r>
    <n v="2099"/>
    <x v="1"/>
    <s v="51-60 years"/>
    <n v="55"/>
    <x v="1"/>
    <x v="0"/>
    <x v="0"/>
    <s v="Normal"/>
    <n v="-0.41028870000000001"/>
    <x v="0"/>
    <x v="0"/>
    <n v="5.496318E-3"/>
    <n v="14"/>
    <s v="Moderate"/>
    <n v="0.23962580999999999"/>
    <n v="10.666667"/>
    <n v="11"/>
    <x v="1"/>
    <n v="-5.5055519999999997E-2"/>
    <x v="261"/>
    <x v="0"/>
    <x v="0"/>
    <n v="1600"/>
    <n v="1600"/>
    <x v="5"/>
    <x v="5"/>
    <x v="0"/>
    <x v="0"/>
    <x v="0"/>
  </r>
  <r>
    <n v="2100"/>
    <x v="1"/>
    <s v="21-30 years"/>
    <n v="25"/>
    <x v="1"/>
    <x v="3"/>
    <x v="0"/>
    <s v="Normal"/>
    <n v="-0.41028870000000001"/>
    <x v="8"/>
    <x v="1"/>
    <n v="-0.18916494"/>
    <n v="14"/>
    <s v="Moderate"/>
    <n v="0.23962580999999999"/>
    <n v="10"/>
    <n v="10"/>
    <x v="0"/>
    <n v="-0.11994260499999999"/>
    <x v="239"/>
    <x v="0"/>
    <x v="0"/>
    <n v="7000"/>
    <n v="7000"/>
    <x v="29"/>
    <x v="29"/>
    <x v="2"/>
    <x v="2"/>
    <x v="2"/>
  </r>
  <r>
    <n v="2101"/>
    <x v="1"/>
    <s v="51-60 years"/>
    <n v="55"/>
    <x v="1"/>
    <x v="1"/>
    <x v="4"/>
    <s v="Normal"/>
    <n v="-0.61133329999999997"/>
    <x v="8"/>
    <x v="1"/>
    <n v="-0.18916494"/>
    <n v="2"/>
    <s v="Normal"/>
    <n v="-0.91619854999999994"/>
    <n v="5.3333335000000002"/>
    <n v="5"/>
    <x v="0"/>
    <n v="-0.57223225"/>
    <x v="264"/>
    <x v="0"/>
    <x v="0"/>
    <n v="2000"/>
    <n v="2000"/>
    <x v="11"/>
    <x v="11"/>
    <x v="4"/>
    <x v="4"/>
    <x v="0"/>
  </r>
  <r>
    <n v="2102"/>
    <x v="1"/>
    <s v="21-30 years"/>
    <n v="30"/>
    <x v="1"/>
    <x v="1"/>
    <x v="4"/>
    <s v="Normal"/>
    <n v="-0.61133329999999997"/>
    <x v="0"/>
    <x v="0"/>
    <n v="5.496318E-3"/>
    <n v="2"/>
    <s v="Normal"/>
    <n v="-0.91619854999999994"/>
    <n v="6"/>
    <n v="6"/>
    <x v="0"/>
    <n v="-0.50734520000000005"/>
    <x v="265"/>
    <x v="0"/>
    <x v="0"/>
    <n v="2000"/>
    <n v="2000"/>
    <x v="11"/>
    <x v="11"/>
    <x v="4"/>
    <x v="4"/>
    <x v="0"/>
  </r>
  <r>
    <n v="2103"/>
    <x v="1"/>
    <s v="31-40 years"/>
    <n v="36"/>
    <x v="1"/>
    <x v="1"/>
    <x v="12"/>
    <s v="Moderate"/>
    <n v="0.79597896000000001"/>
    <x v="3"/>
    <x v="0"/>
    <n v="0.39481880000000003"/>
    <n v="12"/>
    <s v="Moderate"/>
    <n v="4.6988415999999998E-2"/>
    <n v="15.333333"/>
    <n v="15"/>
    <x v="1"/>
    <n v="0.4125954"/>
    <x v="266"/>
    <x v="2"/>
    <x v="2"/>
    <n v="3333.3332999999998"/>
    <n v="3333"/>
    <x v="10"/>
    <x v="10"/>
    <x v="3"/>
    <x v="3"/>
    <x v="0"/>
  </r>
  <r>
    <n v="2104"/>
    <x v="1"/>
    <s v="31-40 years"/>
    <n v="35"/>
    <x v="1"/>
    <x v="1"/>
    <x v="12"/>
    <s v="Moderate"/>
    <n v="0.79597896000000001"/>
    <x v="16"/>
    <x v="3"/>
    <n v="2.1467700000000001"/>
    <n v="24"/>
    <s v="Severe"/>
    <n v="1.2028128"/>
    <n v="25.333334000000001"/>
    <n v="25"/>
    <x v="2"/>
    <n v="1.3818539000000001"/>
    <x v="267"/>
    <x v="2"/>
    <x v="2"/>
    <n v="2000"/>
    <n v="2000"/>
    <x v="11"/>
    <x v="11"/>
    <x v="4"/>
    <x v="4"/>
    <x v="0"/>
  </r>
  <r>
    <n v="2105"/>
    <x v="1"/>
    <s v="21-30 years"/>
    <n v="27"/>
    <x v="1"/>
    <x v="1"/>
    <x v="3"/>
    <s v="Normal"/>
    <n v="-8.1994660000000007E-3"/>
    <x v="8"/>
    <x v="1"/>
    <n v="-0.18916494"/>
    <n v="4"/>
    <s v="Normal"/>
    <n v="-0.72356116999999998"/>
    <n v="8"/>
    <n v="8"/>
    <x v="0"/>
    <n v="-0.3069752"/>
    <x v="268"/>
    <x v="0"/>
    <x v="0"/>
    <n v="1500"/>
    <n v="1500"/>
    <x v="8"/>
    <x v="8"/>
    <x v="0"/>
    <x v="0"/>
    <x v="0"/>
  </r>
  <r>
    <n v="2106"/>
    <x v="1"/>
    <s v="31-40 years"/>
    <n v="31"/>
    <x v="1"/>
    <x v="1"/>
    <x v="19"/>
    <s v="Extremely Severe"/>
    <n v="2.8064249999999999"/>
    <x v="15"/>
    <x v="2"/>
    <n v="1.7574476000000001"/>
    <n v="36"/>
    <s v="Extremely Severe"/>
    <n v="2.3586369999999999"/>
    <n v="34.666668000000001"/>
    <n v="35"/>
    <x v="3"/>
    <n v="2.3075032000000002"/>
    <x v="269"/>
    <x v="3"/>
    <x v="3"/>
    <n v="1250"/>
    <n v="1250"/>
    <x v="3"/>
    <x v="3"/>
    <x v="0"/>
    <x v="0"/>
    <x v="0"/>
  </r>
  <r>
    <n v="2107"/>
    <x v="1"/>
    <s v="31-40 years"/>
    <n v="34"/>
    <x v="1"/>
    <x v="1"/>
    <x v="2"/>
    <s v="Normal"/>
    <n v="-0.20924408999999999"/>
    <x v="12"/>
    <x v="2"/>
    <n v="1.1734637999999999"/>
    <n v="18"/>
    <s v="Moderate"/>
    <n v="0.62490060000000003"/>
    <n v="16.666665999999999"/>
    <n v="17"/>
    <x v="1"/>
    <n v="0.52970680000000003"/>
    <x v="270"/>
    <x v="2"/>
    <x v="2"/>
    <n v="1400"/>
    <n v="1400"/>
    <x v="0"/>
    <x v="0"/>
    <x v="0"/>
    <x v="0"/>
    <x v="0"/>
  </r>
  <r>
    <n v="2108"/>
    <x v="1"/>
    <s v="41-50 years"/>
    <n v="42"/>
    <x v="1"/>
    <x v="1"/>
    <x v="2"/>
    <s v="Normal"/>
    <n v="-0.20924408999999999"/>
    <x v="4"/>
    <x v="0"/>
    <n v="0.20015757000000001"/>
    <n v="10"/>
    <s v="Normal"/>
    <n v="-0.14564899000000001"/>
    <n v="10.666667"/>
    <n v="11"/>
    <x v="1"/>
    <n v="-5.1578502999999998E-2"/>
    <x v="271"/>
    <x v="0"/>
    <x v="0"/>
    <n v="2000"/>
    <n v="2000"/>
    <x v="11"/>
    <x v="11"/>
    <x v="4"/>
    <x v="4"/>
    <x v="0"/>
  </r>
  <r>
    <n v="2109"/>
    <x v="1"/>
    <s v="41-50 years"/>
    <n v="46"/>
    <x v="1"/>
    <x v="1"/>
    <x v="10"/>
    <s v="Severe"/>
    <n v="1.1980683000000001"/>
    <x v="14"/>
    <x v="2"/>
    <n v="1.5627863"/>
    <n v="10"/>
    <s v="Normal"/>
    <n v="-0.14564899000000001"/>
    <n v="20"/>
    <n v="20"/>
    <x v="1"/>
    <n v="0.87173520000000004"/>
    <x v="272"/>
    <x v="2"/>
    <x v="2"/>
    <n v="1500"/>
    <n v="1500"/>
    <x v="8"/>
    <x v="8"/>
    <x v="0"/>
    <x v="0"/>
    <x v="0"/>
  </r>
  <r>
    <n v="2110"/>
    <x v="1"/>
    <s v="31-40 years"/>
    <n v="33"/>
    <x v="1"/>
    <x v="1"/>
    <x v="4"/>
    <s v="Normal"/>
    <n v="-0.61133329999999997"/>
    <x v="0"/>
    <x v="0"/>
    <n v="5.496318E-3"/>
    <n v="4"/>
    <s v="Normal"/>
    <n v="-0.72356116999999998"/>
    <n v="6.6666664999999998"/>
    <n v="7"/>
    <x v="0"/>
    <n v="-0.44313272999999997"/>
    <x v="273"/>
    <x v="0"/>
    <x v="0"/>
    <n v="833.33330000000001"/>
    <n v="833"/>
    <x v="67"/>
    <x v="67"/>
    <x v="0"/>
    <x v="0"/>
    <x v="0"/>
  </r>
  <r>
    <n v="2111"/>
    <x v="1"/>
    <s v="41-50 years"/>
    <n v="50"/>
    <x v="1"/>
    <x v="1"/>
    <x v="11"/>
    <s v="Moderate"/>
    <n v="0.99702360000000001"/>
    <x v="12"/>
    <x v="2"/>
    <n v="1.1734637999999999"/>
    <n v="22"/>
    <s v="Severe"/>
    <n v="1.0101753"/>
    <n v="22"/>
    <n v="22"/>
    <x v="2"/>
    <n v="1.0602210000000001"/>
    <x v="274"/>
    <x v="2"/>
    <x v="2"/>
    <n v="7500"/>
    <n v="7500"/>
    <x v="13"/>
    <x v="13"/>
    <x v="5"/>
    <x v="5"/>
    <x v="2"/>
  </r>
  <r>
    <n v="2112"/>
    <x v="1"/>
    <s v="51-60 years"/>
    <n v="55"/>
    <x v="1"/>
    <x v="1"/>
    <x v="2"/>
    <s v="Normal"/>
    <n v="-0.20924408999999999"/>
    <x v="3"/>
    <x v="0"/>
    <n v="0.39481880000000003"/>
    <n v="12"/>
    <s v="Moderate"/>
    <n v="4.6988415999999998E-2"/>
    <n v="12"/>
    <n v="12"/>
    <x v="1"/>
    <n v="7.7521049999999994E-2"/>
    <x v="11"/>
    <x v="0"/>
    <x v="0"/>
    <n v="2000"/>
    <n v="2000"/>
    <x v="11"/>
    <x v="11"/>
    <x v="4"/>
    <x v="4"/>
    <x v="0"/>
  </r>
  <r>
    <n v="2113"/>
    <x v="1"/>
    <s v="31-40 years"/>
    <n v="32"/>
    <x v="1"/>
    <x v="3"/>
    <x v="13"/>
    <s v="Severe"/>
    <n v="1.3991127999999999"/>
    <x v="15"/>
    <x v="2"/>
    <n v="1.7574476000000001"/>
    <n v="34"/>
    <s v="Extremely Severe"/>
    <n v="2.1659999999999999"/>
    <n v="29.333334000000001"/>
    <n v="29"/>
    <x v="2"/>
    <n v="1.7741867"/>
    <x v="275"/>
    <x v="3"/>
    <x v="3"/>
    <n v="6000"/>
    <n v="6000"/>
    <x v="6"/>
    <x v="6"/>
    <x v="2"/>
    <x v="2"/>
    <x v="2"/>
  </r>
  <r>
    <n v="2114"/>
    <x v="1"/>
    <s v="41-50 years"/>
    <n v="45"/>
    <x v="1"/>
    <x v="3"/>
    <x v="15"/>
    <s v="Extremely Severe"/>
    <n v="2.2032911999999998"/>
    <x v="13"/>
    <x v="3"/>
    <n v="1.9521089"/>
    <n v="34"/>
    <s v="Extremely Severe"/>
    <n v="2.1659999999999999"/>
    <n v="32.666668000000001"/>
    <n v="33"/>
    <x v="3"/>
    <n v="2.1071333999999999"/>
    <x v="189"/>
    <x v="3"/>
    <x v="3"/>
    <n v="5000"/>
    <n v="5000"/>
    <x v="2"/>
    <x v="2"/>
    <x v="1"/>
    <x v="1"/>
    <x v="1"/>
  </r>
  <r>
    <n v="2115"/>
    <x v="1"/>
    <s v="41-50 years"/>
    <n v="49"/>
    <x v="1"/>
    <x v="3"/>
    <x v="3"/>
    <s v="Normal"/>
    <n v="-8.1994660000000007E-3"/>
    <x v="8"/>
    <x v="1"/>
    <n v="-0.18916494"/>
    <n v="4"/>
    <s v="Normal"/>
    <n v="-0.72356116999999998"/>
    <n v="8"/>
    <n v="8"/>
    <x v="0"/>
    <n v="-0.3069752"/>
    <x v="268"/>
    <x v="0"/>
    <x v="0"/>
    <n v="2000"/>
    <n v="2000"/>
    <x v="11"/>
    <x v="11"/>
    <x v="4"/>
    <x v="4"/>
    <x v="0"/>
  </r>
  <r>
    <n v="2116"/>
    <x v="1"/>
    <s v="31-40 years"/>
    <n v="40"/>
    <x v="1"/>
    <x v="3"/>
    <x v="0"/>
    <s v="Normal"/>
    <n v="-0.41028870000000001"/>
    <x v="8"/>
    <x v="1"/>
    <n v="-0.18916494"/>
    <n v="10"/>
    <s v="Normal"/>
    <n v="-0.14564899000000001"/>
    <n v="8.6666670000000003"/>
    <n v="9"/>
    <x v="0"/>
    <n v="-0.24836753"/>
    <x v="276"/>
    <x v="0"/>
    <x v="0"/>
    <n v="2666.6667000000002"/>
    <n v="2667"/>
    <x v="16"/>
    <x v="16"/>
    <x v="4"/>
    <x v="4"/>
    <x v="0"/>
  </r>
  <r>
    <n v="2117"/>
    <x v="1"/>
    <s v="31-40 years"/>
    <n v="32"/>
    <x v="1"/>
    <x v="1"/>
    <x v="0"/>
    <s v="Normal"/>
    <n v="-0.41028870000000001"/>
    <x v="1"/>
    <x v="1"/>
    <n v="-0.77314866000000004"/>
    <n v="2"/>
    <s v="Normal"/>
    <n v="-0.91619854999999994"/>
    <n v="4"/>
    <n v="4"/>
    <x v="0"/>
    <n v="-0.69987862999999995"/>
    <x v="56"/>
    <x v="1"/>
    <x v="1"/>
    <n v="1750"/>
    <n v="1750"/>
    <x v="9"/>
    <x v="9"/>
    <x v="0"/>
    <x v="0"/>
    <x v="0"/>
  </r>
  <r>
    <n v="2118"/>
    <x v="1"/>
    <s v="21-30 years"/>
    <n v="28"/>
    <x v="1"/>
    <x v="3"/>
    <x v="0"/>
    <s v="Normal"/>
    <n v="-0.41028870000000001"/>
    <x v="7"/>
    <x v="1"/>
    <n v="-0.38382620000000001"/>
    <n v="6"/>
    <s v="Normal"/>
    <n v="-0.53092379999999995"/>
    <n v="6.6666664999999998"/>
    <n v="7"/>
    <x v="0"/>
    <n v="-0.44167957000000002"/>
    <x v="82"/>
    <x v="0"/>
    <x v="0"/>
    <n v="1750"/>
    <n v="1750"/>
    <x v="9"/>
    <x v="9"/>
    <x v="0"/>
    <x v="0"/>
    <x v="0"/>
  </r>
  <r>
    <n v="2119"/>
    <x v="1"/>
    <s v="41-50 years"/>
    <n v="45"/>
    <x v="1"/>
    <x v="1"/>
    <x v="4"/>
    <s v="Normal"/>
    <n v="-0.61133329999999997"/>
    <x v="7"/>
    <x v="1"/>
    <n v="-0.38382620000000001"/>
    <n v="12"/>
    <s v="Moderate"/>
    <n v="4.6988415999999998E-2"/>
    <n v="8"/>
    <n v="8"/>
    <x v="0"/>
    <n v="-0.31605703000000002"/>
    <x v="237"/>
    <x v="0"/>
    <x v="0"/>
    <n v="2000"/>
    <n v="2000"/>
    <x v="11"/>
    <x v="11"/>
    <x v="4"/>
    <x v="4"/>
    <x v="0"/>
  </r>
  <r>
    <n v="2120"/>
    <x v="1"/>
    <s v="21-30 years"/>
    <n v="28"/>
    <x v="1"/>
    <x v="1"/>
    <x v="4"/>
    <s v="Normal"/>
    <n v="-0.61133329999999997"/>
    <x v="8"/>
    <x v="1"/>
    <n v="-0.18916494"/>
    <n v="12"/>
    <s v="Moderate"/>
    <n v="4.6988415999999998E-2"/>
    <n v="8.6666670000000003"/>
    <n v="9"/>
    <x v="0"/>
    <n v="-0.25116994999999998"/>
    <x v="277"/>
    <x v="0"/>
    <x v="0"/>
    <n v="3333.3332999999998"/>
    <n v="3333"/>
    <x v="10"/>
    <x v="10"/>
    <x v="3"/>
    <x v="3"/>
    <x v="0"/>
  </r>
  <r>
    <n v="2121"/>
    <x v="1"/>
    <s v="21-30 years"/>
    <n v="30"/>
    <x v="1"/>
    <x v="1"/>
    <x v="4"/>
    <s v="Normal"/>
    <n v="-0.61133329999999997"/>
    <x v="8"/>
    <x v="1"/>
    <n v="-0.18916494"/>
    <n v="14"/>
    <s v="Moderate"/>
    <n v="0.23962580999999999"/>
    <n v="9.3333329999999997"/>
    <n v="9"/>
    <x v="0"/>
    <n v="-0.18695748000000001"/>
    <x v="241"/>
    <x v="0"/>
    <x v="0"/>
    <n v="3333.3332999999998"/>
    <n v="3333"/>
    <x v="10"/>
    <x v="10"/>
    <x v="3"/>
    <x v="3"/>
    <x v="0"/>
  </r>
  <r>
    <n v="2122"/>
    <x v="1"/>
    <s v="31-40 years"/>
    <n v="40"/>
    <x v="1"/>
    <x v="1"/>
    <x v="0"/>
    <s v="Normal"/>
    <n v="-0.41028870000000001"/>
    <x v="4"/>
    <x v="0"/>
    <n v="0.20015757000000001"/>
    <n v="14"/>
    <s v="Moderate"/>
    <n v="0.23962580999999999"/>
    <n v="11.333333"/>
    <n v="11"/>
    <x v="1"/>
    <n v="9.8315629999999998E-3"/>
    <x v="278"/>
    <x v="0"/>
    <x v="0"/>
    <n v="1750"/>
    <n v="1750"/>
    <x v="9"/>
    <x v="9"/>
    <x v="0"/>
    <x v="0"/>
    <x v="0"/>
  </r>
  <r>
    <n v="2123"/>
    <x v="1"/>
    <s v="51-60 years"/>
    <n v="52"/>
    <x v="1"/>
    <x v="1"/>
    <x v="4"/>
    <s v="Normal"/>
    <n v="-0.61133329999999997"/>
    <x v="8"/>
    <x v="1"/>
    <n v="-0.18916494"/>
    <n v="14"/>
    <s v="Moderate"/>
    <n v="0.23962580999999999"/>
    <n v="9.3333329999999997"/>
    <n v="9"/>
    <x v="0"/>
    <n v="-0.18695748000000001"/>
    <x v="241"/>
    <x v="0"/>
    <x v="0"/>
    <n v="7500"/>
    <n v="7500"/>
    <x v="13"/>
    <x v="13"/>
    <x v="5"/>
    <x v="5"/>
    <x v="2"/>
  </r>
  <r>
    <n v="2124"/>
    <x v="1"/>
    <s v="41-50 years"/>
    <n v="48"/>
    <x v="1"/>
    <x v="1"/>
    <x v="3"/>
    <s v="Normal"/>
    <n v="-8.1994660000000007E-3"/>
    <x v="8"/>
    <x v="1"/>
    <n v="-0.18916494"/>
    <n v="14"/>
    <s v="Moderate"/>
    <n v="0.23962580999999999"/>
    <n v="11.333333"/>
    <n v="11"/>
    <x v="1"/>
    <n v="1.4087136E-2"/>
    <x v="279"/>
    <x v="0"/>
    <x v="0"/>
    <n v="2500"/>
    <n v="2500"/>
    <x v="12"/>
    <x v="12"/>
    <x v="4"/>
    <x v="4"/>
    <x v="0"/>
  </r>
  <r>
    <n v="2125"/>
    <x v="1"/>
    <s v="41-50 years"/>
    <n v="48"/>
    <x v="1"/>
    <x v="1"/>
    <x v="0"/>
    <s v="Normal"/>
    <n v="-0.41028870000000001"/>
    <x v="0"/>
    <x v="0"/>
    <n v="5.496318E-3"/>
    <n v="14"/>
    <s v="Moderate"/>
    <n v="0.23962580999999999"/>
    <n v="10.666667"/>
    <n v="11"/>
    <x v="1"/>
    <n v="-5.5055519999999997E-2"/>
    <x v="261"/>
    <x v="0"/>
    <x v="0"/>
    <n v="2000"/>
    <n v="2000"/>
    <x v="11"/>
    <x v="11"/>
    <x v="4"/>
    <x v="4"/>
    <x v="0"/>
  </r>
  <r>
    <n v="2126"/>
    <x v="1"/>
    <s v="31-40 years"/>
    <n v="35"/>
    <x v="1"/>
    <x v="1"/>
    <x v="3"/>
    <s v="Normal"/>
    <n v="-8.1994660000000007E-3"/>
    <x v="2"/>
    <x v="1"/>
    <n v="-0.9678099"/>
    <n v="0"/>
    <s v="Normal"/>
    <n v="-1.1088359000000001"/>
    <n v="4"/>
    <n v="4"/>
    <x v="0"/>
    <n v="-0.69494842999999995"/>
    <x v="280"/>
    <x v="1"/>
    <x v="1"/>
    <n v="1000"/>
    <n v="1000"/>
    <x v="4"/>
    <x v="4"/>
    <x v="0"/>
    <x v="0"/>
    <x v="0"/>
  </r>
  <r>
    <n v="2127"/>
    <x v="1"/>
    <s v="41-50 years"/>
    <n v="45"/>
    <x v="1"/>
    <x v="3"/>
    <x v="6"/>
    <s v="Moderate"/>
    <n v="0.59493434000000001"/>
    <x v="17"/>
    <x v="0"/>
    <n v="0.78414130000000004"/>
    <n v="20"/>
    <s v="Moderate"/>
    <n v="0.81753799999999999"/>
    <n v="18.666665999999999"/>
    <n v="19"/>
    <x v="1"/>
    <n v="0.73220456"/>
    <x v="198"/>
    <x v="2"/>
    <x v="2"/>
    <n v="1500"/>
    <n v="1500"/>
    <x v="8"/>
    <x v="8"/>
    <x v="0"/>
    <x v="0"/>
    <x v="0"/>
  </r>
  <r>
    <n v="2128"/>
    <x v="1"/>
    <s v="31-40 years"/>
    <n v="35"/>
    <x v="1"/>
    <x v="1"/>
    <x v="12"/>
    <s v="Moderate"/>
    <n v="0.79597896000000001"/>
    <x v="17"/>
    <x v="0"/>
    <n v="0.78414130000000004"/>
    <n v="18"/>
    <s v="Moderate"/>
    <n v="0.62490060000000003"/>
    <n v="18.666665999999999"/>
    <n v="19"/>
    <x v="1"/>
    <n v="0.73500690000000002"/>
    <x v="281"/>
    <x v="2"/>
    <x v="2"/>
    <n v="1500"/>
    <n v="1500"/>
    <x v="8"/>
    <x v="8"/>
    <x v="0"/>
    <x v="0"/>
    <x v="0"/>
  </r>
  <r>
    <n v="2129"/>
    <x v="1"/>
    <s v="21-30 years"/>
    <n v="30"/>
    <x v="1"/>
    <x v="3"/>
    <x v="5"/>
    <s v="Moderate"/>
    <n v="0.39388975999999998"/>
    <x v="3"/>
    <x v="0"/>
    <n v="0.39481880000000003"/>
    <n v="14"/>
    <s v="Moderate"/>
    <n v="0.23962580999999999"/>
    <n v="14.666667"/>
    <n v="15"/>
    <x v="1"/>
    <n v="0.34277812000000002"/>
    <x v="282"/>
    <x v="0"/>
    <x v="0"/>
    <n v="1600"/>
    <n v="1600"/>
    <x v="5"/>
    <x v="5"/>
    <x v="0"/>
    <x v="0"/>
    <x v="0"/>
  </r>
  <r>
    <n v="2130"/>
    <x v="1"/>
    <s v="31-40 years"/>
    <n v="40"/>
    <x v="1"/>
    <x v="3"/>
    <x v="13"/>
    <s v="Severe"/>
    <n v="1.3991127999999999"/>
    <x v="13"/>
    <x v="3"/>
    <n v="1.9521089"/>
    <n v="10"/>
    <s v="Normal"/>
    <n v="-0.14564899000000001"/>
    <n v="22"/>
    <n v="22"/>
    <x v="2"/>
    <n v="1.0685241999999999"/>
    <x v="283"/>
    <x v="2"/>
    <x v="2"/>
    <n v="1666.6666"/>
    <n v="1667"/>
    <x v="1"/>
    <x v="1"/>
    <x v="0"/>
    <x v="0"/>
    <x v="0"/>
  </r>
  <r>
    <n v="2131"/>
    <x v="1"/>
    <s v="21-30 years"/>
    <n v="30"/>
    <x v="1"/>
    <x v="1"/>
    <x v="4"/>
    <s v="Normal"/>
    <n v="-0.61133329999999997"/>
    <x v="2"/>
    <x v="1"/>
    <n v="-0.9678099"/>
    <n v="14"/>
    <s v="Moderate"/>
    <n v="0.23962580999999999"/>
    <n v="6.6666664999999998"/>
    <n v="7"/>
    <x v="0"/>
    <n v="-0.44650580000000001"/>
    <x v="284"/>
    <x v="0"/>
    <x v="0"/>
    <n v="3750"/>
    <n v="3750"/>
    <x v="15"/>
    <x v="15"/>
    <x v="3"/>
    <x v="3"/>
    <x v="0"/>
  </r>
  <r>
    <n v="2132"/>
    <x v="1"/>
    <s v="41-50 years"/>
    <n v="50"/>
    <x v="1"/>
    <x v="1"/>
    <x v="4"/>
    <s v="Normal"/>
    <n v="-0.61133329999999997"/>
    <x v="8"/>
    <x v="1"/>
    <n v="-0.18916494"/>
    <n v="14"/>
    <s v="Moderate"/>
    <n v="0.23962580999999999"/>
    <n v="9.3333329999999997"/>
    <n v="9"/>
    <x v="0"/>
    <n v="-0.18695748000000001"/>
    <x v="241"/>
    <x v="0"/>
    <x v="0"/>
    <n v="5000"/>
    <n v="5000"/>
    <x v="2"/>
    <x v="2"/>
    <x v="1"/>
    <x v="1"/>
    <x v="1"/>
  </r>
  <r>
    <n v="2133"/>
    <x v="1"/>
    <s v="41-50 years"/>
    <n v="44"/>
    <x v="0"/>
    <x v="3"/>
    <x v="11"/>
    <s v="Moderate"/>
    <n v="0.99702360000000001"/>
    <x v="6"/>
    <x v="0"/>
    <n v="0.58948003999999998"/>
    <n v="18"/>
    <s v="Moderate"/>
    <n v="0.62490060000000003"/>
    <n v="18.666665999999999"/>
    <n v="19"/>
    <x v="1"/>
    <n v="0.73713474999999995"/>
    <x v="207"/>
    <x v="2"/>
    <x v="2"/>
    <n v="6666.6665000000003"/>
    <n v="6667"/>
    <x v="21"/>
    <x v="21"/>
    <x v="2"/>
    <x v="2"/>
    <x v="2"/>
  </r>
  <r>
    <n v="2134"/>
    <x v="1"/>
    <s v="31-40 years"/>
    <n v="35"/>
    <x v="1"/>
    <x v="0"/>
    <x v="4"/>
    <s v="Normal"/>
    <n v="-0.61133329999999997"/>
    <x v="7"/>
    <x v="1"/>
    <n v="-0.38382620000000001"/>
    <n v="14"/>
    <s v="Moderate"/>
    <n v="0.23962580999999999"/>
    <n v="8.6666670000000003"/>
    <n v="9"/>
    <x v="0"/>
    <n v="-0.25184456"/>
    <x v="285"/>
    <x v="0"/>
    <x v="0"/>
    <n v="2500"/>
    <n v="2500"/>
    <x v="12"/>
    <x v="12"/>
    <x v="4"/>
    <x v="4"/>
    <x v="0"/>
  </r>
  <r>
    <n v="2135"/>
    <x v="1"/>
    <s v="31-40 years"/>
    <n v="35"/>
    <x v="1"/>
    <x v="2"/>
    <x v="4"/>
    <s v="Normal"/>
    <n v="-0.61133329999999997"/>
    <x v="8"/>
    <x v="1"/>
    <n v="-0.18916494"/>
    <n v="14"/>
    <s v="Moderate"/>
    <n v="0.23962580999999999"/>
    <n v="9.3333329999999997"/>
    <n v="9"/>
    <x v="0"/>
    <n v="-0.18695748000000001"/>
    <x v="241"/>
    <x v="0"/>
    <x v="0"/>
    <n v="2500"/>
    <n v="2500"/>
    <x v="12"/>
    <x v="12"/>
    <x v="4"/>
    <x v="4"/>
    <x v="0"/>
  </r>
  <r>
    <n v="2136"/>
    <x v="1"/>
    <s v="31-40 years"/>
    <n v="39"/>
    <x v="1"/>
    <x v="1"/>
    <x v="4"/>
    <s v="Normal"/>
    <n v="-0.61133329999999997"/>
    <x v="8"/>
    <x v="1"/>
    <n v="-0.18916494"/>
    <n v="2"/>
    <s v="Normal"/>
    <n v="-0.91619854999999994"/>
    <n v="5.3333335000000002"/>
    <n v="5"/>
    <x v="0"/>
    <n v="-0.57223225"/>
    <x v="264"/>
    <x v="0"/>
    <x v="0"/>
    <n v="1000"/>
    <n v="1000"/>
    <x v="4"/>
    <x v="4"/>
    <x v="0"/>
    <x v="0"/>
    <x v="0"/>
  </r>
  <r>
    <n v="2137"/>
    <x v="1"/>
    <s v="21-30 years"/>
    <n v="30"/>
    <x v="1"/>
    <x v="1"/>
    <x v="0"/>
    <s v="Normal"/>
    <n v="-0.41028870000000001"/>
    <x v="7"/>
    <x v="1"/>
    <n v="-0.38382620000000001"/>
    <n v="2"/>
    <s v="Normal"/>
    <n v="-0.91619854999999994"/>
    <n v="5.3333335000000002"/>
    <n v="5"/>
    <x v="0"/>
    <n v="-0.57010450000000001"/>
    <x v="188"/>
    <x v="0"/>
    <x v="0"/>
    <n v="2000"/>
    <n v="2000"/>
    <x v="11"/>
    <x v="11"/>
    <x v="4"/>
    <x v="4"/>
    <x v="0"/>
  </r>
  <r>
    <n v="2138"/>
    <x v="1"/>
    <s v="41-50 years"/>
    <n v="47"/>
    <x v="1"/>
    <x v="1"/>
    <x v="1"/>
    <s v="Normal"/>
    <n v="-0.81237789999999999"/>
    <x v="8"/>
    <x v="1"/>
    <n v="-0.18916494"/>
    <n v="4"/>
    <s v="Normal"/>
    <n v="-0.72356116999999998"/>
    <n v="5.3333335000000002"/>
    <n v="5"/>
    <x v="0"/>
    <n v="-0.57503470000000001"/>
    <x v="286"/>
    <x v="0"/>
    <x v="0"/>
    <n v="1750"/>
    <n v="1750"/>
    <x v="9"/>
    <x v="9"/>
    <x v="0"/>
    <x v="0"/>
    <x v="0"/>
  </r>
  <r>
    <n v="2139"/>
    <x v="1"/>
    <s v="31-40 years"/>
    <n v="40"/>
    <x v="1"/>
    <x v="1"/>
    <x v="4"/>
    <s v="Normal"/>
    <n v="-0.61133329999999997"/>
    <x v="8"/>
    <x v="1"/>
    <n v="-0.18916494"/>
    <n v="10"/>
    <s v="Normal"/>
    <n v="-0.14564899000000001"/>
    <n v="8"/>
    <n v="8"/>
    <x v="0"/>
    <n v="-0.31538242"/>
    <x v="287"/>
    <x v="0"/>
    <x v="0"/>
    <n v="2666.6667000000002"/>
    <n v="2667"/>
    <x v="16"/>
    <x v="16"/>
    <x v="4"/>
    <x v="4"/>
    <x v="0"/>
  </r>
  <r>
    <n v="2140"/>
    <x v="1"/>
    <s v="41-50 years"/>
    <n v="42"/>
    <x v="1"/>
    <x v="1"/>
    <x v="4"/>
    <s v="Normal"/>
    <n v="-0.61133329999999997"/>
    <x v="0"/>
    <x v="0"/>
    <n v="5.496318E-3"/>
    <n v="12"/>
    <s v="Moderate"/>
    <n v="4.6988415999999998E-2"/>
    <n v="9.3333329999999997"/>
    <n v="9"/>
    <x v="0"/>
    <n v="-0.18628285999999999"/>
    <x v="288"/>
    <x v="0"/>
    <x v="0"/>
    <n v="2000"/>
    <n v="2000"/>
    <x v="11"/>
    <x v="11"/>
    <x v="4"/>
    <x v="4"/>
    <x v="0"/>
  </r>
  <r>
    <n v="2141"/>
    <x v="1"/>
    <s v="31-40 years"/>
    <n v="39"/>
    <x v="1"/>
    <x v="1"/>
    <x v="9"/>
    <s v="Severe"/>
    <n v="1.6001574999999999"/>
    <x v="12"/>
    <x v="2"/>
    <n v="1.1734637999999999"/>
    <n v="24"/>
    <s v="Severe"/>
    <n v="1.2028128"/>
    <n v="24.666665999999999"/>
    <n v="25"/>
    <x v="2"/>
    <n v="1.3254781"/>
    <x v="161"/>
    <x v="2"/>
    <x v="2"/>
    <n v="1500"/>
    <n v="1500"/>
    <x v="8"/>
    <x v="8"/>
    <x v="0"/>
    <x v="0"/>
    <x v="0"/>
  </r>
  <r>
    <n v="2142"/>
    <x v="1"/>
    <s v="31-40 years"/>
    <n v="33"/>
    <x v="1"/>
    <x v="1"/>
    <x v="14"/>
    <s v="Severe"/>
    <n v="1.801202"/>
    <x v="11"/>
    <x v="2"/>
    <n v="1.3681251000000001"/>
    <n v="28"/>
    <s v="Severe"/>
    <n v="1.5880875999999999"/>
    <n v="27.333334000000001"/>
    <n v="27"/>
    <x v="2"/>
    <n v="1.5858049000000001"/>
    <x v="289"/>
    <x v="3"/>
    <x v="3"/>
    <n v="1500"/>
    <n v="1500"/>
    <x v="8"/>
    <x v="8"/>
    <x v="0"/>
    <x v="0"/>
    <x v="0"/>
  </r>
  <r>
    <n v="2143"/>
    <x v="1"/>
    <s v="21-30 years"/>
    <n v="30"/>
    <x v="1"/>
    <x v="1"/>
    <x v="3"/>
    <s v="Normal"/>
    <n v="-8.1994660000000007E-3"/>
    <x v="3"/>
    <x v="0"/>
    <n v="0.39481880000000003"/>
    <n v="8"/>
    <s v="Normal"/>
    <n v="-0.33828637"/>
    <n v="11.333333"/>
    <n v="11"/>
    <x v="1"/>
    <n v="1.6110992000000001E-2"/>
    <x v="290"/>
    <x v="0"/>
    <x v="0"/>
    <n v="2500"/>
    <n v="2500"/>
    <x v="12"/>
    <x v="12"/>
    <x v="4"/>
    <x v="4"/>
    <x v="0"/>
  </r>
  <r>
    <n v="2144"/>
    <x v="1"/>
    <s v="21-30 years"/>
    <n v="27"/>
    <x v="1"/>
    <x v="1"/>
    <x v="17"/>
    <s v="Severe"/>
    <n v="2.0022465999999999"/>
    <x v="14"/>
    <x v="2"/>
    <n v="1.5627863"/>
    <n v="34"/>
    <s v="Extremely Severe"/>
    <n v="2.1659999999999999"/>
    <n v="30.666665999999999"/>
    <n v="31"/>
    <x v="3"/>
    <n v="1.9103441999999999"/>
    <x v="291"/>
    <x v="3"/>
    <x v="3"/>
    <n v="3750"/>
    <n v="3750"/>
    <x v="15"/>
    <x v="15"/>
    <x v="3"/>
    <x v="3"/>
    <x v="0"/>
  </r>
  <r>
    <n v="2145"/>
    <x v="1"/>
    <s v="31-40 years"/>
    <n v="35"/>
    <x v="1"/>
    <x v="1"/>
    <x v="0"/>
    <s v="Normal"/>
    <n v="-0.41028870000000001"/>
    <x v="8"/>
    <x v="1"/>
    <n v="-0.18916494"/>
    <n v="6"/>
    <s v="Normal"/>
    <n v="-0.53092379999999995"/>
    <n v="7.3333335000000002"/>
    <n v="7"/>
    <x v="0"/>
    <n v="-0.37679246"/>
    <x v="292"/>
    <x v="0"/>
    <x v="0"/>
    <n v="1750"/>
    <n v="1750"/>
    <x v="9"/>
    <x v="9"/>
    <x v="0"/>
    <x v="0"/>
    <x v="0"/>
  </r>
  <r>
    <n v="2146"/>
    <x v="1"/>
    <s v="41-50 years"/>
    <n v="48"/>
    <x v="1"/>
    <x v="1"/>
    <x v="3"/>
    <s v="Normal"/>
    <n v="-8.1994660000000007E-3"/>
    <x v="7"/>
    <x v="1"/>
    <n v="-0.38382620000000001"/>
    <n v="6"/>
    <s v="Normal"/>
    <n v="-0.53092379999999995"/>
    <n v="8"/>
    <n v="8"/>
    <x v="0"/>
    <n v="-0.30764982000000002"/>
    <x v="177"/>
    <x v="0"/>
    <x v="0"/>
    <n v="2333.3332999999998"/>
    <n v="2333"/>
    <x v="37"/>
    <x v="37"/>
    <x v="4"/>
    <x v="4"/>
    <x v="0"/>
  </r>
  <r>
    <n v="2147"/>
    <x v="1"/>
    <s v="51-60 years"/>
    <n v="54"/>
    <x v="1"/>
    <x v="1"/>
    <x v="11"/>
    <s v="Moderate"/>
    <n v="0.99702360000000001"/>
    <x v="6"/>
    <x v="0"/>
    <n v="0.58948003999999998"/>
    <n v="14"/>
    <s v="Moderate"/>
    <n v="0.23962580999999999"/>
    <n v="17.333334000000001"/>
    <n v="17"/>
    <x v="1"/>
    <n v="0.60870979999999997"/>
    <x v="293"/>
    <x v="2"/>
    <x v="2"/>
    <n v="3000"/>
    <n v="3000"/>
    <x v="22"/>
    <x v="22"/>
    <x v="3"/>
    <x v="3"/>
    <x v="0"/>
  </r>
  <r>
    <n v="2148"/>
    <x v="1"/>
    <s v="31-40 years"/>
    <n v="37"/>
    <x v="1"/>
    <x v="1"/>
    <x v="11"/>
    <s v="Moderate"/>
    <n v="0.99702360000000001"/>
    <x v="14"/>
    <x v="2"/>
    <n v="1.5627863"/>
    <n v="20"/>
    <s v="Moderate"/>
    <n v="0.81753799999999999"/>
    <n v="22.666665999999999"/>
    <n v="23"/>
    <x v="2"/>
    <n v="1.1257826"/>
    <x v="100"/>
    <x v="2"/>
    <x v="2"/>
    <n v="2666.6667000000002"/>
    <n v="2667"/>
    <x v="16"/>
    <x v="16"/>
    <x v="4"/>
    <x v="4"/>
    <x v="0"/>
  </r>
  <r>
    <n v="2149"/>
    <x v="1"/>
    <s v="41-50 years"/>
    <n v="45"/>
    <x v="1"/>
    <x v="1"/>
    <x v="11"/>
    <s v="Moderate"/>
    <n v="0.99702360000000001"/>
    <x v="15"/>
    <x v="2"/>
    <n v="1.7574476000000001"/>
    <n v="22"/>
    <s v="Severe"/>
    <n v="1.0101753"/>
    <n v="24"/>
    <n v="24"/>
    <x v="2"/>
    <n v="1.2548821999999999"/>
    <x v="294"/>
    <x v="2"/>
    <x v="2"/>
    <n v="1750"/>
    <n v="1750"/>
    <x v="9"/>
    <x v="9"/>
    <x v="0"/>
    <x v="0"/>
    <x v="0"/>
  </r>
  <r>
    <n v="2150"/>
    <x v="1"/>
    <s v="31-40 years"/>
    <n v="38"/>
    <x v="1"/>
    <x v="1"/>
    <x v="12"/>
    <s v="Moderate"/>
    <n v="0.79597896000000001"/>
    <x v="13"/>
    <x v="3"/>
    <n v="1.9521089"/>
    <n v="26"/>
    <s v="Severe"/>
    <n v="1.3954502"/>
    <n v="25.333334000000001"/>
    <n v="25"/>
    <x v="2"/>
    <n v="1.3811793000000001"/>
    <x v="295"/>
    <x v="2"/>
    <x v="2"/>
    <n v="1200"/>
    <n v="1200"/>
    <x v="17"/>
    <x v="17"/>
    <x v="0"/>
    <x v="0"/>
    <x v="0"/>
  </r>
  <r>
    <n v="2151"/>
    <x v="1"/>
    <s v="41-50 years"/>
    <n v="50"/>
    <x v="1"/>
    <x v="0"/>
    <x v="7"/>
    <s v="Moderate"/>
    <n v="0.19284514999999999"/>
    <x v="0"/>
    <x v="0"/>
    <n v="5.496318E-3"/>
    <n v="10"/>
    <s v="Normal"/>
    <n v="-0.14564899000000001"/>
    <n v="11.333333"/>
    <n v="11"/>
    <x v="1"/>
    <n v="1.7564159999999999E-2"/>
    <x v="296"/>
    <x v="0"/>
    <x v="0"/>
    <n v="2500"/>
    <n v="2500"/>
    <x v="12"/>
    <x v="12"/>
    <x v="4"/>
    <x v="4"/>
    <x v="0"/>
  </r>
  <r>
    <n v="2152"/>
    <x v="1"/>
    <s v="41-50 years"/>
    <n v="43"/>
    <x v="1"/>
    <x v="1"/>
    <x v="12"/>
    <s v="Moderate"/>
    <n v="0.79597896000000001"/>
    <x v="9"/>
    <x v="2"/>
    <n v="0.97880255999999999"/>
    <n v="32"/>
    <s v="Extremely Severe"/>
    <n v="1.9733623"/>
    <n v="24"/>
    <n v="24"/>
    <x v="2"/>
    <n v="1.2493813"/>
    <x v="297"/>
    <x v="2"/>
    <x v="2"/>
    <n v="2000"/>
    <n v="2000"/>
    <x v="11"/>
    <x v="11"/>
    <x v="4"/>
    <x v="4"/>
    <x v="0"/>
  </r>
  <r>
    <n v="2153"/>
    <x v="1"/>
    <s v="31-40 years"/>
    <n v="39"/>
    <x v="1"/>
    <x v="0"/>
    <x v="0"/>
    <s v="Normal"/>
    <n v="-0.41028870000000001"/>
    <x v="8"/>
    <x v="1"/>
    <n v="-0.18916494"/>
    <n v="4"/>
    <s v="Normal"/>
    <n v="-0.72356116999999998"/>
    <n v="6.6666664999999998"/>
    <n v="7"/>
    <x v="0"/>
    <n v="-0.44100493000000002"/>
    <x v="298"/>
    <x v="0"/>
    <x v="0"/>
    <n v="3000"/>
    <n v="3000"/>
    <x v="22"/>
    <x v="22"/>
    <x v="3"/>
    <x v="3"/>
    <x v="0"/>
  </r>
  <r>
    <n v="2154"/>
    <x v="1"/>
    <s v="31-40 years"/>
    <n v="33"/>
    <x v="1"/>
    <x v="1"/>
    <x v="4"/>
    <s v="Normal"/>
    <n v="-0.61133329999999997"/>
    <x v="8"/>
    <x v="1"/>
    <n v="-0.18916494"/>
    <n v="8"/>
    <s v="Normal"/>
    <n v="-0.33828637"/>
    <n v="7.3333335000000002"/>
    <n v="7"/>
    <x v="0"/>
    <n v="-0.37959485999999998"/>
    <x v="299"/>
    <x v="0"/>
    <x v="0"/>
    <n v="1333.3334"/>
    <n v="1333"/>
    <x v="18"/>
    <x v="18"/>
    <x v="0"/>
    <x v="0"/>
    <x v="0"/>
  </r>
  <r>
    <n v="2155"/>
    <x v="1"/>
    <s v="31-40 years"/>
    <n v="38"/>
    <x v="1"/>
    <x v="1"/>
    <x v="1"/>
    <s v="Normal"/>
    <n v="-0.81237789999999999"/>
    <x v="8"/>
    <x v="1"/>
    <n v="-0.18916494"/>
    <n v="6"/>
    <s v="Normal"/>
    <n v="-0.53092379999999995"/>
    <n v="6"/>
    <n v="6"/>
    <x v="0"/>
    <n v="-0.51082223999999998"/>
    <x v="300"/>
    <x v="0"/>
    <x v="0"/>
    <n v="1250"/>
    <n v="1250"/>
    <x v="3"/>
    <x v="3"/>
    <x v="0"/>
    <x v="0"/>
    <x v="0"/>
  </r>
  <r>
    <n v="2156"/>
    <x v="1"/>
    <s v="31-40 years"/>
    <n v="37"/>
    <x v="1"/>
    <x v="1"/>
    <x v="16"/>
    <s v="Extremely Severe"/>
    <n v="2.4043359999999998"/>
    <x v="16"/>
    <x v="3"/>
    <n v="2.1467700000000001"/>
    <n v="34"/>
    <s v="Extremely Severe"/>
    <n v="2.1659999999999999"/>
    <n v="34"/>
    <n v="34"/>
    <x v="3"/>
    <n v="2.2390354000000001"/>
    <x v="301"/>
    <x v="3"/>
    <x v="3"/>
    <n v="2000"/>
    <n v="2000"/>
    <x v="11"/>
    <x v="11"/>
    <x v="4"/>
    <x v="4"/>
    <x v="0"/>
  </r>
  <r>
    <n v="2157"/>
    <x v="1"/>
    <s v="31-40 years"/>
    <n v="37"/>
    <x v="0"/>
    <x v="0"/>
    <x v="5"/>
    <s v="Moderate"/>
    <n v="0.39388975999999998"/>
    <x v="12"/>
    <x v="2"/>
    <n v="1.1734637999999999"/>
    <n v="26"/>
    <s v="Severe"/>
    <n v="1.3954502"/>
    <n v="21.333334000000001"/>
    <n v="21"/>
    <x v="2"/>
    <n v="0.98760130000000002"/>
    <x v="302"/>
    <x v="2"/>
    <x v="2"/>
    <n v="1400"/>
    <n v="1400"/>
    <x v="0"/>
    <x v="0"/>
    <x v="0"/>
    <x v="0"/>
    <x v="0"/>
  </r>
  <r>
    <n v="2158"/>
    <x v="1"/>
    <s v="41-50 years"/>
    <n v="44"/>
    <x v="1"/>
    <x v="1"/>
    <x v="10"/>
    <s v="Severe"/>
    <n v="1.1980683000000001"/>
    <x v="15"/>
    <x v="2"/>
    <n v="1.7574476000000001"/>
    <n v="30"/>
    <s v="Severe"/>
    <n v="1.7807249999999999"/>
    <n v="27.333334000000001"/>
    <n v="27"/>
    <x v="2"/>
    <n v="1.5787469000000001"/>
    <x v="303"/>
    <x v="3"/>
    <x v="3"/>
    <n v="6500"/>
    <n v="6500"/>
    <x v="68"/>
    <x v="68"/>
    <x v="2"/>
    <x v="2"/>
    <x v="2"/>
  </r>
  <r>
    <n v="2159"/>
    <x v="1"/>
    <s v="31-40 years"/>
    <n v="36"/>
    <x v="0"/>
    <x v="3"/>
    <x v="13"/>
    <s v="Severe"/>
    <n v="1.3991127999999999"/>
    <x v="11"/>
    <x v="2"/>
    <n v="1.3681251000000001"/>
    <n v="24"/>
    <s v="Severe"/>
    <n v="1.2028128"/>
    <n v="24.666665999999999"/>
    <n v="25"/>
    <x v="2"/>
    <n v="1.3233501999999999"/>
    <x v="254"/>
    <x v="2"/>
    <x v="2"/>
    <n v="3750"/>
    <n v="3750"/>
    <x v="15"/>
    <x v="15"/>
    <x v="3"/>
    <x v="3"/>
    <x v="0"/>
  </r>
  <r>
    <n v="2160"/>
    <x v="1"/>
    <s v="31-40 years"/>
    <n v="38"/>
    <x v="0"/>
    <x v="3"/>
    <x v="13"/>
    <s v="Severe"/>
    <n v="1.3991127999999999"/>
    <x v="12"/>
    <x v="2"/>
    <n v="1.1734637999999999"/>
    <n v="22"/>
    <s v="Severe"/>
    <n v="1.0101753"/>
    <n v="23.333334000000001"/>
    <n v="23"/>
    <x v="2"/>
    <n v="1.1942507"/>
    <x v="304"/>
    <x v="2"/>
    <x v="2"/>
    <n v="1666.6666"/>
    <n v="1667"/>
    <x v="1"/>
    <x v="1"/>
    <x v="0"/>
    <x v="0"/>
    <x v="0"/>
  </r>
  <r>
    <n v="2161"/>
    <x v="1"/>
    <s v="21-30 years"/>
    <n v="27"/>
    <x v="0"/>
    <x v="0"/>
    <x v="0"/>
    <s v="Normal"/>
    <n v="-0.41028870000000001"/>
    <x v="8"/>
    <x v="1"/>
    <n v="-0.18916494"/>
    <n v="8"/>
    <s v="Normal"/>
    <n v="-0.33828637"/>
    <n v="8"/>
    <n v="8"/>
    <x v="0"/>
    <n v="-0.31258000000000002"/>
    <x v="305"/>
    <x v="0"/>
    <x v="0"/>
    <n v="2000"/>
    <n v="2000"/>
    <x v="11"/>
    <x v="11"/>
    <x v="4"/>
    <x v="4"/>
    <x v="0"/>
  </r>
  <r>
    <n v="2162"/>
    <x v="1"/>
    <s v="41-50 years"/>
    <n v="49"/>
    <x v="0"/>
    <x v="0"/>
    <x v="17"/>
    <s v="Severe"/>
    <n v="2.0022465999999999"/>
    <x v="19"/>
    <x v="3"/>
    <n v="2.3414313999999998"/>
    <n v="34"/>
    <s v="Extremely Severe"/>
    <n v="2.1659999999999999"/>
    <n v="33.333331999999999"/>
    <n v="33"/>
    <x v="3"/>
    <n v="2.1698925"/>
    <x v="306"/>
    <x v="3"/>
    <x v="3"/>
    <n v="5000"/>
    <n v="5000"/>
    <x v="2"/>
    <x v="2"/>
    <x v="1"/>
    <x v="1"/>
    <x v="1"/>
  </r>
  <r>
    <n v="2163"/>
    <x v="1"/>
    <s v="41-50 years"/>
    <n v="45"/>
    <x v="0"/>
    <x v="2"/>
    <x v="19"/>
    <s v="Extremely Severe"/>
    <n v="2.8064249999999999"/>
    <x v="13"/>
    <x v="3"/>
    <n v="1.9521089"/>
    <n v="34"/>
    <s v="Extremely Severe"/>
    <n v="2.1659999999999999"/>
    <n v="34.666668000000001"/>
    <n v="35"/>
    <x v="3"/>
    <n v="2.3081779999999998"/>
    <x v="307"/>
    <x v="3"/>
    <x v="3"/>
    <n v="1750"/>
    <n v="1750"/>
    <x v="9"/>
    <x v="9"/>
    <x v="0"/>
    <x v="0"/>
    <x v="0"/>
  </r>
  <r>
    <n v="2164"/>
    <x v="1"/>
    <s v="51-60 years"/>
    <n v="58"/>
    <x v="0"/>
    <x v="0"/>
    <x v="9"/>
    <s v="Severe"/>
    <n v="1.6001574999999999"/>
    <x v="12"/>
    <x v="2"/>
    <n v="1.1734637999999999"/>
    <n v="28"/>
    <s v="Severe"/>
    <n v="1.5880875999999999"/>
    <n v="26"/>
    <n v="26"/>
    <x v="2"/>
    <n v="1.4539029999999999"/>
    <x v="194"/>
    <x v="3"/>
    <x v="3"/>
    <n v="5000"/>
    <n v="5000"/>
    <x v="2"/>
    <x v="2"/>
    <x v="1"/>
    <x v="1"/>
    <x v="1"/>
  </r>
  <r>
    <n v="2165"/>
    <x v="1"/>
    <s v="51-60 years"/>
    <n v="58"/>
    <x v="0"/>
    <x v="0"/>
    <x v="4"/>
    <s v="Normal"/>
    <n v="-0.61133329999999997"/>
    <x v="4"/>
    <x v="0"/>
    <n v="0.20015757000000001"/>
    <n v="10"/>
    <s v="Normal"/>
    <n v="-0.14564899000000001"/>
    <n v="9.3333329999999997"/>
    <n v="9"/>
    <x v="0"/>
    <n v="-0.18560824000000001"/>
    <x v="308"/>
    <x v="0"/>
    <x v="0"/>
    <n v="5000"/>
    <n v="5000"/>
    <x v="2"/>
    <x v="2"/>
    <x v="1"/>
    <x v="1"/>
    <x v="1"/>
  </r>
  <r>
    <n v="2166"/>
    <x v="1"/>
    <s v="31-40 years"/>
    <n v="32"/>
    <x v="0"/>
    <x v="3"/>
    <x v="3"/>
    <s v="Normal"/>
    <n v="-8.1994660000000007E-3"/>
    <x v="4"/>
    <x v="0"/>
    <n v="0.20015757000000001"/>
    <n v="12"/>
    <s v="Moderate"/>
    <n v="4.6988415999999998E-2"/>
    <n v="12"/>
    <n v="12"/>
    <x v="1"/>
    <n v="7.9648839999999999E-2"/>
    <x v="309"/>
    <x v="0"/>
    <x v="0"/>
    <n v="2000"/>
    <n v="2000"/>
    <x v="11"/>
    <x v="11"/>
    <x v="4"/>
    <x v="4"/>
    <x v="0"/>
  </r>
  <r>
    <n v="2167"/>
    <x v="1"/>
    <s v="41-50 years"/>
    <n v="45"/>
    <x v="0"/>
    <x v="0"/>
    <x v="7"/>
    <s v="Moderate"/>
    <n v="0.19284514999999999"/>
    <x v="6"/>
    <x v="0"/>
    <n v="0.58948003999999998"/>
    <n v="16"/>
    <s v="Moderate"/>
    <n v="0.43226320000000001"/>
    <n v="15.333333"/>
    <n v="15"/>
    <x v="1"/>
    <n v="0.40486280000000002"/>
    <x v="310"/>
    <x v="0"/>
    <x v="0"/>
    <n v="6166.6665000000003"/>
    <n v="6167"/>
    <x v="69"/>
    <x v="69"/>
    <x v="2"/>
    <x v="2"/>
    <x v="2"/>
  </r>
  <r>
    <n v="2168"/>
    <x v="1"/>
    <s v="41-50 years"/>
    <n v="48"/>
    <x v="0"/>
    <x v="3"/>
    <x v="16"/>
    <s v="Extremely Severe"/>
    <n v="2.4043359999999998"/>
    <x v="11"/>
    <x v="2"/>
    <n v="1.3681251000000001"/>
    <n v="22"/>
    <s v="Severe"/>
    <n v="1.0101753"/>
    <n v="27.333334000000001"/>
    <n v="27"/>
    <x v="2"/>
    <n v="1.5942122000000001"/>
    <x v="311"/>
    <x v="3"/>
    <x v="3"/>
    <n v="5000"/>
    <n v="5000"/>
    <x v="2"/>
    <x v="2"/>
    <x v="1"/>
    <x v="1"/>
    <x v="1"/>
  </r>
  <r>
    <n v="2169"/>
    <x v="1"/>
    <s v="51-60 years"/>
    <n v="55"/>
    <x v="0"/>
    <x v="0"/>
    <x v="14"/>
    <s v="Severe"/>
    <n v="1.801202"/>
    <x v="15"/>
    <x v="2"/>
    <n v="1.7574476000000001"/>
    <n v="28"/>
    <s v="Severe"/>
    <n v="1.5880875999999999"/>
    <n v="28.666665999999999"/>
    <n v="29"/>
    <x v="2"/>
    <n v="1.715579"/>
    <x v="130"/>
    <x v="3"/>
    <x v="3"/>
    <n v="2000"/>
    <n v="2000"/>
    <x v="11"/>
    <x v="11"/>
    <x v="4"/>
    <x v="4"/>
    <x v="0"/>
  </r>
  <r>
    <n v="2170"/>
    <x v="1"/>
    <s v="31-40 years"/>
    <n v="40"/>
    <x v="0"/>
    <x v="2"/>
    <x v="11"/>
    <s v="Moderate"/>
    <n v="0.99702360000000001"/>
    <x v="17"/>
    <x v="0"/>
    <n v="0.78414130000000004"/>
    <n v="22"/>
    <s v="Severe"/>
    <n v="1.0101753"/>
    <n v="20.666665999999999"/>
    <n v="21"/>
    <x v="2"/>
    <n v="0.93044674000000005"/>
    <x v="312"/>
    <x v="2"/>
    <x v="2"/>
    <n v="3333.3332999999998"/>
    <n v="3333"/>
    <x v="10"/>
    <x v="10"/>
    <x v="3"/>
    <x v="3"/>
    <x v="0"/>
  </r>
  <r>
    <n v="2171"/>
    <x v="1"/>
    <s v="51-60 years"/>
    <n v="55"/>
    <x v="0"/>
    <x v="3"/>
    <x v="13"/>
    <s v="Severe"/>
    <n v="1.3991127999999999"/>
    <x v="6"/>
    <x v="0"/>
    <n v="0.58948003999999998"/>
    <n v="22"/>
    <s v="Severe"/>
    <n v="1.0101753"/>
    <n v="21.333334000000001"/>
    <n v="21"/>
    <x v="2"/>
    <n v="0.99958939999999996"/>
    <x v="313"/>
    <x v="2"/>
    <x v="2"/>
    <n v="2500"/>
    <n v="2500"/>
    <x v="12"/>
    <x v="12"/>
    <x v="4"/>
    <x v="4"/>
    <x v="0"/>
  </r>
  <r>
    <n v="2172"/>
    <x v="1"/>
    <s v="31-40 years"/>
    <n v="39"/>
    <x v="0"/>
    <x v="3"/>
    <x v="10"/>
    <s v="Severe"/>
    <n v="1.1980683000000001"/>
    <x v="6"/>
    <x v="0"/>
    <n v="0.58948003999999998"/>
    <n v="28"/>
    <s v="Severe"/>
    <n v="1.5880875999999999"/>
    <n v="22.666665999999999"/>
    <n v="23"/>
    <x v="2"/>
    <n v="1.1252120000000001"/>
    <x v="314"/>
    <x v="2"/>
    <x v="2"/>
    <n v="3333.3332999999998"/>
    <n v="3333"/>
    <x v="10"/>
    <x v="10"/>
    <x v="3"/>
    <x v="3"/>
    <x v="0"/>
  </r>
  <r>
    <n v="2173"/>
    <x v="1"/>
    <s v="51-60 years"/>
    <n v="58"/>
    <x v="0"/>
    <x v="3"/>
    <x v="10"/>
    <s v="Severe"/>
    <n v="1.1980683000000001"/>
    <x v="6"/>
    <x v="0"/>
    <n v="0.58948003999999998"/>
    <n v="22"/>
    <s v="Severe"/>
    <n v="1.0101753"/>
    <n v="20.666665999999999"/>
    <n v="21"/>
    <x v="2"/>
    <n v="0.93257456999999999"/>
    <x v="315"/>
    <x v="2"/>
    <x v="2"/>
    <n v="7500"/>
    <n v="7500"/>
    <x v="13"/>
    <x v="13"/>
    <x v="5"/>
    <x v="5"/>
    <x v="2"/>
  </r>
  <r>
    <n v="2174"/>
    <x v="1"/>
    <s v="21-30 years"/>
    <n v="29"/>
    <x v="0"/>
    <x v="3"/>
    <x v="18"/>
    <s v="Extremely Severe"/>
    <n v="2.6053804999999999"/>
    <x v="15"/>
    <x v="2"/>
    <n v="1.7574476000000001"/>
    <n v="28"/>
    <s v="Severe"/>
    <n v="1.5880875999999999"/>
    <n v="31.333334000000001"/>
    <n v="31"/>
    <x v="3"/>
    <n v="1.9836385000000001"/>
    <x v="316"/>
    <x v="3"/>
    <x v="3"/>
    <n v="4333.3334999999997"/>
    <n v="4333"/>
    <x v="70"/>
    <x v="70"/>
    <x v="3"/>
    <x v="3"/>
    <x v="0"/>
  </r>
  <r>
    <n v="2175"/>
    <x v="1"/>
    <s v="31-40 years"/>
    <n v="39"/>
    <x v="0"/>
    <x v="3"/>
    <x v="5"/>
    <s v="Moderate"/>
    <n v="0.39388975999999998"/>
    <x v="4"/>
    <x v="0"/>
    <n v="0.20015757000000001"/>
    <n v="14"/>
    <s v="Moderate"/>
    <n v="0.23962580999999999"/>
    <n v="14"/>
    <n v="14"/>
    <x v="1"/>
    <n v="0.27789103999999998"/>
    <x v="317"/>
    <x v="0"/>
    <x v="0"/>
    <n v="8666.6669999999995"/>
    <n v="8667"/>
    <x v="71"/>
    <x v="71"/>
    <x v="5"/>
    <x v="5"/>
    <x v="2"/>
  </r>
  <r>
    <n v="2176"/>
    <x v="1"/>
    <s v="41-50 years"/>
    <n v="46"/>
    <x v="0"/>
    <x v="3"/>
    <x v="15"/>
    <s v="Extremely Severe"/>
    <n v="2.2032911999999998"/>
    <x v="13"/>
    <x v="3"/>
    <n v="1.9521089"/>
    <n v="26"/>
    <s v="Severe"/>
    <n v="1.3954502"/>
    <n v="30"/>
    <n v="30"/>
    <x v="2"/>
    <n v="1.8502833999999999"/>
    <x v="318"/>
    <x v="3"/>
    <x v="3"/>
    <n v="6333.3334999999997"/>
    <n v="6333"/>
    <x v="23"/>
    <x v="23"/>
    <x v="2"/>
    <x v="2"/>
    <x v="2"/>
  </r>
  <r>
    <n v="2177"/>
    <x v="1"/>
    <s v="31-40 years"/>
    <n v="37"/>
    <x v="1"/>
    <x v="3"/>
    <x v="9"/>
    <s v="Severe"/>
    <n v="1.6001574999999999"/>
    <x v="17"/>
    <x v="0"/>
    <n v="0.78414130000000004"/>
    <n v="28"/>
    <s v="Severe"/>
    <n v="1.5880875999999999"/>
    <n v="24.666665999999999"/>
    <n v="25"/>
    <x v="2"/>
    <n v="1.3241286999999999"/>
    <x v="319"/>
    <x v="2"/>
    <x v="2"/>
    <n v="2500"/>
    <n v="2500"/>
    <x v="12"/>
    <x v="12"/>
    <x v="4"/>
    <x v="4"/>
    <x v="0"/>
  </r>
  <r>
    <n v="2178"/>
    <x v="1"/>
    <s v="31-40 years"/>
    <n v="40"/>
    <x v="0"/>
    <x v="2"/>
    <x v="10"/>
    <s v="Severe"/>
    <n v="1.1980683000000001"/>
    <x v="12"/>
    <x v="2"/>
    <n v="1.1734637999999999"/>
    <n v="30"/>
    <s v="Severe"/>
    <n v="1.7807249999999999"/>
    <n v="25.333334000000001"/>
    <n v="25"/>
    <x v="2"/>
    <n v="1.3840857"/>
    <x v="110"/>
    <x v="2"/>
    <x v="2"/>
    <n v="1600"/>
    <n v="1600"/>
    <x v="5"/>
    <x v="5"/>
    <x v="0"/>
    <x v="0"/>
    <x v="0"/>
  </r>
  <r>
    <n v="2179"/>
    <x v="1"/>
    <s v="31-40 years"/>
    <n v="32"/>
    <x v="0"/>
    <x v="2"/>
    <x v="7"/>
    <s v="Moderate"/>
    <n v="0.19284514999999999"/>
    <x v="3"/>
    <x v="0"/>
    <n v="0.39481880000000003"/>
    <n v="16"/>
    <s v="Moderate"/>
    <n v="0.43226320000000001"/>
    <n v="14.666667"/>
    <n v="15"/>
    <x v="1"/>
    <n v="0.33997569999999999"/>
    <x v="236"/>
    <x v="0"/>
    <x v="0"/>
    <n v="6250"/>
    <n v="6250"/>
    <x v="27"/>
    <x v="27"/>
    <x v="2"/>
    <x v="2"/>
    <x v="2"/>
  </r>
  <r>
    <n v="2180"/>
    <x v="1"/>
    <s v="41-50 years"/>
    <n v="50"/>
    <x v="0"/>
    <x v="3"/>
    <x v="11"/>
    <s v="Moderate"/>
    <n v="0.99702360000000001"/>
    <x v="9"/>
    <x v="2"/>
    <n v="0.97880255999999999"/>
    <n v="20"/>
    <s v="Moderate"/>
    <n v="0.81753799999999999"/>
    <n v="20.666665999999999"/>
    <n v="21"/>
    <x v="2"/>
    <n v="0.93112139999999999"/>
    <x v="229"/>
    <x v="2"/>
    <x v="2"/>
    <n v="5000"/>
    <n v="5000"/>
    <x v="2"/>
    <x v="2"/>
    <x v="1"/>
    <x v="1"/>
    <x v="1"/>
  </r>
  <r>
    <n v="2181"/>
    <x v="1"/>
    <s v="41-50 years"/>
    <n v="47"/>
    <x v="0"/>
    <x v="3"/>
    <x v="16"/>
    <s v="Extremely Severe"/>
    <n v="2.4043359999999998"/>
    <x v="11"/>
    <x v="2"/>
    <n v="1.3681251000000001"/>
    <n v="32"/>
    <s v="Extremely Severe"/>
    <n v="1.9733623"/>
    <n v="30.666665999999999"/>
    <n v="31"/>
    <x v="3"/>
    <n v="1.9152745"/>
    <x v="320"/>
    <x v="3"/>
    <x v="3"/>
    <n v="3000"/>
    <n v="3000"/>
    <x v="22"/>
    <x v="22"/>
    <x v="3"/>
    <x v="3"/>
    <x v="0"/>
  </r>
  <r>
    <n v="2182"/>
    <x v="1"/>
    <s v="21-30 years"/>
    <n v="27"/>
    <x v="0"/>
    <x v="3"/>
    <x v="11"/>
    <s v="Moderate"/>
    <n v="0.99702360000000001"/>
    <x v="17"/>
    <x v="0"/>
    <n v="0.78414130000000004"/>
    <n v="24"/>
    <s v="Severe"/>
    <n v="1.2028128"/>
    <n v="21.333334000000001"/>
    <n v="21"/>
    <x v="2"/>
    <n v="0.99465924999999999"/>
    <x v="321"/>
    <x v="2"/>
    <x v="2"/>
    <n v="3000"/>
    <n v="3000"/>
    <x v="22"/>
    <x v="22"/>
    <x v="3"/>
    <x v="3"/>
    <x v="0"/>
  </r>
  <r>
    <n v="2183"/>
    <x v="1"/>
    <s v="21-30 years"/>
    <n v="27"/>
    <x v="0"/>
    <x v="3"/>
    <x v="13"/>
    <s v="Severe"/>
    <n v="1.3991127999999999"/>
    <x v="19"/>
    <x v="3"/>
    <n v="2.3414313999999998"/>
    <n v="32"/>
    <s v="Extremely Severe"/>
    <n v="1.9733623"/>
    <n v="30.666665999999999"/>
    <n v="31"/>
    <x v="3"/>
    <n v="1.9046354999999999"/>
    <x v="322"/>
    <x v="3"/>
    <x v="3"/>
    <n v="6250"/>
    <n v="6250"/>
    <x v="27"/>
    <x v="27"/>
    <x v="2"/>
    <x v="2"/>
    <x v="2"/>
  </r>
  <r>
    <n v="2184"/>
    <x v="1"/>
    <s v="31-40 years"/>
    <n v="40"/>
    <x v="1"/>
    <x v="3"/>
    <x v="6"/>
    <s v="Moderate"/>
    <n v="0.59493434000000001"/>
    <x v="11"/>
    <x v="2"/>
    <n v="1.3681251000000001"/>
    <n v="26"/>
    <s v="Severe"/>
    <n v="1.3954502"/>
    <n v="22.666665999999999"/>
    <n v="23"/>
    <x v="2"/>
    <n v="1.1195033000000001"/>
    <x v="323"/>
    <x v="2"/>
    <x v="2"/>
    <n v="5000"/>
    <n v="5000"/>
    <x v="2"/>
    <x v="2"/>
    <x v="1"/>
    <x v="1"/>
    <x v="1"/>
  </r>
  <r>
    <n v="2185"/>
    <x v="1"/>
    <s v="31-40 years"/>
    <n v="34"/>
    <x v="0"/>
    <x v="3"/>
    <x v="3"/>
    <s v="Normal"/>
    <n v="-8.1994660000000007E-3"/>
    <x v="7"/>
    <x v="1"/>
    <n v="-0.38382620000000001"/>
    <n v="6"/>
    <s v="Normal"/>
    <n v="-0.53092379999999995"/>
    <n v="8"/>
    <n v="8"/>
    <x v="0"/>
    <n v="-0.30764982000000002"/>
    <x v="177"/>
    <x v="0"/>
    <x v="0"/>
    <n v="6666.6665000000003"/>
    <n v="6667"/>
    <x v="21"/>
    <x v="21"/>
    <x v="2"/>
    <x v="2"/>
    <x v="2"/>
  </r>
  <r>
    <n v="2186"/>
    <x v="1"/>
    <s v="41-50 years"/>
    <n v="41"/>
    <x v="0"/>
    <x v="3"/>
    <x v="11"/>
    <s v="Moderate"/>
    <n v="0.99702360000000001"/>
    <x v="17"/>
    <x v="0"/>
    <n v="0.78414130000000004"/>
    <n v="24"/>
    <s v="Severe"/>
    <n v="1.2028128"/>
    <n v="21.333334000000001"/>
    <n v="21"/>
    <x v="2"/>
    <n v="0.99465924999999999"/>
    <x v="321"/>
    <x v="2"/>
    <x v="2"/>
    <n v="3250"/>
    <n v="3250"/>
    <x v="38"/>
    <x v="38"/>
    <x v="3"/>
    <x v="3"/>
    <x v="0"/>
  </r>
  <r>
    <n v="2187"/>
    <x v="1"/>
    <s v="41-50 years"/>
    <n v="50"/>
    <x v="0"/>
    <x v="3"/>
    <x v="3"/>
    <s v="Normal"/>
    <n v="-8.1994660000000007E-3"/>
    <x v="8"/>
    <x v="1"/>
    <n v="-0.18916494"/>
    <n v="8"/>
    <s v="Normal"/>
    <n v="-0.33828637"/>
    <n v="9.3333329999999997"/>
    <n v="9"/>
    <x v="0"/>
    <n v="-0.17855025999999999"/>
    <x v="324"/>
    <x v="0"/>
    <x v="0"/>
    <n v="5500"/>
    <n v="5500"/>
    <x v="47"/>
    <x v="47"/>
    <x v="1"/>
    <x v="1"/>
    <x v="1"/>
  </r>
  <r>
    <n v="2188"/>
    <x v="1"/>
    <s v="31-40 years"/>
    <n v="31"/>
    <x v="0"/>
    <x v="3"/>
    <x v="16"/>
    <s v="Extremely Severe"/>
    <n v="2.4043359999999998"/>
    <x v="13"/>
    <x v="3"/>
    <n v="1.9521089"/>
    <n v="36"/>
    <s v="Extremely Severe"/>
    <n v="2.3586369999999999"/>
    <n v="34"/>
    <n v="34"/>
    <x v="3"/>
    <n v="2.2383606"/>
    <x v="325"/>
    <x v="3"/>
    <x v="3"/>
    <n v="3000"/>
    <n v="3000"/>
    <x v="22"/>
    <x v="22"/>
    <x v="3"/>
    <x v="3"/>
    <x v="0"/>
  </r>
  <r>
    <n v="2189"/>
    <x v="1"/>
    <s v="31-40 years"/>
    <n v="33"/>
    <x v="0"/>
    <x v="2"/>
    <x v="7"/>
    <s v="Moderate"/>
    <n v="0.19284514999999999"/>
    <x v="8"/>
    <x v="1"/>
    <n v="-0.18916494"/>
    <n v="10"/>
    <s v="Normal"/>
    <n v="-0.14564899000000001"/>
    <n v="10.666667"/>
    <n v="11"/>
    <x v="1"/>
    <n v="-4.7322925000000002E-2"/>
    <x v="326"/>
    <x v="0"/>
    <x v="0"/>
    <n v="5000"/>
    <n v="5000"/>
    <x v="2"/>
    <x v="2"/>
    <x v="1"/>
    <x v="1"/>
    <x v="1"/>
  </r>
  <r>
    <n v="2190"/>
    <x v="1"/>
    <s v="51-60 years"/>
    <n v="51"/>
    <x v="0"/>
    <x v="0"/>
    <x v="17"/>
    <s v="Severe"/>
    <n v="2.0022465999999999"/>
    <x v="11"/>
    <x v="2"/>
    <n v="1.3681251000000001"/>
    <n v="30"/>
    <s v="Severe"/>
    <n v="1.7807249999999999"/>
    <n v="28.666665999999999"/>
    <n v="29"/>
    <x v="2"/>
    <n v="1.7170322"/>
    <x v="327"/>
    <x v="3"/>
    <x v="3"/>
    <n v="2750"/>
    <n v="2750"/>
    <x v="72"/>
    <x v="72"/>
    <x v="4"/>
    <x v="4"/>
    <x v="0"/>
  </r>
  <r>
    <n v="2191"/>
    <x v="1"/>
    <s v="21-30 years"/>
    <n v="30"/>
    <x v="0"/>
    <x v="3"/>
    <x v="3"/>
    <s v="Normal"/>
    <n v="-8.1994660000000007E-3"/>
    <x v="8"/>
    <x v="1"/>
    <n v="-0.18916494"/>
    <n v="12"/>
    <s v="Moderate"/>
    <n v="4.6988415999999998E-2"/>
    <n v="10.666667"/>
    <n v="11"/>
    <x v="1"/>
    <n v="-5.0125330000000003E-2"/>
    <x v="328"/>
    <x v="0"/>
    <x v="0"/>
    <n v="2666.6667000000002"/>
    <n v="2667"/>
    <x v="16"/>
    <x v="16"/>
    <x v="4"/>
    <x v="4"/>
    <x v="0"/>
  </r>
  <r>
    <n v="2192"/>
    <x v="1"/>
    <s v="41-50 years"/>
    <n v="45"/>
    <x v="0"/>
    <x v="3"/>
    <x v="16"/>
    <s v="Extremely Severe"/>
    <n v="2.4043359999999998"/>
    <x v="20"/>
    <x v="3"/>
    <n v="2.9254150000000001"/>
    <n v="42"/>
    <s v="Extremely Severe"/>
    <n v="2.9365494000000001"/>
    <n v="39.333331999999999"/>
    <n v="39"/>
    <x v="3"/>
    <n v="2.7554335999999999"/>
    <x v="329"/>
    <x v="4"/>
    <x v="3"/>
    <n v="3000"/>
    <n v="3000"/>
    <x v="22"/>
    <x v="22"/>
    <x v="3"/>
    <x v="3"/>
    <x v="0"/>
  </r>
  <r>
    <n v="2193"/>
    <x v="1"/>
    <s v="21-30 years"/>
    <n v="28"/>
    <x v="0"/>
    <x v="3"/>
    <x v="15"/>
    <s v="Extremely Severe"/>
    <n v="2.2032911999999998"/>
    <x v="15"/>
    <x v="2"/>
    <n v="1.7574476000000001"/>
    <n v="32"/>
    <s v="Extremely Severe"/>
    <n v="1.9733623"/>
    <n v="31.333334000000001"/>
    <n v="31"/>
    <x v="3"/>
    <n v="1.9780336999999999"/>
    <x v="330"/>
    <x v="3"/>
    <x v="3"/>
    <n v="4500"/>
    <n v="4500"/>
    <x v="42"/>
    <x v="42"/>
    <x v="1"/>
    <x v="1"/>
    <x v="1"/>
  </r>
  <r>
    <n v="2194"/>
    <x v="1"/>
    <s v="41-50 years"/>
    <n v="49"/>
    <x v="0"/>
    <x v="0"/>
    <x v="18"/>
    <s v="Extremely Severe"/>
    <n v="2.6053804999999999"/>
    <x v="18"/>
    <x v="3"/>
    <n v="2.5360925000000001"/>
    <n v="38"/>
    <s v="Extremely Severe"/>
    <n v="2.5512744999999999"/>
    <n v="37.333331999999999"/>
    <n v="37"/>
    <x v="3"/>
    <n v="2.5642493000000002"/>
    <x v="331"/>
    <x v="4"/>
    <x v="3"/>
    <n v="3666.6667000000002"/>
    <n v="3667"/>
    <x v="73"/>
    <x v="73"/>
    <x v="3"/>
    <x v="3"/>
    <x v="0"/>
  </r>
  <r>
    <n v="2195"/>
    <x v="1"/>
    <s v="31-40 years"/>
    <n v="36"/>
    <x v="0"/>
    <x v="3"/>
    <x v="17"/>
    <s v="Severe"/>
    <n v="2.0022465999999999"/>
    <x v="16"/>
    <x v="3"/>
    <n v="2.1467700000000001"/>
    <n v="34"/>
    <s v="Extremely Severe"/>
    <n v="2.1659999999999999"/>
    <n v="32.666668000000001"/>
    <n v="33"/>
    <x v="3"/>
    <n v="2.1050054999999999"/>
    <x v="332"/>
    <x v="3"/>
    <x v="3"/>
    <n v="5000"/>
    <n v="5000"/>
    <x v="2"/>
    <x v="2"/>
    <x v="1"/>
    <x v="1"/>
    <x v="1"/>
  </r>
  <r>
    <n v="2196"/>
    <x v="1"/>
    <s v="51-60 years"/>
    <n v="52"/>
    <x v="0"/>
    <x v="3"/>
    <x v="15"/>
    <s v="Extremely Severe"/>
    <n v="2.2032911999999998"/>
    <x v="16"/>
    <x v="3"/>
    <n v="2.1467700000000001"/>
    <n v="34"/>
    <s v="Extremely Severe"/>
    <n v="2.1659999999999999"/>
    <n v="33.333331999999999"/>
    <n v="33"/>
    <x v="3"/>
    <n v="2.1720204000000001"/>
    <x v="333"/>
    <x v="3"/>
    <x v="3"/>
    <n v="7500"/>
    <n v="7500"/>
    <x v="13"/>
    <x v="13"/>
    <x v="5"/>
    <x v="5"/>
    <x v="2"/>
  </r>
  <r>
    <n v="2197"/>
    <x v="1"/>
    <s v="41-50 years"/>
    <n v="48"/>
    <x v="0"/>
    <x v="2"/>
    <x v="9"/>
    <s v="Severe"/>
    <n v="1.6001574999999999"/>
    <x v="17"/>
    <x v="0"/>
    <n v="0.78414130000000004"/>
    <n v="26"/>
    <s v="Severe"/>
    <n v="1.3954502"/>
    <n v="24"/>
    <n v="24"/>
    <x v="2"/>
    <n v="1.2599163"/>
    <x v="334"/>
    <x v="2"/>
    <x v="2"/>
    <n v="3333.3332999999998"/>
    <n v="3333"/>
    <x v="10"/>
    <x v="10"/>
    <x v="3"/>
    <x v="3"/>
    <x v="0"/>
  </r>
  <r>
    <n v="2198"/>
    <x v="1"/>
    <s v="41-50 years"/>
    <n v="50"/>
    <x v="1"/>
    <x v="3"/>
    <x v="9"/>
    <s v="Severe"/>
    <n v="1.6001574999999999"/>
    <x v="14"/>
    <x v="2"/>
    <n v="1.5627863"/>
    <n v="20"/>
    <s v="Moderate"/>
    <n v="0.81753799999999999"/>
    <n v="24.666665999999999"/>
    <n v="25"/>
    <x v="2"/>
    <n v="1.3268272999999999"/>
    <x v="335"/>
    <x v="2"/>
    <x v="2"/>
    <n v="2500"/>
    <n v="2500"/>
    <x v="12"/>
    <x v="12"/>
    <x v="4"/>
    <x v="4"/>
    <x v="0"/>
  </r>
  <r>
    <n v="2199"/>
    <x v="1"/>
    <s v="21-30 years"/>
    <n v="28"/>
    <x v="1"/>
    <x v="2"/>
    <x v="7"/>
    <s v="Moderate"/>
    <n v="0.19284514999999999"/>
    <x v="8"/>
    <x v="1"/>
    <n v="-0.18916494"/>
    <n v="12"/>
    <s v="Moderate"/>
    <n v="4.6988415999999998E-2"/>
    <n v="11.333333"/>
    <n v="11"/>
    <x v="1"/>
    <n v="1.6889543999999999E-2"/>
    <x v="336"/>
    <x v="0"/>
    <x v="0"/>
    <n v="5000"/>
    <n v="5000"/>
    <x v="2"/>
    <x v="2"/>
    <x v="1"/>
    <x v="1"/>
    <x v="1"/>
  </r>
  <r>
    <n v="2200"/>
    <x v="1"/>
    <s v="41-50 years"/>
    <n v="49"/>
    <x v="0"/>
    <x v="0"/>
    <x v="10"/>
    <s v="Severe"/>
    <n v="1.1980683000000001"/>
    <x v="6"/>
    <x v="0"/>
    <n v="0.58948003999999998"/>
    <n v="24"/>
    <s v="Severe"/>
    <n v="1.2028128"/>
    <n v="21.333334000000001"/>
    <n v="21"/>
    <x v="2"/>
    <n v="0.99678699999999998"/>
    <x v="190"/>
    <x v="2"/>
    <x v="2"/>
    <n v="4000"/>
    <n v="4000"/>
    <x v="7"/>
    <x v="7"/>
    <x v="3"/>
    <x v="3"/>
    <x v="0"/>
  </r>
  <r>
    <n v="3001"/>
    <x v="2"/>
    <s v="31-40 years"/>
    <n v="32"/>
    <x v="0"/>
    <x v="3"/>
    <x v="8"/>
    <s v="Normal"/>
    <n v="-1.0134224999999999"/>
    <x v="1"/>
    <x v="1"/>
    <n v="-0.77314866000000004"/>
    <n v="2"/>
    <s v="Normal"/>
    <n v="-0.91619854999999994"/>
    <n v="2"/>
    <n v="2"/>
    <x v="0"/>
    <n v="-0.90092324999999995"/>
    <x v="78"/>
    <x v="1"/>
    <x v="1"/>
    <n v="41666.667999999998"/>
    <n v="41667"/>
    <x v="74"/>
    <x v="74"/>
    <x v="5"/>
    <x v="5"/>
    <x v="2"/>
  </r>
  <r>
    <n v="3002"/>
    <x v="2"/>
    <s v="31-40 years"/>
    <n v="32"/>
    <x v="0"/>
    <x v="0"/>
    <x v="8"/>
    <s v="Normal"/>
    <n v="-1.0134224999999999"/>
    <x v="8"/>
    <x v="1"/>
    <n v="-0.18916494"/>
    <n v="8"/>
    <s v="Normal"/>
    <n v="-0.33828637"/>
    <n v="6"/>
    <n v="6"/>
    <x v="0"/>
    <n v="-0.51362459999999999"/>
    <x v="337"/>
    <x v="0"/>
    <x v="0"/>
    <n v="5000"/>
    <n v="5000"/>
    <x v="2"/>
    <x v="2"/>
    <x v="1"/>
    <x v="1"/>
    <x v="1"/>
  </r>
  <r>
    <n v="3003"/>
    <x v="2"/>
    <s v="21-30 years"/>
    <n v="27"/>
    <x v="1"/>
    <x v="1"/>
    <x v="8"/>
    <s v="Normal"/>
    <n v="-1.0134224999999999"/>
    <x v="5"/>
    <x v="1"/>
    <n v="-0.57848745999999995"/>
    <n v="2"/>
    <s v="Normal"/>
    <n v="-0.91619854999999994"/>
    <n v="2.6666666999999999"/>
    <n v="3"/>
    <x v="0"/>
    <n v="-0.83603614999999998"/>
    <x v="338"/>
    <x v="1"/>
    <x v="1"/>
    <n v="5000"/>
    <n v="5000"/>
    <x v="2"/>
    <x v="2"/>
    <x v="1"/>
    <x v="1"/>
    <x v="1"/>
  </r>
  <r>
    <n v="3004"/>
    <x v="2"/>
    <s v="31-40 years"/>
    <n v="31"/>
    <x v="0"/>
    <x v="3"/>
    <x v="1"/>
    <s v="Normal"/>
    <n v="-0.81237789999999999"/>
    <x v="5"/>
    <x v="1"/>
    <n v="-0.57848745999999995"/>
    <n v="2"/>
    <s v="Normal"/>
    <n v="-0.91619854999999994"/>
    <n v="3.3333333000000001"/>
    <n v="3"/>
    <x v="0"/>
    <n v="-0.76902132999999995"/>
    <x v="46"/>
    <x v="1"/>
    <x v="1"/>
    <n v="3666.6667000000002"/>
    <n v="3667"/>
    <x v="73"/>
    <x v="73"/>
    <x v="3"/>
    <x v="3"/>
    <x v="0"/>
  </r>
  <r>
    <n v="3005"/>
    <x v="2"/>
    <s v="31-40 years"/>
    <n v="32"/>
    <x v="0"/>
    <x v="3"/>
    <x v="8"/>
    <s v="Normal"/>
    <n v="-1.0134224999999999"/>
    <x v="7"/>
    <x v="1"/>
    <n v="-0.38382620000000001"/>
    <n v="8"/>
    <s v="Normal"/>
    <n v="-0.33828637"/>
    <n v="5.3333335000000002"/>
    <n v="5"/>
    <x v="0"/>
    <n v="-0.57851169999999996"/>
    <x v="339"/>
    <x v="0"/>
    <x v="0"/>
    <n v="5000"/>
    <n v="5000"/>
    <x v="2"/>
    <x v="2"/>
    <x v="1"/>
    <x v="1"/>
    <x v="1"/>
  </r>
  <r>
    <n v="3006"/>
    <x v="2"/>
    <s v="21-30 years"/>
    <n v="27"/>
    <x v="1"/>
    <x v="1"/>
    <x v="1"/>
    <s v="Normal"/>
    <n v="-0.81237789999999999"/>
    <x v="1"/>
    <x v="1"/>
    <n v="-0.77314866000000004"/>
    <n v="2"/>
    <s v="Normal"/>
    <n v="-0.91619854999999994"/>
    <n v="2.6666666999999999"/>
    <n v="3"/>
    <x v="0"/>
    <n v="-0.83390839999999999"/>
    <x v="1"/>
    <x v="1"/>
    <x v="1"/>
    <n v="3333.3332999999998"/>
    <n v="3333"/>
    <x v="10"/>
    <x v="10"/>
    <x v="3"/>
    <x v="3"/>
    <x v="0"/>
  </r>
  <r>
    <n v="3007"/>
    <x v="2"/>
    <s v="31-40 years"/>
    <n v="34"/>
    <x v="0"/>
    <x v="3"/>
    <x v="8"/>
    <s v="Normal"/>
    <n v="-1.0134224999999999"/>
    <x v="1"/>
    <x v="1"/>
    <n v="-0.77314866000000004"/>
    <n v="0"/>
    <s v="Normal"/>
    <n v="-1.1088359000000001"/>
    <n v="1.3333333999999999"/>
    <n v="1"/>
    <x v="0"/>
    <n v="-0.96513570000000004"/>
    <x v="340"/>
    <x v="1"/>
    <x v="1"/>
    <n v="3750"/>
    <n v="3750"/>
    <x v="15"/>
    <x v="15"/>
    <x v="3"/>
    <x v="3"/>
    <x v="0"/>
  </r>
  <r>
    <n v="3008"/>
    <x v="2"/>
    <s v="31-40 years"/>
    <n v="36"/>
    <x v="0"/>
    <x v="3"/>
    <x v="5"/>
    <s v="Moderate"/>
    <n v="0.39388975999999998"/>
    <x v="13"/>
    <x v="3"/>
    <n v="1.9521089"/>
    <n v="34"/>
    <s v="Extremely Severe"/>
    <n v="2.1659999999999999"/>
    <n v="26.666665999999999"/>
    <n v="27"/>
    <x v="2"/>
    <n v="1.5039994999999999"/>
    <x v="341"/>
    <x v="3"/>
    <x v="3"/>
    <n v="3750"/>
    <n v="3750"/>
    <x v="15"/>
    <x v="15"/>
    <x v="3"/>
    <x v="3"/>
    <x v="0"/>
  </r>
  <r>
    <n v="3009"/>
    <x v="2"/>
    <s v="31-40 years"/>
    <n v="32"/>
    <x v="0"/>
    <x v="3"/>
    <x v="8"/>
    <s v="Normal"/>
    <n v="-1.0134224999999999"/>
    <x v="10"/>
    <x v="1"/>
    <n v="-1.1624711999999999"/>
    <n v="2"/>
    <s v="Normal"/>
    <n v="-0.91619854999999994"/>
    <n v="0.66666669999999995"/>
    <n v="1"/>
    <x v="0"/>
    <n v="-1.0306972999999999"/>
    <x v="68"/>
    <x v="1"/>
    <x v="1"/>
    <n v="6000"/>
    <n v="6000"/>
    <x v="6"/>
    <x v="6"/>
    <x v="2"/>
    <x v="2"/>
    <x v="2"/>
  </r>
  <r>
    <n v="3010"/>
    <x v="2"/>
    <s v="21-30 years"/>
    <n v="30"/>
    <x v="0"/>
    <x v="3"/>
    <x v="8"/>
    <s v="Normal"/>
    <n v="-1.0134224999999999"/>
    <x v="1"/>
    <x v="1"/>
    <n v="-0.77314866000000004"/>
    <n v="0"/>
    <s v="Normal"/>
    <n v="-1.1088359000000001"/>
    <n v="1.3333333999999999"/>
    <n v="1"/>
    <x v="0"/>
    <n v="-0.96513570000000004"/>
    <x v="340"/>
    <x v="1"/>
    <x v="1"/>
    <n v="5000"/>
    <n v="5000"/>
    <x v="2"/>
    <x v="2"/>
    <x v="1"/>
    <x v="1"/>
    <x v="1"/>
  </r>
  <r>
    <n v="3011"/>
    <x v="2"/>
    <s v="31-40 years"/>
    <n v="36"/>
    <x v="0"/>
    <x v="3"/>
    <x v="1"/>
    <s v="Normal"/>
    <n v="-0.81237789999999999"/>
    <x v="5"/>
    <x v="1"/>
    <n v="-0.57848745999999995"/>
    <n v="4"/>
    <s v="Normal"/>
    <n v="-0.72356116999999998"/>
    <n v="4"/>
    <n v="4"/>
    <x v="0"/>
    <n v="-0.70480883000000005"/>
    <x v="19"/>
    <x v="1"/>
    <x v="1"/>
    <n v="6666.6665000000003"/>
    <n v="6667"/>
    <x v="21"/>
    <x v="21"/>
    <x v="2"/>
    <x v="2"/>
    <x v="2"/>
  </r>
  <r>
    <n v="3012"/>
    <x v="2"/>
    <s v="31-40 years"/>
    <n v="34"/>
    <x v="1"/>
    <x v="1"/>
    <x v="1"/>
    <s v="Normal"/>
    <n v="-0.81237789999999999"/>
    <x v="8"/>
    <x v="1"/>
    <n v="-0.18916494"/>
    <n v="2"/>
    <s v="Normal"/>
    <n v="-0.91619854999999994"/>
    <n v="4.6666664999999998"/>
    <n v="5"/>
    <x v="0"/>
    <n v="-0.63924709999999996"/>
    <x v="342"/>
    <x v="1"/>
    <x v="1"/>
    <n v="3750"/>
    <n v="3750"/>
    <x v="15"/>
    <x v="15"/>
    <x v="3"/>
    <x v="3"/>
    <x v="0"/>
  </r>
  <r>
    <n v="3013"/>
    <x v="2"/>
    <s v="21-30 years"/>
    <n v="27"/>
    <x v="1"/>
    <x v="1"/>
    <x v="8"/>
    <s v="Normal"/>
    <n v="-1.0134224999999999"/>
    <x v="8"/>
    <x v="1"/>
    <n v="-0.18916494"/>
    <n v="0"/>
    <s v="Normal"/>
    <n v="-1.1088359000000001"/>
    <n v="3.3333333000000001"/>
    <n v="3"/>
    <x v="0"/>
    <n v="-0.77047443000000004"/>
    <x v="343"/>
    <x v="1"/>
    <x v="1"/>
    <n v="5000"/>
    <n v="5000"/>
    <x v="2"/>
    <x v="2"/>
    <x v="1"/>
    <x v="1"/>
    <x v="1"/>
  </r>
  <r>
    <n v="3014"/>
    <x v="2"/>
    <s v="31-40 years"/>
    <n v="35"/>
    <x v="0"/>
    <x v="3"/>
    <x v="1"/>
    <s v="Normal"/>
    <n v="-0.81237789999999999"/>
    <x v="5"/>
    <x v="1"/>
    <n v="-0.57848745999999995"/>
    <n v="2"/>
    <s v="Normal"/>
    <n v="-0.91619854999999994"/>
    <n v="3.3333333000000001"/>
    <n v="3"/>
    <x v="0"/>
    <n v="-0.76902132999999995"/>
    <x v="46"/>
    <x v="1"/>
    <x v="1"/>
    <n v="3833.3332999999998"/>
    <n v="3833"/>
    <x v="75"/>
    <x v="75"/>
    <x v="3"/>
    <x v="3"/>
    <x v="0"/>
  </r>
  <r>
    <n v="3015"/>
    <x v="2"/>
    <s v="31-40 years"/>
    <n v="38"/>
    <x v="0"/>
    <x v="3"/>
    <x v="8"/>
    <s v="Normal"/>
    <n v="-1.0134224999999999"/>
    <x v="7"/>
    <x v="1"/>
    <n v="-0.38382620000000001"/>
    <n v="8"/>
    <s v="Normal"/>
    <n v="-0.33828637"/>
    <n v="5.3333335000000002"/>
    <n v="5"/>
    <x v="0"/>
    <n v="-0.57851169999999996"/>
    <x v="339"/>
    <x v="0"/>
    <x v="0"/>
    <n v="5000"/>
    <n v="5000"/>
    <x v="2"/>
    <x v="2"/>
    <x v="1"/>
    <x v="1"/>
    <x v="1"/>
  </r>
  <r>
    <n v="3016"/>
    <x v="2"/>
    <s v="21-30 years"/>
    <n v="30"/>
    <x v="1"/>
    <x v="1"/>
    <x v="2"/>
    <s v="Normal"/>
    <n v="-0.20924408999999999"/>
    <x v="4"/>
    <x v="0"/>
    <n v="0.20015757000000001"/>
    <n v="14"/>
    <s v="Moderate"/>
    <n v="0.23962580999999999"/>
    <n v="12"/>
    <n v="12"/>
    <x v="1"/>
    <n v="7.6846429999999993E-2"/>
    <x v="344"/>
    <x v="0"/>
    <x v="0"/>
    <n v="5000"/>
    <n v="5000"/>
    <x v="2"/>
    <x v="2"/>
    <x v="1"/>
    <x v="1"/>
    <x v="1"/>
  </r>
  <r>
    <n v="3017"/>
    <x v="2"/>
    <s v="31-40 years"/>
    <n v="32"/>
    <x v="0"/>
    <x v="3"/>
    <x v="8"/>
    <s v="Normal"/>
    <n v="-1.0134224999999999"/>
    <x v="1"/>
    <x v="1"/>
    <n v="-0.77314866000000004"/>
    <n v="2"/>
    <s v="Normal"/>
    <n v="-0.91619854999999994"/>
    <n v="2"/>
    <n v="2"/>
    <x v="0"/>
    <n v="-0.90092324999999995"/>
    <x v="78"/>
    <x v="1"/>
    <x v="1"/>
    <n v="4166.6665000000003"/>
    <n v="4167"/>
    <x v="24"/>
    <x v="24"/>
    <x v="3"/>
    <x v="3"/>
    <x v="0"/>
  </r>
  <r>
    <n v="3018"/>
    <x v="2"/>
    <s v="41-50 years"/>
    <n v="45"/>
    <x v="0"/>
    <x v="4"/>
    <x v="8"/>
    <s v="Normal"/>
    <n v="-1.0134224999999999"/>
    <x v="7"/>
    <x v="1"/>
    <n v="-0.38382620000000001"/>
    <n v="6"/>
    <s v="Normal"/>
    <n v="-0.53092379999999995"/>
    <n v="4.6666664999999998"/>
    <n v="5"/>
    <x v="0"/>
    <n v="-0.64272415999999999"/>
    <x v="345"/>
    <x v="1"/>
    <x v="1"/>
    <n v="3333.3332999999998"/>
    <n v="3333"/>
    <x v="10"/>
    <x v="10"/>
    <x v="3"/>
    <x v="3"/>
    <x v="0"/>
  </r>
  <r>
    <n v="3019"/>
    <x v="2"/>
    <s v="31-40 years"/>
    <n v="32"/>
    <x v="0"/>
    <x v="0"/>
    <x v="1"/>
    <s v="Normal"/>
    <n v="-0.81237789999999999"/>
    <x v="7"/>
    <x v="1"/>
    <n v="-0.38382620000000001"/>
    <n v="10"/>
    <s v="Normal"/>
    <n v="-0.14564899000000001"/>
    <n v="6.6666664999999998"/>
    <n v="7"/>
    <x v="0"/>
    <n v="-0.44728436999999999"/>
    <x v="346"/>
    <x v="0"/>
    <x v="0"/>
    <n v="7500"/>
    <n v="7500"/>
    <x v="13"/>
    <x v="13"/>
    <x v="5"/>
    <x v="5"/>
    <x v="2"/>
  </r>
  <r>
    <n v="3020"/>
    <x v="2"/>
    <s v="31-40 years"/>
    <n v="36"/>
    <x v="0"/>
    <x v="0"/>
    <x v="0"/>
    <s v="Normal"/>
    <n v="-0.41028870000000001"/>
    <x v="5"/>
    <x v="1"/>
    <n v="-0.57848745999999995"/>
    <n v="6"/>
    <s v="Normal"/>
    <n v="-0.53092379999999995"/>
    <n v="6"/>
    <n v="6"/>
    <x v="0"/>
    <n v="-0.50656663999999996"/>
    <x v="184"/>
    <x v="0"/>
    <x v="0"/>
    <n v="3750"/>
    <n v="3750"/>
    <x v="15"/>
    <x v="15"/>
    <x v="3"/>
    <x v="3"/>
    <x v="0"/>
  </r>
  <r>
    <n v="3021"/>
    <x v="2"/>
    <s v="21-30 years"/>
    <n v="28"/>
    <x v="0"/>
    <x v="3"/>
    <x v="8"/>
    <s v="Normal"/>
    <n v="-1.0134224999999999"/>
    <x v="5"/>
    <x v="1"/>
    <n v="-0.57848745999999995"/>
    <n v="4"/>
    <s v="Normal"/>
    <n v="-0.72356116999999998"/>
    <n v="3.3333333000000001"/>
    <n v="3"/>
    <x v="0"/>
    <n v="-0.7718237"/>
    <x v="347"/>
    <x v="1"/>
    <x v="1"/>
    <n v="5000"/>
    <n v="5000"/>
    <x v="2"/>
    <x v="2"/>
    <x v="1"/>
    <x v="1"/>
    <x v="1"/>
  </r>
  <r>
    <n v="3022"/>
    <x v="2"/>
    <s v="31-40 years"/>
    <n v="38"/>
    <x v="0"/>
    <x v="0"/>
    <x v="5"/>
    <s v="Moderate"/>
    <n v="0.39388975999999998"/>
    <x v="13"/>
    <x v="3"/>
    <n v="1.9521089"/>
    <n v="30"/>
    <s v="Severe"/>
    <n v="1.7807249999999999"/>
    <n v="25.333334000000001"/>
    <n v="25"/>
    <x v="2"/>
    <n v="1.3755746"/>
    <x v="348"/>
    <x v="2"/>
    <x v="2"/>
    <n v="5000"/>
    <n v="5000"/>
    <x v="2"/>
    <x v="2"/>
    <x v="1"/>
    <x v="1"/>
    <x v="1"/>
  </r>
  <r>
    <n v="3023"/>
    <x v="2"/>
    <s v="21-30 years"/>
    <n v="27"/>
    <x v="1"/>
    <x v="5"/>
    <x v="1"/>
    <s v="Normal"/>
    <n v="-0.81237789999999999"/>
    <x v="1"/>
    <x v="1"/>
    <n v="-0.77314866000000004"/>
    <n v="0"/>
    <s v="Normal"/>
    <n v="-1.1088359000000001"/>
    <n v="2"/>
    <n v="2"/>
    <x v="0"/>
    <n v="-0.89812080000000005"/>
    <x v="349"/>
    <x v="1"/>
    <x v="1"/>
    <n v="2500"/>
    <n v="2500"/>
    <x v="12"/>
    <x v="12"/>
    <x v="4"/>
    <x v="4"/>
    <x v="0"/>
  </r>
  <r>
    <n v="3024"/>
    <x v="2"/>
    <s v="31-40 years"/>
    <n v="38"/>
    <x v="1"/>
    <x v="1"/>
    <x v="8"/>
    <s v="Normal"/>
    <n v="-1.0134224999999999"/>
    <x v="5"/>
    <x v="1"/>
    <n v="-0.57848745999999995"/>
    <n v="2"/>
    <s v="Normal"/>
    <n v="-0.91619854999999994"/>
    <n v="2.6666666999999999"/>
    <n v="3"/>
    <x v="0"/>
    <n v="-0.83603614999999998"/>
    <x v="338"/>
    <x v="1"/>
    <x v="1"/>
    <n v="6666.6665000000003"/>
    <n v="6667"/>
    <x v="21"/>
    <x v="21"/>
    <x v="2"/>
    <x v="2"/>
    <x v="2"/>
  </r>
  <r>
    <n v="3025"/>
    <x v="2"/>
    <s v="41-50 years"/>
    <n v="45"/>
    <x v="0"/>
    <x v="0"/>
    <x v="1"/>
    <s v="Normal"/>
    <n v="-0.81237789999999999"/>
    <x v="4"/>
    <x v="0"/>
    <n v="0.20015757000000001"/>
    <n v="2"/>
    <s v="Normal"/>
    <n v="-0.91619854999999994"/>
    <n v="6"/>
    <n v="6"/>
    <x v="0"/>
    <n v="-0.50947297000000002"/>
    <x v="350"/>
    <x v="0"/>
    <x v="0"/>
    <n v="8333.3330000000005"/>
    <n v="8333"/>
    <x v="20"/>
    <x v="20"/>
    <x v="5"/>
    <x v="5"/>
    <x v="2"/>
  </r>
  <r>
    <n v="3026"/>
    <x v="2"/>
    <s v="21-30 years"/>
    <n v="30"/>
    <x v="1"/>
    <x v="1"/>
    <x v="1"/>
    <s v="Normal"/>
    <n v="-0.81237789999999999"/>
    <x v="8"/>
    <x v="1"/>
    <n v="-0.18916494"/>
    <n v="8"/>
    <s v="Normal"/>
    <n v="-0.33828637"/>
    <n v="6.6666664999999998"/>
    <n v="7"/>
    <x v="0"/>
    <n v="-0.44660973999999998"/>
    <x v="351"/>
    <x v="0"/>
    <x v="0"/>
    <n v="5000"/>
    <n v="5000"/>
    <x v="2"/>
    <x v="2"/>
    <x v="1"/>
    <x v="1"/>
    <x v="1"/>
  </r>
  <r>
    <n v="3027"/>
    <x v="2"/>
    <s v="21-30 years"/>
    <n v="28"/>
    <x v="0"/>
    <x v="0"/>
    <x v="8"/>
    <s v="Normal"/>
    <n v="-1.0134224999999999"/>
    <x v="7"/>
    <x v="1"/>
    <n v="-0.38382620000000001"/>
    <n v="4"/>
    <s v="Normal"/>
    <n v="-0.72356116999999998"/>
    <n v="4"/>
    <n v="4"/>
    <x v="0"/>
    <n v="-0.70693660000000003"/>
    <x v="352"/>
    <x v="1"/>
    <x v="1"/>
    <n v="2000"/>
    <n v="2000"/>
    <x v="11"/>
    <x v="11"/>
    <x v="4"/>
    <x v="4"/>
    <x v="0"/>
  </r>
  <r>
    <n v="3028"/>
    <x v="2"/>
    <s v="31-40 years"/>
    <n v="34"/>
    <x v="0"/>
    <x v="3"/>
    <x v="0"/>
    <s v="Normal"/>
    <n v="-0.41028870000000001"/>
    <x v="9"/>
    <x v="2"/>
    <n v="0.97880255999999999"/>
    <n v="20"/>
    <s v="Moderate"/>
    <n v="0.81753799999999999"/>
    <n v="16"/>
    <n v="16"/>
    <x v="1"/>
    <n v="0.46201730000000002"/>
    <x v="353"/>
    <x v="2"/>
    <x v="2"/>
    <n v="6666.6665000000003"/>
    <n v="6667"/>
    <x v="21"/>
    <x v="21"/>
    <x v="2"/>
    <x v="2"/>
    <x v="2"/>
  </r>
  <r>
    <n v="3029"/>
    <x v="2"/>
    <s v="21-30 years"/>
    <n v="30"/>
    <x v="0"/>
    <x v="3"/>
    <x v="8"/>
    <s v="Normal"/>
    <n v="-1.0134224999999999"/>
    <x v="10"/>
    <x v="1"/>
    <n v="-1.1624711999999999"/>
    <n v="0"/>
    <s v="Normal"/>
    <n v="-1.1088359000000001"/>
    <n v="0"/>
    <n v="0"/>
    <x v="0"/>
    <n v="-1.0949099"/>
    <x v="72"/>
    <x v="1"/>
    <x v="1"/>
    <n v="6250"/>
    <n v="6250"/>
    <x v="27"/>
    <x v="27"/>
    <x v="2"/>
    <x v="2"/>
    <x v="2"/>
  </r>
  <r>
    <n v="3030"/>
    <x v="2"/>
    <s v="31-40 years"/>
    <n v="36"/>
    <x v="0"/>
    <x v="3"/>
    <x v="0"/>
    <s v="Normal"/>
    <n v="-0.41028870000000001"/>
    <x v="17"/>
    <x v="0"/>
    <n v="0.78414130000000004"/>
    <n v="10"/>
    <s v="Normal"/>
    <n v="-0.14564899000000001"/>
    <n v="12"/>
    <n v="12"/>
    <x v="1"/>
    <n v="7.6067869999999996E-2"/>
    <x v="354"/>
    <x v="0"/>
    <x v="0"/>
    <n v="6250"/>
    <n v="6250"/>
    <x v="27"/>
    <x v="27"/>
    <x v="2"/>
    <x v="2"/>
    <x v="2"/>
  </r>
  <r>
    <n v="3031"/>
    <x v="2"/>
    <s v="31-40 years"/>
    <n v="31"/>
    <x v="1"/>
    <x v="3"/>
    <x v="8"/>
    <s v="Normal"/>
    <n v="-1.0134224999999999"/>
    <x v="4"/>
    <x v="0"/>
    <n v="0.20015757000000001"/>
    <n v="10"/>
    <s v="Normal"/>
    <n v="-0.14564899000000001"/>
    <n v="8"/>
    <n v="8"/>
    <x v="0"/>
    <n v="-0.31963795"/>
    <x v="355"/>
    <x v="0"/>
    <x v="0"/>
    <n v="7500"/>
    <n v="7500"/>
    <x v="13"/>
    <x v="13"/>
    <x v="5"/>
    <x v="5"/>
    <x v="2"/>
  </r>
  <r>
    <n v="3032"/>
    <x v="2"/>
    <s v="21-30 years"/>
    <n v="29"/>
    <x v="0"/>
    <x v="3"/>
    <x v="8"/>
    <s v="Normal"/>
    <n v="-1.0134224999999999"/>
    <x v="4"/>
    <x v="0"/>
    <n v="0.20015757000000001"/>
    <n v="12"/>
    <s v="Moderate"/>
    <n v="4.6988415999999998E-2"/>
    <n v="8.6666670000000003"/>
    <n v="9"/>
    <x v="0"/>
    <n v="-0.25542550000000003"/>
    <x v="356"/>
    <x v="0"/>
    <x v="0"/>
    <n v="6666.6665000000003"/>
    <n v="6667"/>
    <x v="21"/>
    <x v="21"/>
    <x v="2"/>
    <x v="2"/>
    <x v="2"/>
  </r>
  <r>
    <n v="3033"/>
    <x v="2"/>
    <s v="51-60 years"/>
    <n v="53"/>
    <x v="0"/>
    <x v="0"/>
    <x v="4"/>
    <s v="Normal"/>
    <n v="-0.61133329999999997"/>
    <x v="4"/>
    <x v="0"/>
    <n v="0.20015757000000001"/>
    <n v="14"/>
    <s v="Moderate"/>
    <n v="0.23962580999999999"/>
    <n v="10.666667"/>
    <n v="11"/>
    <x v="1"/>
    <n v="-5.7183310000000001E-2"/>
    <x v="357"/>
    <x v="0"/>
    <x v="0"/>
    <n v="3750"/>
    <n v="3750"/>
    <x v="15"/>
    <x v="15"/>
    <x v="3"/>
    <x v="3"/>
    <x v="0"/>
  </r>
  <r>
    <n v="3034"/>
    <x v="2"/>
    <s v="41-50 years"/>
    <n v="45"/>
    <x v="0"/>
    <x v="0"/>
    <x v="1"/>
    <s v="Normal"/>
    <n v="-0.81237789999999999"/>
    <x v="4"/>
    <x v="0"/>
    <n v="0.20015757000000001"/>
    <n v="14"/>
    <s v="Moderate"/>
    <n v="0.23962580999999999"/>
    <n v="10"/>
    <n v="10"/>
    <x v="0"/>
    <n v="-0.12419818000000001"/>
    <x v="358"/>
    <x v="0"/>
    <x v="0"/>
    <n v="3750"/>
    <n v="3750"/>
    <x v="15"/>
    <x v="15"/>
    <x v="3"/>
    <x v="3"/>
    <x v="0"/>
  </r>
  <r>
    <n v="3035"/>
    <x v="2"/>
    <s v="41-50 years"/>
    <n v="46"/>
    <x v="0"/>
    <x v="0"/>
    <x v="4"/>
    <s v="Normal"/>
    <n v="-0.61133329999999997"/>
    <x v="8"/>
    <x v="1"/>
    <n v="-0.18916494"/>
    <n v="4"/>
    <s v="Normal"/>
    <n v="-0.72356116999999998"/>
    <n v="6"/>
    <n v="6"/>
    <x v="0"/>
    <n v="-0.50801980000000002"/>
    <x v="359"/>
    <x v="0"/>
    <x v="0"/>
    <n v="7500"/>
    <n v="7500"/>
    <x v="13"/>
    <x v="13"/>
    <x v="5"/>
    <x v="5"/>
    <x v="2"/>
  </r>
  <r>
    <n v="3036"/>
    <x v="2"/>
    <s v="31-40 years"/>
    <n v="36"/>
    <x v="0"/>
    <x v="3"/>
    <x v="8"/>
    <s v="Normal"/>
    <n v="-1.0134224999999999"/>
    <x v="8"/>
    <x v="1"/>
    <n v="-0.18916494"/>
    <n v="4"/>
    <s v="Normal"/>
    <n v="-0.72356116999999998"/>
    <n v="4.6666664999999998"/>
    <n v="5"/>
    <x v="0"/>
    <n v="-0.64204954999999997"/>
    <x v="360"/>
    <x v="1"/>
    <x v="1"/>
    <n v="7500"/>
    <n v="7500"/>
    <x v="13"/>
    <x v="13"/>
    <x v="5"/>
    <x v="5"/>
    <x v="2"/>
  </r>
  <r>
    <n v="3037"/>
    <x v="2"/>
    <s v="21-30 years"/>
    <n v="28"/>
    <x v="1"/>
    <x v="1"/>
    <x v="8"/>
    <s v="Normal"/>
    <n v="-1.0134224999999999"/>
    <x v="8"/>
    <x v="1"/>
    <n v="-0.18916494"/>
    <n v="0"/>
    <s v="Normal"/>
    <n v="-1.1088359000000001"/>
    <n v="3.3333333000000001"/>
    <n v="3"/>
    <x v="0"/>
    <n v="-0.77047443000000004"/>
    <x v="343"/>
    <x v="1"/>
    <x v="1"/>
    <n v="5000"/>
    <n v="5000"/>
    <x v="2"/>
    <x v="2"/>
    <x v="1"/>
    <x v="1"/>
    <x v="1"/>
  </r>
  <r>
    <n v="3038"/>
    <x v="2"/>
    <s v="31-40 years"/>
    <n v="32"/>
    <x v="0"/>
    <x v="3"/>
    <x v="8"/>
    <s v="Normal"/>
    <n v="-1.0134224999999999"/>
    <x v="1"/>
    <x v="1"/>
    <n v="-0.77314866000000004"/>
    <n v="4"/>
    <s v="Normal"/>
    <n v="-0.72356116999999998"/>
    <n v="2.6666666999999999"/>
    <n v="3"/>
    <x v="0"/>
    <n v="-0.83671074999999995"/>
    <x v="361"/>
    <x v="1"/>
    <x v="1"/>
    <n v="6250"/>
    <n v="6250"/>
    <x v="27"/>
    <x v="27"/>
    <x v="2"/>
    <x v="2"/>
    <x v="2"/>
  </r>
  <r>
    <n v="3039"/>
    <x v="2"/>
    <s v="21-30 years"/>
    <n v="26"/>
    <x v="0"/>
    <x v="3"/>
    <x v="2"/>
    <s v="Normal"/>
    <n v="-0.20924408999999999"/>
    <x v="11"/>
    <x v="2"/>
    <n v="1.3681251000000001"/>
    <n v="28"/>
    <s v="Severe"/>
    <n v="1.5880875999999999"/>
    <n v="20.666665999999999"/>
    <n v="21"/>
    <x v="2"/>
    <n v="0.91565620000000003"/>
    <x v="362"/>
    <x v="2"/>
    <x v="2"/>
    <n v="6666.6665000000003"/>
    <n v="6667"/>
    <x v="21"/>
    <x v="21"/>
    <x v="2"/>
    <x v="2"/>
    <x v="2"/>
  </r>
  <r>
    <n v="3040"/>
    <x v="2"/>
    <s v="31-40 years"/>
    <n v="34"/>
    <x v="0"/>
    <x v="0"/>
    <x v="8"/>
    <s v="Normal"/>
    <n v="-1.0134224999999999"/>
    <x v="7"/>
    <x v="1"/>
    <n v="-0.38382620000000001"/>
    <n v="6"/>
    <s v="Normal"/>
    <n v="-0.53092379999999995"/>
    <n v="4.6666664999999998"/>
    <n v="5"/>
    <x v="0"/>
    <n v="-0.64272415999999999"/>
    <x v="345"/>
    <x v="1"/>
    <x v="1"/>
    <n v="3000"/>
    <n v="3000"/>
    <x v="22"/>
    <x v="22"/>
    <x v="3"/>
    <x v="3"/>
    <x v="0"/>
  </r>
  <r>
    <n v="3041"/>
    <x v="2"/>
    <s v="41-50 years"/>
    <n v="49"/>
    <x v="0"/>
    <x v="0"/>
    <x v="8"/>
    <s v="Normal"/>
    <n v="-1.0134224999999999"/>
    <x v="5"/>
    <x v="1"/>
    <n v="-0.57848745999999995"/>
    <n v="0"/>
    <s v="Normal"/>
    <n v="-1.1088359000000001"/>
    <n v="2"/>
    <n v="2"/>
    <x v="0"/>
    <n v="-0.90024864999999998"/>
    <x v="363"/>
    <x v="1"/>
    <x v="1"/>
    <n v="8000"/>
    <n v="8000"/>
    <x v="62"/>
    <x v="62"/>
    <x v="5"/>
    <x v="5"/>
    <x v="2"/>
  </r>
  <r>
    <n v="3042"/>
    <x v="2"/>
    <s v="21-30 years"/>
    <n v="27"/>
    <x v="0"/>
    <x v="3"/>
    <x v="8"/>
    <s v="Normal"/>
    <n v="-1.0134224999999999"/>
    <x v="4"/>
    <x v="0"/>
    <n v="0.20015757000000001"/>
    <n v="16"/>
    <s v="Moderate"/>
    <n v="0.43226320000000001"/>
    <n v="10"/>
    <n v="10"/>
    <x v="0"/>
    <n v="-0.12700057000000001"/>
    <x v="364"/>
    <x v="0"/>
    <x v="0"/>
    <n v="3000"/>
    <n v="3000"/>
    <x v="22"/>
    <x v="22"/>
    <x v="3"/>
    <x v="3"/>
    <x v="0"/>
  </r>
  <r>
    <n v="3043"/>
    <x v="2"/>
    <s v="31-40 years"/>
    <n v="32"/>
    <x v="0"/>
    <x v="3"/>
    <x v="8"/>
    <s v="Normal"/>
    <n v="-1.0134224999999999"/>
    <x v="5"/>
    <x v="1"/>
    <n v="-0.57848745999999995"/>
    <n v="14"/>
    <s v="Moderate"/>
    <n v="0.23962580999999999"/>
    <n v="6.6666664999999998"/>
    <n v="7"/>
    <x v="0"/>
    <n v="-0.45076137999999999"/>
    <x v="365"/>
    <x v="0"/>
    <x v="0"/>
    <n v="6250"/>
    <n v="6250"/>
    <x v="27"/>
    <x v="27"/>
    <x v="2"/>
    <x v="2"/>
    <x v="2"/>
  </r>
  <r>
    <n v="3044"/>
    <x v="2"/>
    <s v="21-30 years"/>
    <n v="26"/>
    <x v="0"/>
    <x v="3"/>
    <x v="8"/>
    <s v="Normal"/>
    <n v="-1.0134224999999999"/>
    <x v="5"/>
    <x v="1"/>
    <n v="-0.57848745999999995"/>
    <n v="2"/>
    <s v="Normal"/>
    <n v="-0.91619854999999994"/>
    <n v="2.6666666999999999"/>
    <n v="3"/>
    <x v="0"/>
    <n v="-0.83603614999999998"/>
    <x v="338"/>
    <x v="1"/>
    <x v="1"/>
    <n v="7500"/>
    <n v="7500"/>
    <x v="13"/>
    <x v="13"/>
    <x v="5"/>
    <x v="5"/>
    <x v="2"/>
  </r>
  <r>
    <n v="3045"/>
    <x v="2"/>
    <s v="31-40 years"/>
    <n v="32"/>
    <x v="0"/>
    <x v="3"/>
    <x v="0"/>
    <s v="Normal"/>
    <n v="-0.41028870000000001"/>
    <x v="3"/>
    <x v="0"/>
    <n v="0.39481880000000003"/>
    <n v="22"/>
    <s v="Severe"/>
    <n v="1.0101753"/>
    <n v="14.666667"/>
    <n v="15"/>
    <x v="1"/>
    <n v="0.33156848"/>
    <x v="366"/>
    <x v="0"/>
    <x v="0"/>
    <n v="3750"/>
    <n v="3750"/>
    <x v="15"/>
    <x v="15"/>
    <x v="3"/>
    <x v="3"/>
    <x v="0"/>
  </r>
  <r>
    <n v="3046"/>
    <x v="2"/>
    <s v="31-40 years"/>
    <n v="35"/>
    <x v="0"/>
    <x v="3"/>
    <x v="4"/>
    <s v="Normal"/>
    <n v="-0.61133329999999997"/>
    <x v="8"/>
    <x v="1"/>
    <n v="-0.18916494"/>
    <n v="18"/>
    <s v="Moderate"/>
    <n v="0.62490060000000003"/>
    <n v="10.666667"/>
    <n v="11"/>
    <x v="1"/>
    <n v="-5.8532555E-2"/>
    <x v="367"/>
    <x v="0"/>
    <x v="0"/>
    <n v="4000"/>
    <n v="4000"/>
    <x v="7"/>
    <x v="7"/>
    <x v="3"/>
    <x v="3"/>
    <x v="0"/>
  </r>
  <r>
    <n v="3047"/>
    <x v="2"/>
    <s v="41-50 years"/>
    <n v="41"/>
    <x v="0"/>
    <x v="3"/>
    <x v="8"/>
    <s v="Normal"/>
    <n v="-1.0134224999999999"/>
    <x v="17"/>
    <x v="0"/>
    <n v="0.78414130000000004"/>
    <n v="8"/>
    <s v="Normal"/>
    <n v="-0.33828637"/>
    <n v="9.3333329999999997"/>
    <n v="9"/>
    <x v="0"/>
    <n v="-0.18918918000000001"/>
    <x v="368"/>
    <x v="0"/>
    <x v="0"/>
    <n v="4000"/>
    <n v="4000"/>
    <x v="7"/>
    <x v="7"/>
    <x v="3"/>
    <x v="3"/>
    <x v="0"/>
  </r>
  <r>
    <n v="3048"/>
    <x v="2"/>
    <s v="21-30 years"/>
    <n v="26"/>
    <x v="0"/>
    <x v="0"/>
    <x v="8"/>
    <s v="Normal"/>
    <n v="-1.0134224999999999"/>
    <x v="0"/>
    <x v="0"/>
    <n v="5.496318E-3"/>
    <n v="14"/>
    <s v="Moderate"/>
    <n v="0.23962580999999999"/>
    <n v="8.6666670000000003"/>
    <n v="9"/>
    <x v="0"/>
    <n v="-0.25610011999999999"/>
    <x v="369"/>
    <x v="0"/>
    <x v="0"/>
    <n v="5000"/>
    <n v="5000"/>
    <x v="2"/>
    <x v="2"/>
    <x v="1"/>
    <x v="1"/>
    <x v="1"/>
  </r>
  <r>
    <n v="3049"/>
    <x v="2"/>
    <s v="31-40 years"/>
    <n v="32"/>
    <x v="0"/>
    <x v="3"/>
    <x v="2"/>
    <s v="Normal"/>
    <n v="-0.20924408999999999"/>
    <x v="14"/>
    <x v="2"/>
    <n v="1.5627863"/>
    <n v="4"/>
    <s v="Normal"/>
    <n v="-0.72356116999999998"/>
    <n v="13.333333"/>
    <n v="13"/>
    <x v="1"/>
    <n v="0.20999369000000001"/>
    <x v="370"/>
    <x v="0"/>
    <x v="0"/>
    <n v="5000"/>
    <n v="5000"/>
    <x v="2"/>
    <x v="2"/>
    <x v="1"/>
    <x v="1"/>
    <x v="1"/>
  </r>
  <r>
    <n v="3050"/>
    <x v="2"/>
    <s v="31-40 years"/>
    <n v="32"/>
    <x v="0"/>
    <x v="3"/>
    <x v="8"/>
    <s v="Normal"/>
    <n v="-1.0134224999999999"/>
    <x v="1"/>
    <x v="1"/>
    <n v="-0.77314866000000004"/>
    <n v="4"/>
    <s v="Normal"/>
    <n v="-0.72356116999999998"/>
    <n v="2.6666666999999999"/>
    <n v="3"/>
    <x v="0"/>
    <n v="-0.83671074999999995"/>
    <x v="361"/>
    <x v="1"/>
    <x v="1"/>
    <n v="5000"/>
    <n v="5000"/>
    <x v="2"/>
    <x v="2"/>
    <x v="1"/>
    <x v="1"/>
    <x v="1"/>
  </r>
  <r>
    <n v="3051"/>
    <x v="2"/>
    <s v="31-40 years"/>
    <n v="33"/>
    <x v="0"/>
    <x v="0"/>
    <x v="7"/>
    <s v="Moderate"/>
    <n v="0.19284514999999999"/>
    <x v="7"/>
    <x v="1"/>
    <n v="-0.38382620000000001"/>
    <n v="14"/>
    <s v="Moderate"/>
    <n v="0.23962580999999999"/>
    <n v="11.333333"/>
    <n v="11"/>
    <x v="1"/>
    <n v="1.6214922E-2"/>
    <x v="371"/>
    <x v="0"/>
    <x v="0"/>
    <n v="8000"/>
    <n v="8000"/>
    <x v="62"/>
    <x v="62"/>
    <x v="5"/>
    <x v="5"/>
    <x v="2"/>
  </r>
  <r>
    <n v="3052"/>
    <x v="2"/>
    <s v="21-30 years"/>
    <n v="27"/>
    <x v="0"/>
    <x v="3"/>
    <x v="2"/>
    <s v="Normal"/>
    <n v="-0.20924408999999999"/>
    <x v="7"/>
    <x v="1"/>
    <n v="-0.38382620000000001"/>
    <n v="6"/>
    <s v="Normal"/>
    <n v="-0.53092379999999995"/>
    <n v="7.3333335000000002"/>
    <n v="7"/>
    <x v="0"/>
    <n v="-0.37466470000000002"/>
    <x v="372"/>
    <x v="0"/>
    <x v="0"/>
    <n v="4000"/>
    <n v="4000"/>
    <x v="7"/>
    <x v="7"/>
    <x v="3"/>
    <x v="3"/>
    <x v="0"/>
  </r>
  <r>
    <n v="3053"/>
    <x v="2"/>
    <s v="31-40 years"/>
    <n v="33"/>
    <x v="0"/>
    <x v="3"/>
    <x v="3"/>
    <s v="Normal"/>
    <n v="-8.1994660000000007E-3"/>
    <x v="7"/>
    <x v="1"/>
    <n v="-0.38382620000000001"/>
    <n v="10"/>
    <s v="Normal"/>
    <n v="-0.14564899000000001"/>
    <n v="9.3333329999999997"/>
    <n v="9"/>
    <x v="0"/>
    <n v="-0.17922488"/>
    <x v="199"/>
    <x v="0"/>
    <x v="0"/>
    <n v="3000"/>
    <n v="3000"/>
    <x v="22"/>
    <x v="22"/>
    <x v="3"/>
    <x v="3"/>
    <x v="0"/>
  </r>
  <r>
    <n v="3054"/>
    <x v="2"/>
    <s v="31-40 years"/>
    <n v="35"/>
    <x v="0"/>
    <x v="0"/>
    <x v="0"/>
    <s v="Normal"/>
    <n v="-0.41028870000000001"/>
    <x v="1"/>
    <x v="1"/>
    <n v="-0.77314866000000004"/>
    <n v="6"/>
    <s v="Normal"/>
    <n v="-0.53092379999999995"/>
    <n v="5.3333335000000002"/>
    <n v="5"/>
    <x v="0"/>
    <n v="-0.57145369999999995"/>
    <x v="179"/>
    <x v="0"/>
    <x v="0"/>
    <n v="13333.333000000001"/>
    <n v="13333"/>
    <x v="76"/>
    <x v="76"/>
    <x v="5"/>
    <x v="5"/>
    <x v="2"/>
  </r>
  <r>
    <n v="3055"/>
    <x v="2"/>
    <s v="21-30 years"/>
    <n v="29"/>
    <x v="1"/>
    <x v="3"/>
    <x v="3"/>
    <s v="Normal"/>
    <n v="-8.1994660000000007E-3"/>
    <x v="7"/>
    <x v="1"/>
    <n v="-0.38382620000000001"/>
    <n v="4"/>
    <s v="Normal"/>
    <n v="-0.72356116999999998"/>
    <n v="7.3333335000000002"/>
    <n v="7"/>
    <x v="0"/>
    <n v="-0.37186226"/>
    <x v="373"/>
    <x v="0"/>
    <x v="0"/>
    <n v="5000"/>
    <n v="5000"/>
    <x v="2"/>
    <x v="2"/>
    <x v="1"/>
    <x v="1"/>
    <x v="1"/>
  </r>
  <r>
    <n v="3056"/>
    <x v="2"/>
    <s v="31-40 years"/>
    <n v="39"/>
    <x v="1"/>
    <x v="1"/>
    <x v="0"/>
    <s v="Normal"/>
    <n v="-0.41028870000000001"/>
    <x v="5"/>
    <x v="1"/>
    <n v="-0.57848745999999995"/>
    <n v="10"/>
    <s v="Normal"/>
    <n v="-0.14564899000000001"/>
    <n v="7.3333335000000002"/>
    <n v="7"/>
    <x v="0"/>
    <n v="-0.37814170000000003"/>
    <x v="374"/>
    <x v="0"/>
    <x v="0"/>
    <n v="10000"/>
    <n v="10000"/>
    <x v="26"/>
    <x v="26"/>
    <x v="5"/>
    <x v="5"/>
    <x v="2"/>
  </r>
  <r>
    <n v="3057"/>
    <x v="2"/>
    <s v="31-40 years"/>
    <n v="37"/>
    <x v="1"/>
    <x v="1"/>
    <x v="0"/>
    <s v="Normal"/>
    <n v="-0.41028870000000001"/>
    <x v="5"/>
    <x v="1"/>
    <n v="-0.57848745999999995"/>
    <n v="6"/>
    <s v="Normal"/>
    <n v="-0.53092379999999995"/>
    <n v="6"/>
    <n v="6"/>
    <x v="0"/>
    <n v="-0.50656663999999996"/>
    <x v="184"/>
    <x v="0"/>
    <x v="0"/>
    <n v="2500"/>
    <n v="2500"/>
    <x v="12"/>
    <x v="12"/>
    <x v="4"/>
    <x v="4"/>
    <x v="0"/>
  </r>
  <r>
    <n v="3058"/>
    <x v="2"/>
    <s v="31-40 years"/>
    <n v="32"/>
    <x v="1"/>
    <x v="0"/>
    <x v="1"/>
    <s v="Normal"/>
    <n v="-0.81237789999999999"/>
    <x v="7"/>
    <x v="1"/>
    <n v="-0.38382620000000001"/>
    <n v="8"/>
    <s v="Normal"/>
    <n v="-0.33828637"/>
    <n v="6"/>
    <n v="6"/>
    <x v="0"/>
    <n v="-0.51149683999999995"/>
    <x v="375"/>
    <x v="0"/>
    <x v="0"/>
    <n v="5000"/>
    <n v="5000"/>
    <x v="2"/>
    <x v="2"/>
    <x v="1"/>
    <x v="1"/>
    <x v="1"/>
  </r>
  <r>
    <n v="3059"/>
    <x v="2"/>
    <s v="41-50 years"/>
    <n v="41"/>
    <x v="0"/>
    <x v="0"/>
    <x v="2"/>
    <s v="Normal"/>
    <n v="-0.20924408999999999"/>
    <x v="1"/>
    <x v="1"/>
    <n v="-0.77314866000000004"/>
    <n v="8"/>
    <s v="Normal"/>
    <n v="-0.33828637"/>
    <n v="6.6666664999999998"/>
    <n v="7"/>
    <x v="0"/>
    <n v="-0.44022637999999997"/>
    <x v="376"/>
    <x v="0"/>
    <x v="0"/>
    <n v="15000"/>
    <n v="15000"/>
    <x v="46"/>
    <x v="46"/>
    <x v="5"/>
    <x v="5"/>
    <x v="2"/>
  </r>
  <r>
    <n v="3060"/>
    <x v="2"/>
    <s v="31-40 years"/>
    <n v="37"/>
    <x v="0"/>
    <x v="0"/>
    <x v="0"/>
    <s v="Normal"/>
    <n v="-0.41028870000000001"/>
    <x v="2"/>
    <x v="1"/>
    <n v="-0.9678099"/>
    <n v="6"/>
    <s v="Normal"/>
    <n v="-0.53092379999999995"/>
    <n v="4.6666664999999998"/>
    <n v="5"/>
    <x v="0"/>
    <n v="-0.63634080000000004"/>
    <x v="71"/>
    <x v="1"/>
    <x v="1"/>
    <n v="3750"/>
    <n v="3750"/>
    <x v="15"/>
    <x v="15"/>
    <x v="3"/>
    <x v="3"/>
    <x v="0"/>
  </r>
  <r>
    <n v="3061"/>
    <x v="2"/>
    <s v="31-40 years"/>
    <n v="34"/>
    <x v="0"/>
    <x v="0"/>
    <x v="4"/>
    <s v="Normal"/>
    <n v="-0.61133329999999997"/>
    <x v="5"/>
    <x v="1"/>
    <n v="-0.57848745999999995"/>
    <n v="4"/>
    <s v="Normal"/>
    <n v="-0.72356116999999998"/>
    <n v="4.6666664999999998"/>
    <n v="5"/>
    <x v="0"/>
    <n v="-0.63779395999999999"/>
    <x v="67"/>
    <x v="1"/>
    <x v="1"/>
    <n v="7500"/>
    <n v="7500"/>
    <x v="13"/>
    <x v="13"/>
    <x v="5"/>
    <x v="5"/>
    <x v="2"/>
  </r>
  <r>
    <n v="3062"/>
    <x v="2"/>
    <s v="31-40 years"/>
    <n v="35"/>
    <x v="0"/>
    <x v="0"/>
    <x v="2"/>
    <s v="Normal"/>
    <n v="-0.20924408999999999"/>
    <x v="7"/>
    <x v="1"/>
    <n v="-0.38382620000000001"/>
    <n v="6"/>
    <s v="Normal"/>
    <n v="-0.53092379999999995"/>
    <n v="7.3333335000000002"/>
    <n v="7"/>
    <x v="0"/>
    <n v="-0.37466470000000002"/>
    <x v="372"/>
    <x v="0"/>
    <x v="0"/>
    <n v="6250"/>
    <n v="6250"/>
    <x v="27"/>
    <x v="27"/>
    <x v="2"/>
    <x v="2"/>
    <x v="2"/>
  </r>
  <r>
    <n v="3063"/>
    <x v="2"/>
    <s v="21-30 years"/>
    <n v="28"/>
    <x v="0"/>
    <x v="3"/>
    <x v="0"/>
    <s v="Normal"/>
    <n v="-0.41028870000000001"/>
    <x v="5"/>
    <x v="1"/>
    <n v="-0.57848745999999995"/>
    <n v="6"/>
    <s v="Normal"/>
    <n v="-0.53092379999999995"/>
    <n v="6"/>
    <n v="6"/>
    <x v="0"/>
    <n v="-0.50656663999999996"/>
    <x v="184"/>
    <x v="0"/>
    <x v="0"/>
    <n v="8000"/>
    <n v="8000"/>
    <x v="62"/>
    <x v="62"/>
    <x v="5"/>
    <x v="5"/>
    <x v="2"/>
  </r>
  <r>
    <n v="3064"/>
    <x v="2"/>
    <s v="31-40 years"/>
    <n v="35"/>
    <x v="1"/>
    <x v="0"/>
    <x v="0"/>
    <s v="Normal"/>
    <n v="-0.41028870000000001"/>
    <x v="2"/>
    <x v="1"/>
    <n v="-0.9678099"/>
    <n v="8"/>
    <s v="Normal"/>
    <n v="-0.33828637"/>
    <n v="5.3333335000000002"/>
    <n v="5"/>
    <x v="0"/>
    <n v="-0.57212830000000003"/>
    <x v="377"/>
    <x v="0"/>
    <x v="0"/>
    <n v="5000"/>
    <n v="5000"/>
    <x v="2"/>
    <x v="2"/>
    <x v="1"/>
    <x v="1"/>
    <x v="1"/>
  </r>
  <r>
    <n v="3065"/>
    <x v="2"/>
    <s v="51-60 years"/>
    <n v="59"/>
    <x v="0"/>
    <x v="6"/>
    <x v="0"/>
    <s v="Normal"/>
    <n v="-0.41028870000000001"/>
    <x v="7"/>
    <x v="1"/>
    <n v="-0.38382620000000001"/>
    <n v="6"/>
    <s v="Normal"/>
    <n v="-0.53092379999999995"/>
    <n v="6.6666664999999998"/>
    <n v="7"/>
    <x v="0"/>
    <n v="-0.44167957000000002"/>
    <x v="82"/>
    <x v="0"/>
    <x v="0"/>
    <n v="8000"/>
    <n v="8000"/>
    <x v="62"/>
    <x v="62"/>
    <x v="5"/>
    <x v="5"/>
    <x v="2"/>
  </r>
  <r>
    <n v="3066"/>
    <x v="2"/>
    <s v="21-30 years"/>
    <n v="27"/>
    <x v="0"/>
    <x v="3"/>
    <x v="8"/>
    <s v="Normal"/>
    <n v="-1.0134224999999999"/>
    <x v="12"/>
    <x v="2"/>
    <n v="1.1734637999999999"/>
    <n v="16"/>
    <s v="Moderate"/>
    <n v="0.43226320000000001"/>
    <n v="13.333333"/>
    <n v="13"/>
    <x v="1"/>
    <n v="0.19743484"/>
    <x v="378"/>
    <x v="0"/>
    <x v="0"/>
    <n v="6250"/>
    <n v="6250"/>
    <x v="27"/>
    <x v="27"/>
    <x v="2"/>
    <x v="2"/>
    <x v="2"/>
  </r>
  <r>
    <n v="3067"/>
    <x v="2"/>
    <s v="21-30 years"/>
    <n v="26"/>
    <x v="0"/>
    <x v="3"/>
    <x v="8"/>
    <s v="Normal"/>
    <n v="-1.0134224999999999"/>
    <x v="1"/>
    <x v="1"/>
    <n v="-0.77314866000000004"/>
    <n v="4"/>
    <s v="Normal"/>
    <n v="-0.72356116999999998"/>
    <n v="2.6666666999999999"/>
    <n v="3"/>
    <x v="0"/>
    <n v="-0.83671074999999995"/>
    <x v="361"/>
    <x v="1"/>
    <x v="1"/>
    <n v="3750"/>
    <n v="3750"/>
    <x v="15"/>
    <x v="15"/>
    <x v="3"/>
    <x v="3"/>
    <x v="0"/>
  </r>
  <r>
    <n v="3068"/>
    <x v="2"/>
    <s v="31-40 years"/>
    <n v="36"/>
    <x v="0"/>
    <x v="3"/>
    <x v="8"/>
    <s v="Normal"/>
    <n v="-1.0134224999999999"/>
    <x v="1"/>
    <x v="1"/>
    <n v="-0.77314866000000004"/>
    <n v="12"/>
    <s v="Moderate"/>
    <n v="4.6988415999999998E-2"/>
    <n v="5.3333335000000002"/>
    <n v="5"/>
    <x v="0"/>
    <n v="-0.57986090000000001"/>
    <x v="379"/>
    <x v="0"/>
    <x v="0"/>
    <n v="3333.3332999999998"/>
    <n v="3333"/>
    <x v="10"/>
    <x v="10"/>
    <x v="3"/>
    <x v="3"/>
    <x v="0"/>
  </r>
  <r>
    <n v="3069"/>
    <x v="2"/>
    <s v="31-40 years"/>
    <n v="36"/>
    <x v="0"/>
    <x v="3"/>
    <x v="5"/>
    <s v="Moderate"/>
    <n v="0.39388975999999998"/>
    <x v="16"/>
    <x v="3"/>
    <n v="2.1467700000000001"/>
    <n v="18"/>
    <s v="Moderate"/>
    <n v="0.62490060000000003"/>
    <n v="22"/>
    <n v="22"/>
    <x v="2"/>
    <n v="1.0551866999999999"/>
    <x v="380"/>
    <x v="2"/>
    <x v="2"/>
    <n v="3750"/>
    <n v="3750"/>
    <x v="15"/>
    <x v="15"/>
    <x v="3"/>
    <x v="3"/>
    <x v="0"/>
  </r>
  <r>
    <n v="3070"/>
    <x v="2"/>
    <s v="31-40 years"/>
    <n v="34"/>
    <x v="0"/>
    <x v="3"/>
    <x v="4"/>
    <s v="Normal"/>
    <n v="-0.61133329999999997"/>
    <x v="14"/>
    <x v="2"/>
    <n v="1.5627863"/>
    <n v="18"/>
    <s v="Moderate"/>
    <n v="0.62490060000000003"/>
    <n v="16.666665999999999"/>
    <n v="17"/>
    <x v="1"/>
    <n v="0.52545120000000001"/>
    <x v="381"/>
    <x v="2"/>
    <x v="2"/>
    <n v="3333.3332999999998"/>
    <n v="3333"/>
    <x v="10"/>
    <x v="10"/>
    <x v="3"/>
    <x v="3"/>
    <x v="0"/>
  </r>
  <r>
    <n v="3071"/>
    <x v="2"/>
    <s v="21-30 years"/>
    <n v="30"/>
    <x v="0"/>
    <x v="0"/>
    <x v="12"/>
    <s v="Moderate"/>
    <n v="0.79597896000000001"/>
    <x v="21"/>
    <x v="3"/>
    <n v="2.7307540000000001"/>
    <n v="30"/>
    <s v="Severe"/>
    <n v="1.7807249999999999"/>
    <n v="29.333334000000001"/>
    <n v="29"/>
    <x v="2"/>
    <n v="1.7691526"/>
    <x v="382"/>
    <x v="3"/>
    <x v="3"/>
    <n v="20000"/>
    <n v="20000"/>
    <x v="56"/>
    <x v="56"/>
    <x v="5"/>
    <x v="5"/>
    <x v="2"/>
  </r>
  <r>
    <n v="3072"/>
    <x v="2"/>
    <s v="31-40 years"/>
    <n v="32"/>
    <x v="0"/>
    <x v="0"/>
    <x v="4"/>
    <s v="Normal"/>
    <n v="-0.61133329999999997"/>
    <x v="10"/>
    <x v="1"/>
    <n v="-1.1624711999999999"/>
    <n v="0"/>
    <s v="Normal"/>
    <n v="-1.1088359000000001"/>
    <n v="1.3333333999999999"/>
    <n v="1"/>
    <x v="0"/>
    <n v="-0.96088015999999998"/>
    <x v="383"/>
    <x v="1"/>
    <x v="1"/>
    <n v="7500"/>
    <n v="7500"/>
    <x v="13"/>
    <x v="13"/>
    <x v="5"/>
    <x v="5"/>
    <x v="2"/>
  </r>
  <r>
    <n v="3073"/>
    <x v="2"/>
    <s v="31-40 years"/>
    <n v="40"/>
    <x v="0"/>
    <x v="3"/>
    <x v="0"/>
    <s v="Normal"/>
    <n v="-0.41028870000000001"/>
    <x v="1"/>
    <x v="1"/>
    <n v="-0.77314866000000004"/>
    <n v="0"/>
    <s v="Normal"/>
    <n v="-1.1088359000000001"/>
    <n v="3.3333333000000001"/>
    <n v="3"/>
    <x v="0"/>
    <n v="-0.76409110000000002"/>
    <x v="48"/>
    <x v="1"/>
    <x v="1"/>
    <n v="7500"/>
    <n v="7500"/>
    <x v="13"/>
    <x v="13"/>
    <x v="5"/>
    <x v="5"/>
    <x v="2"/>
  </r>
  <r>
    <n v="3074"/>
    <x v="2"/>
    <s v="31-40 years"/>
    <n v="36"/>
    <x v="1"/>
    <x v="2"/>
    <x v="2"/>
    <s v="Normal"/>
    <n v="-0.20924408999999999"/>
    <x v="7"/>
    <x v="1"/>
    <n v="-0.38382620000000001"/>
    <n v="16"/>
    <s v="Moderate"/>
    <n v="0.43226320000000001"/>
    <n v="10.666667"/>
    <n v="11"/>
    <x v="1"/>
    <n v="-5.3602364E-2"/>
    <x v="384"/>
    <x v="0"/>
    <x v="0"/>
    <n v="2500"/>
    <n v="2500"/>
    <x v="12"/>
    <x v="12"/>
    <x v="4"/>
    <x v="4"/>
    <x v="0"/>
  </r>
  <r>
    <n v="3075"/>
    <x v="2"/>
    <s v="31-40 years"/>
    <n v="38"/>
    <x v="0"/>
    <x v="3"/>
    <x v="8"/>
    <s v="Normal"/>
    <n v="-1.0134224999999999"/>
    <x v="5"/>
    <x v="1"/>
    <n v="-0.57848745999999995"/>
    <n v="0"/>
    <s v="Normal"/>
    <n v="-1.1088359000000001"/>
    <n v="2"/>
    <n v="2"/>
    <x v="0"/>
    <n v="-0.90024864999999998"/>
    <x v="363"/>
    <x v="1"/>
    <x v="1"/>
    <n v="10000"/>
    <n v="10000"/>
    <x v="26"/>
    <x v="26"/>
    <x v="5"/>
    <x v="5"/>
    <x v="2"/>
  </r>
  <r>
    <n v="3076"/>
    <x v="2"/>
    <s v="31-40 years"/>
    <n v="35"/>
    <x v="0"/>
    <x v="3"/>
    <x v="2"/>
    <s v="Normal"/>
    <n v="-0.20924408999999999"/>
    <x v="11"/>
    <x v="2"/>
    <n v="1.3681251000000001"/>
    <n v="10"/>
    <s v="Normal"/>
    <n v="-0.14564899000000001"/>
    <n v="14.666667"/>
    <n v="15"/>
    <x v="1"/>
    <n v="0.33774399999999999"/>
    <x v="385"/>
    <x v="0"/>
    <x v="0"/>
    <n v="7500"/>
    <n v="7500"/>
    <x v="13"/>
    <x v="13"/>
    <x v="5"/>
    <x v="5"/>
    <x v="2"/>
  </r>
  <r>
    <n v="3077"/>
    <x v="2"/>
    <s v="51-60 years"/>
    <n v="57"/>
    <x v="1"/>
    <x v="1"/>
    <x v="10"/>
    <s v="Severe"/>
    <n v="1.1980683000000001"/>
    <x v="17"/>
    <x v="0"/>
    <n v="0.78414130000000004"/>
    <n v="4"/>
    <s v="Normal"/>
    <n v="-0.72356116999999998"/>
    <n v="15.333333"/>
    <n v="15"/>
    <x v="1"/>
    <n v="0.41954946999999998"/>
    <x v="386"/>
    <x v="2"/>
    <x v="2"/>
    <n v="10000"/>
    <n v="10000"/>
    <x v="26"/>
    <x v="26"/>
    <x v="5"/>
    <x v="5"/>
    <x v="2"/>
  </r>
  <r>
    <n v="3078"/>
    <x v="2"/>
    <s v="21-30 years"/>
    <n v="26"/>
    <x v="0"/>
    <x v="3"/>
    <x v="8"/>
    <s v="Normal"/>
    <n v="-1.0134224999999999"/>
    <x v="1"/>
    <x v="1"/>
    <n v="-0.77314866000000004"/>
    <n v="12"/>
    <s v="Moderate"/>
    <n v="4.6988415999999998E-2"/>
    <n v="5.3333335000000002"/>
    <n v="5"/>
    <x v="0"/>
    <n v="-0.57986090000000001"/>
    <x v="379"/>
    <x v="0"/>
    <x v="0"/>
    <n v="10000"/>
    <n v="10000"/>
    <x v="26"/>
    <x v="26"/>
    <x v="5"/>
    <x v="5"/>
    <x v="2"/>
  </r>
  <r>
    <n v="3079"/>
    <x v="2"/>
    <s v="31-40 years"/>
    <n v="36"/>
    <x v="0"/>
    <x v="3"/>
    <x v="3"/>
    <s v="Normal"/>
    <n v="-8.1994660000000007E-3"/>
    <x v="6"/>
    <x v="0"/>
    <n v="0.58948003999999998"/>
    <n v="12"/>
    <s v="Moderate"/>
    <n v="4.6988415999999998E-2"/>
    <n v="13.333333"/>
    <n v="13"/>
    <x v="1"/>
    <n v="0.20942299"/>
    <x v="387"/>
    <x v="0"/>
    <x v="0"/>
    <n v="7500"/>
    <n v="7500"/>
    <x v="13"/>
    <x v="13"/>
    <x v="5"/>
    <x v="5"/>
    <x v="2"/>
  </r>
  <r>
    <n v="3080"/>
    <x v="2"/>
    <s v="21-30 years"/>
    <n v="26"/>
    <x v="0"/>
    <x v="0"/>
    <x v="1"/>
    <s v="Normal"/>
    <n v="-0.81237789999999999"/>
    <x v="2"/>
    <x v="1"/>
    <n v="-0.9678099"/>
    <n v="22"/>
    <s v="Severe"/>
    <n v="1.0101753"/>
    <n v="8.6666670000000003"/>
    <n v="9"/>
    <x v="0"/>
    <n v="-0.25667083000000002"/>
    <x v="388"/>
    <x v="0"/>
    <x v="0"/>
    <n v="8333.3330000000005"/>
    <n v="8333"/>
    <x v="20"/>
    <x v="20"/>
    <x v="5"/>
    <x v="5"/>
    <x v="2"/>
  </r>
  <r>
    <n v="3081"/>
    <x v="2"/>
    <s v="21-30 years"/>
    <n v="30"/>
    <x v="0"/>
    <x v="3"/>
    <x v="8"/>
    <s v="Normal"/>
    <n v="-1.0134224999999999"/>
    <x v="0"/>
    <x v="0"/>
    <n v="5.496318E-3"/>
    <n v="10"/>
    <s v="Normal"/>
    <n v="-0.14564899000000001"/>
    <n v="7.3333335000000002"/>
    <n v="7"/>
    <x v="0"/>
    <n v="-0.38452505999999997"/>
    <x v="389"/>
    <x v="0"/>
    <x v="0"/>
    <n v="3750"/>
    <n v="3750"/>
    <x v="15"/>
    <x v="15"/>
    <x v="3"/>
    <x v="3"/>
    <x v="0"/>
  </r>
  <r>
    <n v="3082"/>
    <x v="2"/>
    <s v="31-40 years"/>
    <n v="34"/>
    <x v="0"/>
    <x v="3"/>
    <x v="8"/>
    <s v="Normal"/>
    <n v="-1.0134224999999999"/>
    <x v="0"/>
    <x v="0"/>
    <n v="5.496318E-3"/>
    <n v="18"/>
    <s v="Moderate"/>
    <n v="0.62490060000000003"/>
    <n v="10"/>
    <n v="10"/>
    <x v="0"/>
    <n v="-0.12767518999999999"/>
    <x v="390"/>
    <x v="0"/>
    <x v="0"/>
    <n v="5000"/>
    <n v="5000"/>
    <x v="2"/>
    <x v="2"/>
    <x v="1"/>
    <x v="1"/>
    <x v="1"/>
  </r>
  <r>
    <n v="3083"/>
    <x v="2"/>
    <s v="31-40 years"/>
    <n v="31"/>
    <x v="1"/>
    <x v="0"/>
    <x v="1"/>
    <s v="Normal"/>
    <n v="-0.81237789999999999"/>
    <x v="4"/>
    <x v="0"/>
    <n v="0.20015757000000001"/>
    <n v="0"/>
    <s v="Normal"/>
    <n v="-1.1088359000000001"/>
    <n v="5.3333335000000002"/>
    <n v="5"/>
    <x v="0"/>
    <n v="-0.57368540000000001"/>
    <x v="391"/>
    <x v="0"/>
    <x v="0"/>
    <n v="6000"/>
    <n v="6000"/>
    <x v="6"/>
    <x v="6"/>
    <x v="2"/>
    <x v="2"/>
    <x v="2"/>
  </r>
  <r>
    <n v="3084"/>
    <x v="2"/>
    <s v="31-40 years"/>
    <n v="33"/>
    <x v="0"/>
    <x v="4"/>
    <x v="4"/>
    <s v="Normal"/>
    <n v="-0.61133329999999997"/>
    <x v="0"/>
    <x v="0"/>
    <n v="5.496318E-3"/>
    <n v="14"/>
    <s v="Moderate"/>
    <n v="0.23962580999999999"/>
    <n v="10"/>
    <n v="10"/>
    <x v="0"/>
    <n v="-0.122070394"/>
    <x v="240"/>
    <x v="0"/>
    <x v="0"/>
    <n v="2500"/>
    <n v="2500"/>
    <x v="12"/>
    <x v="12"/>
    <x v="4"/>
    <x v="4"/>
    <x v="0"/>
  </r>
  <r>
    <n v="3085"/>
    <x v="2"/>
    <s v="21-30 years"/>
    <n v="30"/>
    <x v="0"/>
    <x v="3"/>
    <x v="3"/>
    <s v="Normal"/>
    <n v="-8.1994660000000007E-3"/>
    <x v="0"/>
    <x v="0"/>
    <n v="5.496318E-3"/>
    <n v="10"/>
    <s v="Normal"/>
    <n v="-0.14564899000000001"/>
    <n v="10.666667"/>
    <n v="11"/>
    <x v="1"/>
    <n v="-4.9450710000000002E-2"/>
    <x v="392"/>
    <x v="0"/>
    <x v="0"/>
    <n v="5000"/>
    <n v="5000"/>
    <x v="2"/>
    <x v="2"/>
    <x v="1"/>
    <x v="1"/>
    <x v="1"/>
  </r>
  <r>
    <n v="3086"/>
    <x v="2"/>
    <s v="31-40 years"/>
    <n v="40"/>
    <x v="0"/>
    <x v="3"/>
    <x v="6"/>
    <s v="Moderate"/>
    <n v="0.59493434000000001"/>
    <x v="11"/>
    <x v="2"/>
    <n v="1.3681251000000001"/>
    <n v="24"/>
    <s v="Severe"/>
    <n v="1.2028128"/>
    <n v="22"/>
    <n v="22"/>
    <x v="2"/>
    <n v="1.0552907"/>
    <x v="393"/>
    <x v="2"/>
    <x v="2"/>
    <n v="4000"/>
    <n v="4000"/>
    <x v="7"/>
    <x v="7"/>
    <x v="3"/>
    <x v="3"/>
    <x v="0"/>
  </r>
  <r>
    <n v="3087"/>
    <x v="2"/>
    <s v="31-40 years"/>
    <n v="40"/>
    <x v="0"/>
    <x v="0"/>
    <x v="8"/>
    <s v="Normal"/>
    <n v="-1.0134224999999999"/>
    <x v="4"/>
    <x v="0"/>
    <n v="0.20015757000000001"/>
    <n v="10"/>
    <s v="Normal"/>
    <n v="-0.14564899000000001"/>
    <n v="8"/>
    <n v="8"/>
    <x v="0"/>
    <n v="-0.31963795"/>
    <x v="355"/>
    <x v="0"/>
    <x v="0"/>
    <n v="5000"/>
    <n v="5000"/>
    <x v="2"/>
    <x v="2"/>
    <x v="1"/>
    <x v="1"/>
    <x v="1"/>
  </r>
  <r>
    <n v="3088"/>
    <x v="2"/>
    <s v="21-30 years"/>
    <n v="30"/>
    <x v="0"/>
    <x v="0"/>
    <x v="3"/>
    <s v="Normal"/>
    <n v="-8.1994660000000007E-3"/>
    <x v="15"/>
    <x v="2"/>
    <n v="1.7574476000000001"/>
    <n v="22"/>
    <s v="Severe"/>
    <n v="1.0101753"/>
    <n v="20.666665999999999"/>
    <n v="21"/>
    <x v="2"/>
    <n v="0.91980784999999998"/>
    <x v="394"/>
    <x v="2"/>
    <x v="2"/>
    <n v="5000"/>
    <n v="5000"/>
    <x v="2"/>
    <x v="2"/>
    <x v="1"/>
    <x v="1"/>
    <x v="1"/>
  </r>
  <r>
    <n v="3089"/>
    <x v="2"/>
    <s v="31-40 years"/>
    <n v="35"/>
    <x v="0"/>
    <x v="0"/>
    <x v="0"/>
    <s v="Normal"/>
    <n v="-0.41028870000000001"/>
    <x v="4"/>
    <x v="0"/>
    <n v="0.20015757000000001"/>
    <n v="10"/>
    <s v="Normal"/>
    <n v="-0.14564899000000001"/>
    <n v="10"/>
    <n v="10"/>
    <x v="0"/>
    <n v="-0.11859337"/>
    <x v="395"/>
    <x v="0"/>
    <x v="0"/>
    <n v="1500"/>
    <n v="1500"/>
    <x v="8"/>
    <x v="8"/>
    <x v="0"/>
    <x v="0"/>
    <x v="0"/>
  </r>
  <r>
    <n v="3090"/>
    <x v="2"/>
    <s v="31-40 years"/>
    <n v="34"/>
    <x v="0"/>
    <x v="3"/>
    <x v="4"/>
    <s v="Normal"/>
    <n v="-0.61133329999999997"/>
    <x v="17"/>
    <x v="0"/>
    <n v="0.78414130000000004"/>
    <n v="12"/>
    <s v="Moderate"/>
    <n v="4.6988415999999998E-2"/>
    <n v="12"/>
    <n v="12"/>
    <x v="1"/>
    <n v="7.3265469999999999E-2"/>
    <x v="396"/>
    <x v="0"/>
    <x v="0"/>
    <n v="3333.3332999999998"/>
    <n v="3333"/>
    <x v="10"/>
    <x v="10"/>
    <x v="3"/>
    <x v="3"/>
    <x v="0"/>
  </r>
  <r>
    <n v="3091"/>
    <x v="2"/>
    <s v="31-40 years"/>
    <n v="35"/>
    <x v="0"/>
    <x v="4"/>
    <x v="4"/>
    <s v="Normal"/>
    <n v="-0.61133329999999997"/>
    <x v="1"/>
    <x v="1"/>
    <n v="-0.77314866000000004"/>
    <n v="4"/>
    <s v="Normal"/>
    <n v="-0.72356116999999998"/>
    <n v="4"/>
    <n v="4"/>
    <x v="0"/>
    <n v="-0.70268105999999997"/>
    <x v="39"/>
    <x v="1"/>
    <x v="1"/>
    <n v="2857.1428000000001"/>
    <n v="2857"/>
    <x v="77"/>
    <x v="77"/>
    <x v="4"/>
    <x v="4"/>
    <x v="0"/>
  </r>
  <r>
    <n v="3092"/>
    <x v="2"/>
    <s v="31-40 years"/>
    <n v="37"/>
    <x v="0"/>
    <x v="3"/>
    <x v="8"/>
    <s v="Normal"/>
    <n v="-1.0134224999999999"/>
    <x v="10"/>
    <x v="1"/>
    <n v="-1.1624711999999999"/>
    <n v="0"/>
    <s v="Normal"/>
    <n v="-1.1088359000000001"/>
    <n v="0"/>
    <n v="0"/>
    <x v="0"/>
    <n v="-1.0949099"/>
    <x v="72"/>
    <x v="1"/>
    <x v="1"/>
    <n v="7500"/>
    <n v="7500"/>
    <x v="13"/>
    <x v="13"/>
    <x v="5"/>
    <x v="5"/>
    <x v="2"/>
  </r>
  <r>
    <n v="3093"/>
    <x v="2"/>
    <s v="21-30 years"/>
    <n v="29"/>
    <x v="1"/>
    <x v="1"/>
    <x v="8"/>
    <s v="Normal"/>
    <n v="-1.0134224999999999"/>
    <x v="10"/>
    <x v="1"/>
    <n v="-1.1624711999999999"/>
    <n v="4"/>
    <s v="Normal"/>
    <n v="-0.72356116999999998"/>
    <n v="1.3333333999999999"/>
    <n v="1"/>
    <x v="0"/>
    <n v="-0.96648495999999995"/>
    <x v="397"/>
    <x v="1"/>
    <x v="1"/>
    <n v="6250"/>
    <n v="6250"/>
    <x v="27"/>
    <x v="27"/>
    <x v="2"/>
    <x v="2"/>
    <x v="2"/>
  </r>
  <r>
    <n v="3094"/>
    <x v="2"/>
    <s v="31-40 years"/>
    <n v="37"/>
    <x v="0"/>
    <x v="3"/>
    <x v="8"/>
    <s v="Normal"/>
    <n v="-1.0134224999999999"/>
    <x v="1"/>
    <x v="1"/>
    <n v="-0.77314866000000004"/>
    <n v="6"/>
    <s v="Normal"/>
    <n v="-0.53092379999999995"/>
    <n v="3.3333333000000001"/>
    <n v="3"/>
    <x v="0"/>
    <n v="-0.77249829999999997"/>
    <x v="398"/>
    <x v="1"/>
    <x v="1"/>
    <n v="10000"/>
    <n v="10000"/>
    <x v="26"/>
    <x v="26"/>
    <x v="5"/>
    <x v="5"/>
    <x v="2"/>
  </r>
  <r>
    <n v="3095"/>
    <x v="2"/>
    <s v="31-40 years"/>
    <n v="31"/>
    <x v="1"/>
    <x v="1"/>
    <x v="4"/>
    <s v="Normal"/>
    <n v="-0.61133329999999997"/>
    <x v="1"/>
    <x v="1"/>
    <n v="-0.77314866000000004"/>
    <n v="4"/>
    <s v="Normal"/>
    <n v="-0.72356116999999998"/>
    <n v="4"/>
    <n v="4"/>
    <x v="0"/>
    <n v="-0.70268105999999997"/>
    <x v="39"/>
    <x v="1"/>
    <x v="1"/>
    <n v="11666.666999999999"/>
    <n v="11667"/>
    <x v="25"/>
    <x v="25"/>
    <x v="5"/>
    <x v="5"/>
    <x v="2"/>
  </r>
  <r>
    <n v="3096"/>
    <x v="2"/>
    <s v="21-30 years"/>
    <n v="30"/>
    <x v="1"/>
    <x v="1"/>
    <x v="4"/>
    <s v="Normal"/>
    <n v="-0.61133329999999997"/>
    <x v="1"/>
    <x v="1"/>
    <n v="-0.77314866000000004"/>
    <n v="6"/>
    <s v="Normal"/>
    <n v="-0.53092379999999995"/>
    <n v="4.6666664999999998"/>
    <n v="5"/>
    <x v="0"/>
    <n v="-0.63846855999999996"/>
    <x v="75"/>
    <x v="1"/>
    <x v="1"/>
    <n v="8333.3330000000005"/>
    <n v="8333"/>
    <x v="20"/>
    <x v="20"/>
    <x v="5"/>
    <x v="5"/>
    <x v="2"/>
  </r>
  <r>
    <n v="3097"/>
    <x v="2"/>
    <s v="21-30 years"/>
    <n v="27"/>
    <x v="0"/>
    <x v="3"/>
    <x v="4"/>
    <s v="Normal"/>
    <n v="-0.61133329999999997"/>
    <x v="0"/>
    <x v="0"/>
    <n v="5.496318E-3"/>
    <n v="12"/>
    <s v="Moderate"/>
    <n v="4.6988415999999998E-2"/>
    <n v="9.3333329999999997"/>
    <n v="9"/>
    <x v="0"/>
    <n v="-0.18628285999999999"/>
    <x v="288"/>
    <x v="0"/>
    <x v="0"/>
    <n v="3000"/>
    <n v="3000"/>
    <x v="22"/>
    <x v="22"/>
    <x v="3"/>
    <x v="3"/>
    <x v="0"/>
  </r>
  <r>
    <n v="3098"/>
    <x v="2"/>
    <s v="21-30 years"/>
    <n v="28"/>
    <x v="0"/>
    <x v="3"/>
    <x v="0"/>
    <s v="Normal"/>
    <n v="-0.41028870000000001"/>
    <x v="6"/>
    <x v="0"/>
    <n v="0.58948003999999998"/>
    <n v="10"/>
    <s v="Normal"/>
    <n v="-0.14564899000000001"/>
    <n v="11.333333"/>
    <n v="11"/>
    <x v="1"/>
    <n v="1.1180788000000001E-2"/>
    <x v="399"/>
    <x v="0"/>
    <x v="0"/>
    <n v="5000"/>
    <n v="5000"/>
    <x v="2"/>
    <x v="2"/>
    <x v="1"/>
    <x v="1"/>
    <x v="1"/>
  </r>
  <r>
    <n v="3099"/>
    <x v="2"/>
    <s v="31-40 years"/>
    <n v="34"/>
    <x v="0"/>
    <x v="0"/>
    <x v="4"/>
    <s v="Normal"/>
    <n v="-0.61133329999999997"/>
    <x v="7"/>
    <x v="1"/>
    <n v="-0.38382620000000001"/>
    <n v="6"/>
    <s v="Normal"/>
    <n v="-0.53092379999999995"/>
    <n v="6"/>
    <n v="6"/>
    <x v="0"/>
    <n v="-0.50869439999999999"/>
    <x v="175"/>
    <x v="0"/>
    <x v="0"/>
    <n v="5000"/>
    <n v="5000"/>
    <x v="2"/>
    <x v="2"/>
    <x v="1"/>
    <x v="1"/>
    <x v="1"/>
  </r>
  <r>
    <n v="3100"/>
    <x v="2"/>
    <s v="41-50 years"/>
    <n v="45"/>
    <x v="1"/>
    <x v="0"/>
    <x v="8"/>
    <s v="Normal"/>
    <n v="-1.0134224999999999"/>
    <x v="5"/>
    <x v="1"/>
    <n v="-0.57848745999999995"/>
    <n v="14"/>
    <s v="Moderate"/>
    <n v="0.23962580999999999"/>
    <n v="6.6666664999999998"/>
    <n v="7"/>
    <x v="0"/>
    <n v="-0.45076137999999999"/>
    <x v="365"/>
    <x v="0"/>
    <x v="0"/>
    <n v="5000"/>
    <n v="5000"/>
    <x v="2"/>
    <x v="2"/>
    <x v="1"/>
    <x v="1"/>
    <x v="1"/>
  </r>
  <r>
    <n v="3101"/>
    <x v="2"/>
    <s v="31-40 years"/>
    <n v="32"/>
    <x v="0"/>
    <x v="3"/>
    <x v="4"/>
    <s v="Normal"/>
    <n v="-0.61133329999999997"/>
    <x v="4"/>
    <x v="0"/>
    <n v="0.20015757000000001"/>
    <n v="4"/>
    <s v="Normal"/>
    <n v="-0.72356116999999998"/>
    <n v="7.3333335000000002"/>
    <n v="7"/>
    <x v="0"/>
    <n v="-0.37824564999999999"/>
    <x v="400"/>
    <x v="0"/>
    <x v="0"/>
    <n v="11666.666999999999"/>
    <n v="11667"/>
    <x v="25"/>
    <x v="25"/>
    <x v="5"/>
    <x v="5"/>
    <x v="2"/>
  </r>
  <r>
    <n v="3102"/>
    <x v="2"/>
    <s v="31-40 years"/>
    <n v="35"/>
    <x v="0"/>
    <x v="0"/>
    <x v="4"/>
    <s v="Normal"/>
    <n v="-0.61133329999999997"/>
    <x v="1"/>
    <x v="1"/>
    <n v="-0.77314866000000004"/>
    <n v="4"/>
    <s v="Normal"/>
    <n v="-0.72356116999999998"/>
    <n v="4"/>
    <n v="4"/>
    <x v="0"/>
    <n v="-0.70268105999999997"/>
    <x v="39"/>
    <x v="1"/>
    <x v="1"/>
    <n v="3750"/>
    <n v="3750"/>
    <x v="15"/>
    <x v="15"/>
    <x v="3"/>
    <x v="3"/>
    <x v="0"/>
  </r>
  <r>
    <n v="3103"/>
    <x v="2"/>
    <s v="31-40 years"/>
    <n v="40"/>
    <x v="0"/>
    <x v="3"/>
    <x v="8"/>
    <s v="Normal"/>
    <n v="-1.0134224999999999"/>
    <x v="1"/>
    <x v="1"/>
    <n v="-0.77314866000000004"/>
    <n v="6"/>
    <s v="Normal"/>
    <n v="-0.53092379999999995"/>
    <n v="3.3333333000000001"/>
    <n v="3"/>
    <x v="0"/>
    <n v="-0.77249829999999997"/>
    <x v="398"/>
    <x v="1"/>
    <x v="1"/>
    <n v="5000"/>
    <n v="5000"/>
    <x v="2"/>
    <x v="2"/>
    <x v="1"/>
    <x v="1"/>
    <x v="1"/>
  </r>
  <r>
    <n v="3104"/>
    <x v="2"/>
    <s v="31-40 years"/>
    <n v="36"/>
    <x v="0"/>
    <x v="0"/>
    <x v="3"/>
    <s v="Normal"/>
    <n v="-8.1994660000000007E-3"/>
    <x v="9"/>
    <x v="2"/>
    <n v="0.97880255999999999"/>
    <n v="20"/>
    <s v="Moderate"/>
    <n v="0.81753799999999999"/>
    <n v="17.333334000000001"/>
    <n v="17"/>
    <x v="1"/>
    <n v="0.59604703999999997"/>
    <x v="401"/>
    <x v="2"/>
    <x v="2"/>
    <n v="5000"/>
    <n v="5000"/>
    <x v="2"/>
    <x v="2"/>
    <x v="1"/>
    <x v="1"/>
    <x v="1"/>
  </r>
  <r>
    <n v="3105"/>
    <x v="2"/>
    <s v="21-30 years"/>
    <n v="30"/>
    <x v="1"/>
    <x v="1"/>
    <x v="15"/>
    <s v="Extremely Severe"/>
    <n v="2.2032911999999998"/>
    <x v="16"/>
    <x v="3"/>
    <n v="2.1467700000000001"/>
    <n v="30"/>
    <s v="Severe"/>
    <n v="1.7807249999999999"/>
    <n v="32"/>
    <n v="32"/>
    <x v="3"/>
    <n v="2.0435952999999998"/>
    <x v="402"/>
    <x v="3"/>
    <x v="3"/>
    <n v="5500"/>
    <n v="5500"/>
    <x v="47"/>
    <x v="47"/>
    <x v="1"/>
    <x v="1"/>
    <x v="1"/>
  </r>
  <r>
    <n v="3106"/>
    <x v="2"/>
    <s v="31-40 years"/>
    <n v="34"/>
    <x v="0"/>
    <x v="3"/>
    <x v="3"/>
    <s v="Normal"/>
    <n v="-8.1994660000000007E-3"/>
    <x v="15"/>
    <x v="2"/>
    <n v="1.7574476000000001"/>
    <n v="20"/>
    <s v="Moderate"/>
    <n v="0.81753799999999999"/>
    <n v="20"/>
    <n v="20"/>
    <x v="1"/>
    <n v="0.85559540000000001"/>
    <x v="403"/>
    <x v="2"/>
    <x v="2"/>
    <n v="5000"/>
    <n v="5000"/>
    <x v="2"/>
    <x v="2"/>
    <x v="1"/>
    <x v="1"/>
    <x v="1"/>
  </r>
  <r>
    <n v="3107"/>
    <x v="2"/>
    <s v="41-50 years"/>
    <n v="43"/>
    <x v="0"/>
    <x v="0"/>
    <x v="4"/>
    <s v="Normal"/>
    <n v="-0.61133329999999997"/>
    <x v="1"/>
    <x v="1"/>
    <n v="-0.77314866000000004"/>
    <n v="14"/>
    <s v="Moderate"/>
    <n v="0.23962580999999999"/>
    <n v="7.3333335000000002"/>
    <n v="7"/>
    <x v="0"/>
    <n v="-0.38161869999999998"/>
    <x v="404"/>
    <x v="0"/>
    <x v="0"/>
    <n v="10000"/>
    <n v="10000"/>
    <x v="26"/>
    <x v="26"/>
    <x v="5"/>
    <x v="5"/>
    <x v="2"/>
  </r>
  <r>
    <n v="3108"/>
    <x v="2"/>
    <s v="21-30 years"/>
    <n v="27"/>
    <x v="1"/>
    <x v="3"/>
    <x v="4"/>
    <s v="Normal"/>
    <n v="-0.61133329999999997"/>
    <x v="0"/>
    <x v="0"/>
    <n v="5.496318E-3"/>
    <n v="16"/>
    <s v="Moderate"/>
    <n v="0.43226320000000001"/>
    <n v="10.666667"/>
    <n v="11"/>
    <x v="1"/>
    <n v="-5.7857930000000002E-2"/>
    <x v="405"/>
    <x v="0"/>
    <x v="0"/>
    <n v="4375"/>
    <n v="4375"/>
    <x v="78"/>
    <x v="78"/>
    <x v="3"/>
    <x v="3"/>
    <x v="0"/>
  </r>
  <r>
    <n v="3109"/>
    <x v="2"/>
    <s v="21-30 years"/>
    <n v="30"/>
    <x v="1"/>
    <x v="3"/>
    <x v="0"/>
    <s v="Normal"/>
    <n v="-0.41028870000000001"/>
    <x v="8"/>
    <x v="1"/>
    <n v="-0.18916494"/>
    <n v="8"/>
    <s v="Normal"/>
    <n v="-0.33828637"/>
    <n v="8"/>
    <n v="8"/>
    <x v="0"/>
    <n v="-0.31258000000000002"/>
    <x v="305"/>
    <x v="0"/>
    <x v="0"/>
    <n v="7500"/>
    <n v="7500"/>
    <x v="13"/>
    <x v="13"/>
    <x v="5"/>
    <x v="5"/>
    <x v="2"/>
  </r>
  <r>
    <n v="3110"/>
    <x v="2"/>
    <s v="21-30 years"/>
    <n v="25"/>
    <x v="0"/>
    <x v="3"/>
    <x v="7"/>
    <s v="Moderate"/>
    <n v="0.19284514999999999"/>
    <x v="15"/>
    <x v="2"/>
    <n v="1.7574476000000001"/>
    <n v="26"/>
    <s v="Severe"/>
    <n v="1.3954502"/>
    <n v="22.666665999999999"/>
    <n v="23"/>
    <x v="2"/>
    <n v="1.1152476"/>
    <x v="406"/>
    <x v="2"/>
    <x v="2"/>
    <n v="5000"/>
    <n v="5000"/>
    <x v="2"/>
    <x v="2"/>
    <x v="1"/>
    <x v="1"/>
    <x v="1"/>
  </r>
  <r>
    <n v="3111"/>
    <x v="2"/>
    <s v="31-40 years"/>
    <n v="36"/>
    <x v="0"/>
    <x v="0"/>
    <x v="4"/>
    <s v="Normal"/>
    <n v="-0.61133329999999997"/>
    <x v="5"/>
    <x v="1"/>
    <n v="-0.57848745999999995"/>
    <n v="4"/>
    <s v="Normal"/>
    <n v="-0.72356116999999998"/>
    <n v="4.6666664999999998"/>
    <n v="5"/>
    <x v="0"/>
    <n v="-0.63779395999999999"/>
    <x v="67"/>
    <x v="1"/>
    <x v="1"/>
    <n v="6000"/>
    <n v="6000"/>
    <x v="6"/>
    <x v="6"/>
    <x v="2"/>
    <x v="2"/>
    <x v="2"/>
  </r>
  <r>
    <n v="3112"/>
    <x v="2"/>
    <s v="31-40 years"/>
    <n v="34"/>
    <x v="1"/>
    <x v="3"/>
    <x v="2"/>
    <s v="Normal"/>
    <n v="-0.20924408999999999"/>
    <x v="1"/>
    <x v="1"/>
    <n v="-0.77314866000000004"/>
    <n v="12"/>
    <s v="Moderate"/>
    <n v="4.6988415999999998E-2"/>
    <n v="8"/>
    <n v="8"/>
    <x v="0"/>
    <n v="-0.31180142999999999"/>
    <x v="407"/>
    <x v="0"/>
    <x v="0"/>
    <n v="5000"/>
    <n v="5000"/>
    <x v="2"/>
    <x v="2"/>
    <x v="1"/>
    <x v="1"/>
    <x v="1"/>
  </r>
  <r>
    <n v="3113"/>
    <x v="2"/>
    <s v="21-30 years"/>
    <n v="27"/>
    <x v="1"/>
    <x v="1"/>
    <x v="3"/>
    <s v="Normal"/>
    <n v="-8.1994660000000007E-3"/>
    <x v="5"/>
    <x v="1"/>
    <n v="-0.57848745999999995"/>
    <n v="0"/>
    <s v="Normal"/>
    <n v="-1.1088359000000001"/>
    <n v="5.3333335000000002"/>
    <n v="5"/>
    <x v="0"/>
    <n v="-0.56517430000000002"/>
    <x v="7"/>
    <x v="0"/>
    <x v="0"/>
    <n v="5000"/>
    <n v="5000"/>
    <x v="2"/>
    <x v="2"/>
    <x v="1"/>
    <x v="1"/>
    <x v="1"/>
  </r>
  <r>
    <n v="3114"/>
    <x v="2"/>
    <s v="21-30 years"/>
    <n v="30"/>
    <x v="1"/>
    <x v="3"/>
    <x v="8"/>
    <s v="Normal"/>
    <n v="-1.0134224999999999"/>
    <x v="1"/>
    <x v="1"/>
    <n v="-0.77314866000000004"/>
    <n v="2"/>
    <s v="Normal"/>
    <n v="-0.91619854999999994"/>
    <n v="2"/>
    <n v="2"/>
    <x v="0"/>
    <n v="-0.90092324999999995"/>
    <x v="78"/>
    <x v="1"/>
    <x v="1"/>
    <n v="5833.3334999999997"/>
    <n v="5833"/>
    <x v="30"/>
    <x v="30"/>
    <x v="1"/>
    <x v="1"/>
    <x v="1"/>
  </r>
  <r>
    <n v="3115"/>
    <x v="2"/>
    <s v="41-50 years"/>
    <n v="48"/>
    <x v="1"/>
    <x v="2"/>
    <x v="8"/>
    <s v="Normal"/>
    <n v="-1.0134224999999999"/>
    <x v="2"/>
    <x v="1"/>
    <n v="-0.9678099"/>
    <n v="4"/>
    <s v="Normal"/>
    <n v="-0.72356116999999998"/>
    <n v="2"/>
    <n v="2"/>
    <x v="0"/>
    <n v="-0.90159785999999997"/>
    <x v="408"/>
    <x v="1"/>
    <x v="1"/>
    <n v="10000"/>
    <n v="10000"/>
    <x v="26"/>
    <x v="26"/>
    <x v="5"/>
    <x v="5"/>
    <x v="2"/>
  </r>
  <r>
    <n v="3116"/>
    <x v="2"/>
    <s v="41-50 years"/>
    <n v="42"/>
    <x v="1"/>
    <x v="1"/>
    <x v="8"/>
    <s v="Normal"/>
    <n v="-1.0134224999999999"/>
    <x v="2"/>
    <x v="1"/>
    <n v="-0.9678099"/>
    <n v="2"/>
    <s v="Normal"/>
    <n v="-0.91619854999999994"/>
    <n v="1.3333333999999999"/>
    <n v="1"/>
    <x v="0"/>
    <n v="-0.96581030000000001"/>
    <x v="409"/>
    <x v="1"/>
    <x v="1"/>
    <n v="7500"/>
    <n v="7500"/>
    <x v="13"/>
    <x v="13"/>
    <x v="5"/>
    <x v="5"/>
    <x v="2"/>
  </r>
  <r>
    <n v="3117"/>
    <x v="2"/>
    <s v="41-50 years"/>
    <n v="42"/>
    <x v="0"/>
    <x v="3"/>
    <x v="1"/>
    <s v="Normal"/>
    <n v="-0.81237789999999999"/>
    <x v="7"/>
    <x v="1"/>
    <n v="-0.38382620000000001"/>
    <n v="4"/>
    <s v="Normal"/>
    <n v="-0.72356116999999998"/>
    <n v="4.6666664999999998"/>
    <n v="5"/>
    <x v="0"/>
    <n v="-0.63992179999999999"/>
    <x v="410"/>
    <x v="1"/>
    <x v="1"/>
    <n v="5000"/>
    <n v="5000"/>
    <x v="2"/>
    <x v="2"/>
    <x v="1"/>
    <x v="1"/>
    <x v="1"/>
  </r>
  <r>
    <n v="3118"/>
    <x v="2"/>
    <s v="21-30 years"/>
    <n v="27"/>
    <x v="0"/>
    <x v="3"/>
    <x v="4"/>
    <s v="Normal"/>
    <n v="-0.61133329999999997"/>
    <x v="7"/>
    <x v="1"/>
    <n v="-0.38382620000000001"/>
    <n v="4"/>
    <s v="Normal"/>
    <n v="-0.72356116999999998"/>
    <n v="5.3333335000000002"/>
    <n v="5"/>
    <x v="0"/>
    <n v="-0.5729069"/>
    <x v="49"/>
    <x v="0"/>
    <x v="0"/>
    <n v="6250"/>
    <n v="6250"/>
    <x v="27"/>
    <x v="27"/>
    <x v="2"/>
    <x v="2"/>
    <x v="2"/>
  </r>
  <r>
    <n v="3119"/>
    <x v="2"/>
    <s v="21-30 years"/>
    <n v="27"/>
    <x v="1"/>
    <x v="5"/>
    <x v="8"/>
    <s v="Normal"/>
    <n v="-1.0134224999999999"/>
    <x v="10"/>
    <x v="1"/>
    <n v="-1.1624711999999999"/>
    <n v="4"/>
    <s v="Normal"/>
    <n v="-0.72356116999999998"/>
    <n v="1.3333333999999999"/>
    <n v="1"/>
    <x v="0"/>
    <n v="-0.96648495999999995"/>
    <x v="397"/>
    <x v="1"/>
    <x v="1"/>
    <n v="10000"/>
    <n v="10000"/>
    <x v="26"/>
    <x v="26"/>
    <x v="5"/>
    <x v="5"/>
    <x v="2"/>
  </r>
  <r>
    <n v="3120"/>
    <x v="2"/>
    <s v="21-30 years"/>
    <n v="25"/>
    <x v="1"/>
    <x v="3"/>
    <x v="8"/>
    <s v="Normal"/>
    <n v="-1.0134224999999999"/>
    <x v="10"/>
    <x v="1"/>
    <n v="-1.1624711999999999"/>
    <n v="2"/>
    <s v="Normal"/>
    <n v="-0.91619854999999994"/>
    <n v="0.66666669999999995"/>
    <n v="1"/>
    <x v="0"/>
    <n v="-1.0306972999999999"/>
    <x v="68"/>
    <x v="1"/>
    <x v="1"/>
    <n v="10000"/>
    <n v="10000"/>
    <x v="26"/>
    <x v="26"/>
    <x v="5"/>
    <x v="5"/>
    <x v="2"/>
  </r>
  <r>
    <n v="3121"/>
    <x v="2"/>
    <s v="41-50 years"/>
    <n v="50"/>
    <x v="1"/>
    <x v="1"/>
    <x v="1"/>
    <s v="Normal"/>
    <n v="-0.81237789999999999"/>
    <x v="1"/>
    <x v="1"/>
    <n v="-0.77314866000000004"/>
    <n v="4"/>
    <s v="Normal"/>
    <n v="-0.72356116999999998"/>
    <n v="3.3333333000000001"/>
    <n v="3"/>
    <x v="0"/>
    <n v="-0.76969593999999997"/>
    <x v="52"/>
    <x v="1"/>
    <x v="1"/>
    <n v="10000"/>
    <n v="10000"/>
    <x v="26"/>
    <x v="26"/>
    <x v="5"/>
    <x v="5"/>
    <x v="2"/>
  </r>
  <r>
    <n v="3122"/>
    <x v="2"/>
    <s v="31-40 years"/>
    <n v="33"/>
    <x v="1"/>
    <x v="2"/>
    <x v="8"/>
    <s v="Normal"/>
    <n v="-1.0134224999999999"/>
    <x v="10"/>
    <x v="1"/>
    <n v="-1.1624711999999999"/>
    <n v="2"/>
    <s v="Normal"/>
    <n v="-0.91619854999999994"/>
    <n v="0.66666669999999995"/>
    <n v="1"/>
    <x v="0"/>
    <n v="-1.0306972999999999"/>
    <x v="68"/>
    <x v="1"/>
    <x v="1"/>
    <n v="10000"/>
    <n v="10000"/>
    <x v="26"/>
    <x v="26"/>
    <x v="5"/>
    <x v="5"/>
    <x v="2"/>
  </r>
  <r>
    <n v="3123"/>
    <x v="2"/>
    <s v="31-40 years"/>
    <n v="40"/>
    <x v="1"/>
    <x v="1"/>
    <x v="1"/>
    <s v="Normal"/>
    <n v="-0.81237789999999999"/>
    <x v="5"/>
    <x v="1"/>
    <n v="-0.57848745999999995"/>
    <n v="4"/>
    <s v="Normal"/>
    <n v="-0.72356116999999998"/>
    <n v="4"/>
    <n v="4"/>
    <x v="0"/>
    <n v="-0.70480883000000005"/>
    <x v="19"/>
    <x v="1"/>
    <x v="1"/>
    <n v="5000"/>
    <n v="5000"/>
    <x v="2"/>
    <x v="2"/>
    <x v="1"/>
    <x v="1"/>
    <x v="1"/>
  </r>
  <r>
    <n v="3124"/>
    <x v="2"/>
    <s v="21-30 years"/>
    <n v="27"/>
    <x v="1"/>
    <x v="3"/>
    <x v="8"/>
    <s v="Normal"/>
    <n v="-1.0134224999999999"/>
    <x v="2"/>
    <x v="1"/>
    <n v="-0.9678099"/>
    <n v="0"/>
    <s v="Normal"/>
    <n v="-1.1088359000000001"/>
    <n v="0.66666669999999995"/>
    <n v="1"/>
    <x v="0"/>
    <n v="-1.0300227"/>
    <x v="411"/>
    <x v="1"/>
    <x v="1"/>
    <n v="7500"/>
    <n v="7500"/>
    <x v="13"/>
    <x v="13"/>
    <x v="5"/>
    <x v="5"/>
    <x v="2"/>
  </r>
  <r>
    <n v="3125"/>
    <x v="2"/>
    <s v="31-40 years"/>
    <n v="36"/>
    <x v="1"/>
    <x v="1"/>
    <x v="1"/>
    <s v="Normal"/>
    <n v="-0.81237789999999999"/>
    <x v="2"/>
    <x v="1"/>
    <n v="-0.9678099"/>
    <n v="0"/>
    <s v="Normal"/>
    <n v="-1.1088359000000001"/>
    <n v="1.3333333999999999"/>
    <n v="1"/>
    <x v="0"/>
    <n v="-0.96300790000000003"/>
    <x v="17"/>
    <x v="1"/>
    <x v="1"/>
    <n v="6666.6665000000003"/>
    <n v="6667"/>
    <x v="21"/>
    <x v="21"/>
    <x v="2"/>
    <x v="2"/>
    <x v="2"/>
  </r>
  <r>
    <n v="3126"/>
    <x v="2"/>
    <s v="21-30 years"/>
    <n v="29"/>
    <x v="1"/>
    <x v="2"/>
    <x v="8"/>
    <s v="Normal"/>
    <n v="-1.0134224999999999"/>
    <x v="10"/>
    <x v="1"/>
    <n v="-1.1624711999999999"/>
    <n v="4"/>
    <s v="Normal"/>
    <n v="-0.72356116999999998"/>
    <n v="1.3333333999999999"/>
    <n v="1"/>
    <x v="0"/>
    <n v="-0.96648495999999995"/>
    <x v="397"/>
    <x v="1"/>
    <x v="1"/>
    <n v="8750"/>
    <n v="8750"/>
    <x v="57"/>
    <x v="57"/>
    <x v="5"/>
    <x v="5"/>
    <x v="2"/>
  </r>
  <r>
    <n v="3127"/>
    <x v="2"/>
    <s v="21-30 years"/>
    <n v="28"/>
    <x v="1"/>
    <x v="3"/>
    <x v="8"/>
    <s v="Normal"/>
    <n v="-1.0134224999999999"/>
    <x v="2"/>
    <x v="1"/>
    <n v="-0.9678099"/>
    <n v="2"/>
    <s v="Normal"/>
    <n v="-0.91619854999999994"/>
    <n v="1.3333333999999999"/>
    <n v="1"/>
    <x v="0"/>
    <n v="-0.96581030000000001"/>
    <x v="409"/>
    <x v="1"/>
    <x v="1"/>
    <n v="6666.6665000000003"/>
    <n v="6667"/>
    <x v="21"/>
    <x v="21"/>
    <x v="2"/>
    <x v="2"/>
    <x v="2"/>
  </r>
  <r>
    <n v="3128"/>
    <x v="2"/>
    <s v="31-40 years"/>
    <n v="35"/>
    <x v="1"/>
    <x v="1"/>
    <x v="8"/>
    <s v="Normal"/>
    <n v="-1.0134224999999999"/>
    <x v="2"/>
    <x v="1"/>
    <n v="-0.9678099"/>
    <n v="4"/>
    <s v="Normal"/>
    <n v="-0.72356116999999998"/>
    <n v="2"/>
    <n v="2"/>
    <x v="0"/>
    <n v="-0.90159785999999997"/>
    <x v="408"/>
    <x v="1"/>
    <x v="1"/>
    <n v="7500"/>
    <n v="7500"/>
    <x v="13"/>
    <x v="13"/>
    <x v="5"/>
    <x v="5"/>
    <x v="2"/>
  </r>
  <r>
    <n v="3129"/>
    <x v="2"/>
    <s v="31-40 years"/>
    <n v="35"/>
    <x v="1"/>
    <x v="1"/>
    <x v="8"/>
    <s v="Normal"/>
    <n v="-1.0134224999999999"/>
    <x v="1"/>
    <x v="1"/>
    <n v="-0.77314866000000004"/>
    <n v="4"/>
    <s v="Normal"/>
    <n v="-0.72356116999999998"/>
    <n v="2.6666666999999999"/>
    <n v="3"/>
    <x v="0"/>
    <n v="-0.83671074999999995"/>
    <x v="361"/>
    <x v="1"/>
    <x v="1"/>
    <n v="7500"/>
    <n v="7500"/>
    <x v="13"/>
    <x v="13"/>
    <x v="5"/>
    <x v="5"/>
    <x v="2"/>
  </r>
  <r>
    <n v="3130"/>
    <x v="2"/>
    <s v="31-40 years"/>
    <n v="40"/>
    <x v="0"/>
    <x v="1"/>
    <x v="4"/>
    <s v="Normal"/>
    <n v="-0.61133329999999997"/>
    <x v="5"/>
    <x v="1"/>
    <n v="-0.57848745999999995"/>
    <n v="4"/>
    <s v="Normal"/>
    <n v="-0.72356116999999998"/>
    <n v="4.6666664999999998"/>
    <n v="5"/>
    <x v="0"/>
    <n v="-0.63779395999999999"/>
    <x v="67"/>
    <x v="1"/>
    <x v="1"/>
    <n v="7500"/>
    <n v="7500"/>
    <x v="13"/>
    <x v="13"/>
    <x v="5"/>
    <x v="5"/>
    <x v="2"/>
  </r>
  <r>
    <n v="3131"/>
    <x v="2"/>
    <s v="21-30 years"/>
    <n v="30"/>
    <x v="1"/>
    <x v="1"/>
    <x v="8"/>
    <s v="Normal"/>
    <n v="-1.0134224999999999"/>
    <x v="2"/>
    <x v="1"/>
    <n v="-0.9678099"/>
    <n v="2"/>
    <s v="Normal"/>
    <n v="-0.91619854999999994"/>
    <n v="1.3333333999999999"/>
    <n v="1"/>
    <x v="0"/>
    <n v="-0.96581030000000001"/>
    <x v="409"/>
    <x v="1"/>
    <x v="1"/>
    <n v="5000"/>
    <n v="5000"/>
    <x v="2"/>
    <x v="2"/>
    <x v="1"/>
    <x v="1"/>
    <x v="1"/>
  </r>
  <r>
    <n v="3132"/>
    <x v="2"/>
    <s v="31-40 years"/>
    <n v="33"/>
    <x v="1"/>
    <x v="1"/>
    <x v="1"/>
    <s v="Normal"/>
    <n v="-0.81237789999999999"/>
    <x v="2"/>
    <x v="1"/>
    <n v="-0.9678099"/>
    <n v="4"/>
    <s v="Normal"/>
    <n v="-0.72356116999999998"/>
    <n v="2.6666666999999999"/>
    <n v="3"/>
    <x v="0"/>
    <n v="-0.83458299999999996"/>
    <x v="77"/>
    <x v="1"/>
    <x v="1"/>
    <n v="8750"/>
    <n v="8750"/>
    <x v="57"/>
    <x v="57"/>
    <x v="5"/>
    <x v="5"/>
    <x v="2"/>
  </r>
  <r>
    <n v="3133"/>
    <x v="2"/>
    <s v="31-40 years"/>
    <n v="35"/>
    <x v="1"/>
    <x v="1"/>
    <x v="8"/>
    <s v="Normal"/>
    <n v="-1.0134224999999999"/>
    <x v="1"/>
    <x v="1"/>
    <n v="-0.77314866000000004"/>
    <n v="2"/>
    <s v="Normal"/>
    <n v="-0.91619854999999994"/>
    <n v="2"/>
    <n v="2"/>
    <x v="0"/>
    <n v="-0.90092324999999995"/>
    <x v="78"/>
    <x v="1"/>
    <x v="1"/>
    <n v="8333.3330000000005"/>
    <n v="8333"/>
    <x v="20"/>
    <x v="20"/>
    <x v="5"/>
    <x v="5"/>
    <x v="2"/>
  </r>
  <r>
    <n v="3134"/>
    <x v="2"/>
    <s v="31-40 years"/>
    <n v="36"/>
    <x v="1"/>
    <x v="1"/>
    <x v="1"/>
    <s v="Normal"/>
    <n v="-0.81237789999999999"/>
    <x v="2"/>
    <x v="1"/>
    <n v="-0.9678099"/>
    <n v="4"/>
    <s v="Normal"/>
    <n v="-0.72356116999999998"/>
    <n v="2.6666666999999999"/>
    <n v="3"/>
    <x v="0"/>
    <n v="-0.83458299999999996"/>
    <x v="77"/>
    <x v="1"/>
    <x v="1"/>
    <n v="13333.333000000001"/>
    <n v="13333"/>
    <x v="76"/>
    <x v="76"/>
    <x v="5"/>
    <x v="5"/>
    <x v="2"/>
  </r>
  <r>
    <n v="3135"/>
    <x v="2"/>
    <s v="31-40 years"/>
    <n v="38"/>
    <x v="1"/>
    <x v="1"/>
    <x v="8"/>
    <s v="Normal"/>
    <n v="-1.0134224999999999"/>
    <x v="10"/>
    <x v="1"/>
    <n v="-1.1624711999999999"/>
    <n v="4"/>
    <s v="Normal"/>
    <n v="-0.72356116999999998"/>
    <n v="1.3333333999999999"/>
    <n v="1"/>
    <x v="0"/>
    <n v="-0.96648495999999995"/>
    <x v="397"/>
    <x v="1"/>
    <x v="1"/>
    <n v="10000"/>
    <n v="10000"/>
    <x v="26"/>
    <x v="26"/>
    <x v="5"/>
    <x v="5"/>
    <x v="2"/>
  </r>
  <r>
    <n v="3136"/>
    <x v="2"/>
    <s v="41-50 years"/>
    <n v="43"/>
    <x v="1"/>
    <x v="1"/>
    <x v="1"/>
    <s v="Normal"/>
    <n v="-0.81237789999999999"/>
    <x v="7"/>
    <x v="1"/>
    <n v="-0.38382620000000001"/>
    <n v="6"/>
    <s v="Normal"/>
    <n v="-0.53092379999999995"/>
    <n v="5.3333335000000002"/>
    <n v="5"/>
    <x v="0"/>
    <n v="-0.57570929999999998"/>
    <x v="412"/>
    <x v="0"/>
    <x v="0"/>
    <n v="12500"/>
    <n v="12500"/>
    <x v="49"/>
    <x v="49"/>
    <x v="5"/>
    <x v="5"/>
    <x v="2"/>
  </r>
  <r>
    <n v="3137"/>
    <x v="2"/>
    <s v="41-50 years"/>
    <n v="50"/>
    <x v="1"/>
    <x v="1"/>
    <x v="8"/>
    <s v="Normal"/>
    <n v="-1.0134224999999999"/>
    <x v="5"/>
    <x v="1"/>
    <n v="-0.57848745999999995"/>
    <n v="4"/>
    <s v="Normal"/>
    <n v="-0.72356116999999998"/>
    <n v="3.3333333000000001"/>
    <n v="3"/>
    <x v="0"/>
    <n v="-0.7718237"/>
    <x v="347"/>
    <x v="1"/>
    <x v="1"/>
    <n v="6000"/>
    <n v="6000"/>
    <x v="6"/>
    <x v="6"/>
    <x v="2"/>
    <x v="2"/>
    <x v="2"/>
  </r>
  <r>
    <n v="3138"/>
    <x v="2"/>
    <s v="31-40 years"/>
    <n v="33"/>
    <x v="0"/>
    <x v="3"/>
    <x v="4"/>
    <s v="Normal"/>
    <n v="-0.61133329999999997"/>
    <x v="7"/>
    <x v="1"/>
    <n v="-0.38382620000000001"/>
    <n v="6"/>
    <s v="Normal"/>
    <n v="-0.53092379999999995"/>
    <n v="6"/>
    <n v="6"/>
    <x v="0"/>
    <n v="-0.50869439999999999"/>
    <x v="175"/>
    <x v="0"/>
    <x v="0"/>
    <n v="3333.3332999999998"/>
    <n v="3333"/>
    <x v="10"/>
    <x v="10"/>
    <x v="3"/>
    <x v="3"/>
    <x v="0"/>
  </r>
  <r>
    <n v="3139"/>
    <x v="2"/>
    <s v="31-40 years"/>
    <n v="38"/>
    <x v="1"/>
    <x v="1"/>
    <x v="1"/>
    <s v="Normal"/>
    <n v="-0.81237789999999999"/>
    <x v="1"/>
    <x v="1"/>
    <n v="-0.77314866000000004"/>
    <n v="4"/>
    <s v="Normal"/>
    <n v="-0.72356116999999998"/>
    <n v="3.3333333000000001"/>
    <n v="3"/>
    <x v="0"/>
    <n v="-0.76969593999999997"/>
    <x v="52"/>
    <x v="1"/>
    <x v="1"/>
    <n v="6666.6665000000003"/>
    <n v="6667"/>
    <x v="21"/>
    <x v="21"/>
    <x v="2"/>
    <x v="2"/>
    <x v="2"/>
  </r>
  <r>
    <n v="3140"/>
    <x v="2"/>
    <s v="21-30 years"/>
    <n v="30"/>
    <x v="1"/>
    <x v="3"/>
    <x v="8"/>
    <s v="Normal"/>
    <n v="-1.0134224999999999"/>
    <x v="10"/>
    <x v="1"/>
    <n v="-1.1624711999999999"/>
    <n v="2"/>
    <s v="Normal"/>
    <n v="-0.91619854999999994"/>
    <n v="0.66666669999999995"/>
    <n v="1"/>
    <x v="0"/>
    <n v="-1.0306972999999999"/>
    <x v="68"/>
    <x v="1"/>
    <x v="1"/>
    <n v="8000"/>
    <n v="8000"/>
    <x v="62"/>
    <x v="62"/>
    <x v="5"/>
    <x v="5"/>
    <x v="2"/>
  </r>
  <r>
    <n v="3141"/>
    <x v="2"/>
    <s v="21-30 years"/>
    <n v="30"/>
    <x v="1"/>
    <x v="1"/>
    <x v="1"/>
    <s v="Normal"/>
    <n v="-0.81237789999999999"/>
    <x v="2"/>
    <x v="1"/>
    <n v="-0.9678099"/>
    <n v="4"/>
    <s v="Normal"/>
    <n v="-0.72356116999999998"/>
    <n v="2.6666666999999999"/>
    <n v="3"/>
    <x v="0"/>
    <n v="-0.83458299999999996"/>
    <x v="77"/>
    <x v="1"/>
    <x v="1"/>
    <n v="10000"/>
    <n v="10000"/>
    <x v="26"/>
    <x v="26"/>
    <x v="5"/>
    <x v="5"/>
    <x v="2"/>
  </r>
  <r>
    <n v="3142"/>
    <x v="2"/>
    <s v="31-40 years"/>
    <n v="35"/>
    <x v="1"/>
    <x v="1"/>
    <x v="8"/>
    <s v="Normal"/>
    <n v="-1.0134224999999999"/>
    <x v="1"/>
    <x v="1"/>
    <n v="-0.77314866000000004"/>
    <n v="2"/>
    <s v="Normal"/>
    <n v="-0.91619854999999994"/>
    <n v="2"/>
    <n v="2"/>
    <x v="0"/>
    <n v="-0.90092324999999995"/>
    <x v="78"/>
    <x v="1"/>
    <x v="1"/>
    <n v="7500"/>
    <n v="7500"/>
    <x v="13"/>
    <x v="13"/>
    <x v="5"/>
    <x v="5"/>
    <x v="2"/>
  </r>
  <r>
    <n v="3143"/>
    <x v="2"/>
    <s v="51-60 years"/>
    <n v="55"/>
    <x v="1"/>
    <x v="1"/>
    <x v="8"/>
    <s v="Normal"/>
    <n v="-1.0134224999999999"/>
    <x v="7"/>
    <x v="1"/>
    <n v="-0.38382620000000001"/>
    <n v="4"/>
    <s v="Normal"/>
    <n v="-0.72356116999999998"/>
    <n v="4"/>
    <n v="4"/>
    <x v="0"/>
    <n v="-0.70693660000000003"/>
    <x v="352"/>
    <x v="1"/>
    <x v="1"/>
    <n v="8333.3330000000005"/>
    <n v="8333"/>
    <x v="20"/>
    <x v="20"/>
    <x v="5"/>
    <x v="5"/>
    <x v="2"/>
  </r>
  <r>
    <n v="3144"/>
    <x v="2"/>
    <s v="31-40 years"/>
    <n v="32"/>
    <x v="1"/>
    <x v="3"/>
    <x v="1"/>
    <s v="Normal"/>
    <n v="-0.81237789999999999"/>
    <x v="5"/>
    <x v="1"/>
    <n v="-0.57848745999999995"/>
    <n v="2"/>
    <s v="Normal"/>
    <n v="-0.91619854999999994"/>
    <n v="3.3333333000000001"/>
    <n v="3"/>
    <x v="0"/>
    <n v="-0.76902132999999995"/>
    <x v="46"/>
    <x v="1"/>
    <x v="1"/>
    <n v="13333.333000000001"/>
    <n v="13333"/>
    <x v="76"/>
    <x v="76"/>
    <x v="5"/>
    <x v="5"/>
    <x v="2"/>
  </r>
  <r>
    <n v="3145"/>
    <x v="2"/>
    <s v="21-30 years"/>
    <n v="25"/>
    <x v="1"/>
    <x v="3"/>
    <x v="1"/>
    <s v="Normal"/>
    <n v="-0.81237789999999999"/>
    <x v="5"/>
    <x v="1"/>
    <n v="-0.57848745999999995"/>
    <n v="4"/>
    <s v="Normal"/>
    <n v="-0.72356116999999998"/>
    <n v="4"/>
    <n v="4"/>
    <x v="0"/>
    <n v="-0.70480883000000005"/>
    <x v="19"/>
    <x v="1"/>
    <x v="1"/>
    <n v="6000"/>
    <n v="6000"/>
    <x v="6"/>
    <x v="6"/>
    <x v="2"/>
    <x v="2"/>
    <x v="2"/>
  </r>
  <r>
    <n v="3146"/>
    <x v="2"/>
    <s v="41-50 years"/>
    <n v="45"/>
    <x v="1"/>
    <x v="1"/>
    <x v="8"/>
    <s v="Normal"/>
    <n v="-1.0134224999999999"/>
    <x v="1"/>
    <x v="1"/>
    <n v="-0.77314866000000004"/>
    <n v="4"/>
    <s v="Normal"/>
    <n v="-0.72356116999999998"/>
    <n v="2.6666666999999999"/>
    <n v="3"/>
    <x v="0"/>
    <n v="-0.83671074999999995"/>
    <x v="361"/>
    <x v="1"/>
    <x v="1"/>
    <n v="20000"/>
    <n v="20000"/>
    <x v="56"/>
    <x v="56"/>
    <x v="5"/>
    <x v="5"/>
    <x v="2"/>
  </r>
  <r>
    <n v="3147"/>
    <x v="2"/>
    <s v="21-30 years"/>
    <n v="27"/>
    <x v="0"/>
    <x v="3"/>
    <x v="1"/>
    <s v="Normal"/>
    <n v="-0.81237789999999999"/>
    <x v="8"/>
    <x v="1"/>
    <n v="-0.18916494"/>
    <n v="2"/>
    <s v="Normal"/>
    <n v="-0.91619854999999994"/>
    <n v="4.6666664999999998"/>
    <n v="5"/>
    <x v="0"/>
    <n v="-0.63924709999999996"/>
    <x v="342"/>
    <x v="1"/>
    <x v="1"/>
    <n v="6250"/>
    <n v="6250"/>
    <x v="27"/>
    <x v="27"/>
    <x v="2"/>
    <x v="2"/>
    <x v="2"/>
  </r>
  <r>
    <n v="3148"/>
    <x v="2"/>
    <s v="31-40 years"/>
    <n v="33"/>
    <x v="0"/>
    <x v="3"/>
    <x v="4"/>
    <s v="Normal"/>
    <n v="-0.61133329999999997"/>
    <x v="7"/>
    <x v="1"/>
    <n v="-0.38382620000000001"/>
    <n v="2"/>
    <s v="Normal"/>
    <n v="-0.91619854999999994"/>
    <n v="4.6666664999999998"/>
    <n v="5"/>
    <x v="0"/>
    <n v="-0.63711934999999997"/>
    <x v="21"/>
    <x v="1"/>
    <x v="1"/>
    <n v="6666.6665000000003"/>
    <n v="6667"/>
    <x v="21"/>
    <x v="21"/>
    <x v="2"/>
    <x v="2"/>
    <x v="2"/>
  </r>
  <r>
    <n v="3149"/>
    <x v="2"/>
    <s v="21-30 years"/>
    <n v="27"/>
    <x v="1"/>
    <x v="3"/>
    <x v="4"/>
    <s v="Normal"/>
    <n v="-0.61133329999999997"/>
    <x v="7"/>
    <x v="1"/>
    <n v="-0.38382620000000001"/>
    <n v="2"/>
    <s v="Normal"/>
    <n v="-0.91619854999999994"/>
    <n v="4.6666664999999998"/>
    <n v="5"/>
    <x v="0"/>
    <n v="-0.63711934999999997"/>
    <x v="21"/>
    <x v="1"/>
    <x v="1"/>
    <n v="6000"/>
    <n v="6000"/>
    <x v="6"/>
    <x v="6"/>
    <x v="2"/>
    <x v="2"/>
    <x v="2"/>
  </r>
  <r>
    <n v="3150"/>
    <x v="2"/>
    <s v="31-40 years"/>
    <n v="40"/>
    <x v="1"/>
    <x v="3"/>
    <x v="8"/>
    <s v="Normal"/>
    <n v="-1.0134224999999999"/>
    <x v="1"/>
    <x v="1"/>
    <n v="-0.77314866000000004"/>
    <n v="2"/>
    <s v="Normal"/>
    <n v="-0.91619854999999994"/>
    <n v="2"/>
    <n v="2"/>
    <x v="0"/>
    <n v="-0.90092324999999995"/>
    <x v="78"/>
    <x v="1"/>
    <x v="1"/>
    <n v="7000"/>
    <n v="7000"/>
    <x v="29"/>
    <x v="29"/>
    <x v="2"/>
    <x v="2"/>
    <x v="2"/>
  </r>
  <r>
    <n v="3151"/>
    <x v="2"/>
    <s v="41-50 years"/>
    <n v="43"/>
    <x v="1"/>
    <x v="2"/>
    <x v="8"/>
    <s v="Normal"/>
    <n v="-1.0134224999999999"/>
    <x v="1"/>
    <x v="1"/>
    <n v="-0.77314866000000004"/>
    <n v="2"/>
    <s v="Normal"/>
    <n v="-0.91619854999999994"/>
    <n v="2"/>
    <n v="2"/>
    <x v="0"/>
    <n v="-0.90092324999999995"/>
    <x v="78"/>
    <x v="1"/>
    <x v="1"/>
    <n v="10000"/>
    <n v="10000"/>
    <x v="26"/>
    <x v="26"/>
    <x v="5"/>
    <x v="5"/>
    <x v="2"/>
  </r>
  <r>
    <n v="3152"/>
    <x v="2"/>
    <s v="31-40 years"/>
    <n v="38"/>
    <x v="1"/>
    <x v="1"/>
    <x v="1"/>
    <s v="Normal"/>
    <n v="-0.81237789999999999"/>
    <x v="2"/>
    <x v="1"/>
    <n v="-0.9678099"/>
    <n v="0"/>
    <s v="Normal"/>
    <n v="-1.1088359000000001"/>
    <n v="1.3333333999999999"/>
    <n v="1"/>
    <x v="0"/>
    <n v="-0.96300790000000003"/>
    <x v="17"/>
    <x v="1"/>
    <x v="1"/>
    <n v="13333.333000000001"/>
    <n v="13333"/>
    <x v="76"/>
    <x v="76"/>
    <x v="5"/>
    <x v="5"/>
    <x v="2"/>
  </r>
  <r>
    <n v="3153"/>
    <x v="2"/>
    <s v="41-50 years"/>
    <n v="50"/>
    <x v="1"/>
    <x v="1"/>
    <x v="8"/>
    <s v="Normal"/>
    <n v="-1.0134224999999999"/>
    <x v="5"/>
    <x v="1"/>
    <n v="-0.57848745999999995"/>
    <n v="4"/>
    <s v="Normal"/>
    <n v="-0.72356116999999998"/>
    <n v="3.3333333000000001"/>
    <n v="3"/>
    <x v="0"/>
    <n v="-0.7718237"/>
    <x v="347"/>
    <x v="1"/>
    <x v="1"/>
    <n v="10000"/>
    <n v="10000"/>
    <x v="26"/>
    <x v="26"/>
    <x v="5"/>
    <x v="5"/>
    <x v="2"/>
  </r>
  <r>
    <n v="3154"/>
    <x v="2"/>
    <s v="31-40 years"/>
    <n v="33"/>
    <x v="1"/>
    <x v="1"/>
    <x v="8"/>
    <s v="Normal"/>
    <n v="-1.0134224999999999"/>
    <x v="1"/>
    <x v="1"/>
    <n v="-0.77314866000000004"/>
    <n v="0"/>
    <s v="Normal"/>
    <n v="-1.1088359000000001"/>
    <n v="1.3333333999999999"/>
    <n v="1"/>
    <x v="0"/>
    <n v="-0.96513570000000004"/>
    <x v="340"/>
    <x v="1"/>
    <x v="1"/>
    <n v="5000"/>
    <n v="5000"/>
    <x v="2"/>
    <x v="2"/>
    <x v="1"/>
    <x v="1"/>
    <x v="1"/>
  </r>
  <r>
    <n v="3155"/>
    <x v="2"/>
    <s v="31-40 years"/>
    <n v="34"/>
    <x v="1"/>
    <x v="1"/>
    <x v="8"/>
    <s v="Normal"/>
    <n v="-1.0134224999999999"/>
    <x v="8"/>
    <x v="1"/>
    <n v="-0.18916494"/>
    <n v="4"/>
    <s v="Normal"/>
    <n v="-0.72356116999999998"/>
    <n v="4.6666664999999998"/>
    <n v="5"/>
    <x v="0"/>
    <n v="-0.64204954999999997"/>
    <x v="360"/>
    <x v="1"/>
    <x v="1"/>
    <n v="6000"/>
    <n v="6000"/>
    <x v="6"/>
    <x v="6"/>
    <x v="2"/>
    <x v="2"/>
    <x v="2"/>
  </r>
  <r>
    <n v="3156"/>
    <x v="2"/>
    <s v="41-50 years"/>
    <n v="45"/>
    <x v="0"/>
    <x v="3"/>
    <x v="8"/>
    <s v="Normal"/>
    <n v="-1.0134224999999999"/>
    <x v="4"/>
    <x v="0"/>
    <n v="0.20015757000000001"/>
    <n v="12"/>
    <s v="Moderate"/>
    <n v="4.6988415999999998E-2"/>
    <n v="8.6666670000000003"/>
    <n v="9"/>
    <x v="0"/>
    <n v="-0.25542550000000003"/>
    <x v="356"/>
    <x v="0"/>
    <x v="0"/>
    <n v="7500"/>
    <n v="7500"/>
    <x v="13"/>
    <x v="13"/>
    <x v="5"/>
    <x v="5"/>
    <x v="2"/>
  </r>
  <r>
    <n v="3157"/>
    <x v="2"/>
    <s v="21-30 years"/>
    <n v="28"/>
    <x v="0"/>
    <x v="3"/>
    <x v="1"/>
    <s v="Normal"/>
    <n v="-0.81237789999999999"/>
    <x v="7"/>
    <x v="1"/>
    <n v="-0.38382620000000001"/>
    <n v="2"/>
    <s v="Normal"/>
    <n v="-0.91619854999999994"/>
    <n v="4"/>
    <n v="4"/>
    <x v="0"/>
    <n v="-0.70413420000000004"/>
    <x v="413"/>
    <x v="1"/>
    <x v="1"/>
    <n v="10000"/>
    <n v="10000"/>
    <x v="26"/>
    <x v="26"/>
    <x v="5"/>
    <x v="5"/>
    <x v="2"/>
  </r>
  <r>
    <n v="3158"/>
    <x v="2"/>
    <s v="31-40 years"/>
    <n v="38"/>
    <x v="1"/>
    <x v="1"/>
    <x v="4"/>
    <s v="Normal"/>
    <n v="-0.61133329999999997"/>
    <x v="5"/>
    <x v="1"/>
    <n v="-0.57848745999999995"/>
    <n v="10"/>
    <s v="Normal"/>
    <n v="-0.14564899000000001"/>
    <n v="6.6666664999999998"/>
    <n v="7"/>
    <x v="0"/>
    <n v="-0.44515656999999997"/>
    <x v="414"/>
    <x v="0"/>
    <x v="0"/>
    <n v="6250"/>
    <n v="6250"/>
    <x v="27"/>
    <x v="27"/>
    <x v="2"/>
    <x v="2"/>
    <x v="2"/>
  </r>
  <r>
    <n v="3159"/>
    <x v="2"/>
    <s v="21-30 years"/>
    <n v="27"/>
    <x v="1"/>
    <x v="3"/>
    <x v="4"/>
    <s v="Normal"/>
    <n v="-0.61133329999999997"/>
    <x v="7"/>
    <x v="1"/>
    <n v="-0.38382620000000001"/>
    <n v="2"/>
    <s v="Normal"/>
    <n v="-0.91619854999999994"/>
    <n v="4.6666664999999998"/>
    <n v="5"/>
    <x v="0"/>
    <n v="-0.63711934999999997"/>
    <x v="21"/>
    <x v="1"/>
    <x v="1"/>
    <n v="4000"/>
    <n v="4000"/>
    <x v="7"/>
    <x v="7"/>
    <x v="3"/>
    <x v="3"/>
    <x v="0"/>
  </r>
  <r>
    <n v="3160"/>
    <x v="2"/>
    <s v="31-40 years"/>
    <n v="40"/>
    <x v="0"/>
    <x v="3"/>
    <x v="8"/>
    <s v="Normal"/>
    <n v="-1.0134224999999999"/>
    <x v="1"/>
    <x v="1"/>
    <n v="-0.77314866000000004"/>
    <n v="12"/>
    <s v="Moderate"/>
    <n v="4.6988415999999998E-2"/>
    <n v="5.3333335000000002"/>
    <n v="5"/>
    <x v="0"/>
    <n v="-0.57986090000000001"/>
    <x v="379"/>
    <x v="0"/>
    <x v="0"/>
    <n v="5000"/>
    <n v="5000"/>
    <x v="2"/>
    <x v="2"/>
    <x v="1"/>
    <x v="1"/>
    <x v="1"/>
  </r>
  <r>
    <n v="3161"/>
    <x v="2"/>
    <s v="31-40 years"/>
    <n v="32"/>
    <x v="0"/>
    <x v="1"/>
    <x v="8"/>
    <s v="Normal"/>
    <n v="-1.0134224999999999"/>
    <x v="10"/>
    <x v="1"/>
    <n v="-1.1624711999999999"/>
    <n v="10"/>
    <s v="Normal"/>
    <n v="-0.14564899000000001"/>
    <n v="3.3333333000000001"/>
    <n v="3"/>
    <x v="0"/>
    <n v="-0.77384759999999997"/>
    <x v="415"/>
    <x v="1"/>
    <x v="1"/>
    <n v="6250"/>
    <n v="6250"/>
    <x v="27"/>
    <x v="27"/>
    <x v="2"/>
    <x v="2"/>
    <x v="2"/>
  </r>
  <r>
    <n v="3162"/>
    <x v="2"/>
    <s v="41-50 years"/>
    <n v="45"/>
    <x v="0"/>
    <x v="3"/>
    <x v="4"/>
    <s v="Normal"/>
    <n v="-0.61133329999999997"/>
    <x v="7"/>
    <x v="1"/>
    <n v="-0.38382620000000001"/>
    <n v="6"/>
    <s v="Normal"/>
    <n v="-0.53092379999999995"/>
    <n v="6"/>
    <n v="6"/>
    <x v="0"/>
    <n v="-0.50869439999999999"/>
    <x v="175"/>
    <x v="0"/>
    <x v="0"/>
    <n v="4000"/>
    <n v="4000"/>
    <x v="7"/>
    <x v="7"/>
    <x v="3"/>
    <x v="3"/>
    <x v="0"/>
  </r>
  <r>
    <n v="3163"/>
    <x v="2"/>
    <s v="21-30 years"/>
    <n v="30"/>
    <x v="1"/>
    <x v="1"/>
    <x v="1"/>
    <s v="Normal"/>
    <n v="-0.81237789999999999"/>
    <x v="10"/>
    <x v="1"/>
    <n v="-1.1624711999999999"/>
    <n v="2"/>
    <s v="Normal"/>
    <n v="-0.91619854999999994"/>
    <n v="1.3333333999999999"/>
    <n v="1"/>
    <x v="0"/>
    <n v="-0.96368253000000004"/>
    <x v="416"/>
    <x v="1"/>
    <x v="1"/>
    <n v="8750"/>
    <n v="8750"/>
    <x v="57"/>
    <x v="57"/>
    <x v="5"/>
    <x v="5"/>
    <x v="2"/>
  </r>
  <r>
    <n v="3164"/>
    <x v="2"/>
    <s v="21-30 years"/>
    <n v="30"/>
    <x v="1"/>
    <x v="1"/>
    <x v="8"/>
    <s v="Normal"/>
    <n v="-1.0134224999999999"/>
    <x v="10"/>
    <x v="1"/>
    <n v="-1.1624711999999999"/>
    <n v="4"/>
    <s v="Normal"/>
    <n v="-0.72356116999999998"/>
    <n v="1.3333333999999999"/>
    <n v="1"/>
    <x v="0"/>
    <n v="-0.96648495999999995"/>
    <x v="397"/>
    <x v="1"/>
    <x v="1"/>
    <n v="7500"/>
    <n v="7500"/>
    <x v="13"/>
    <x v="13"/>
    <x v="5"/>
    <x v="5"/>
    <x v="2"/>
  </r>
  <r>
    <n v="3165"/>
    <x v="2"/>
    <s v="31-40 years"/>
    <n v="40"/>
    <x v="1"/>
    <x v="1"/>
    <x v="8"/>
    <s v="Normal"/>
    <n v="-1.0134224999999999"/>
    <x v="2"/>
    <x v="1"/>
    <n v="-0.9678099"/>
    <n v="2"/>
    <s v="Normal"/>
    <n v="-0.91619854999999994"/>
    <n v="1.3333333999999999"/>
    <n v="1"/>
    <x v="0"/>
    <n v="-0.96581030000000001"/>
    <x v="409"/>
    <x v="1"/>
    <x v="1"/>
    <n v="8000"/>
    <n v="8000"/>
    <x v="62"/>
    <x v="62"/>
    <x v="5"/>
    <x v="5"/>
    <x v="2"/>
  </r>
  <r>
    <n v="3166"/>
    <x v="2"/>
    <s v="31-40 years"/>
    <n v="40"/>
    <x v="1"/>
    <x v="1"/>
    <x v="8"/>
    <s v="Normal"/>
    <n v="-1.0134224999999999"/>
    <x v="2"/>
    <x v="1"/>
    <n v="-0.9678099"/>
    <n v="4"/>
    <s v="Normal"/>
    <n v="-0.72356116999999998"/>
    <n v="2"/>
    <n v="2"/>
    <x v="0"/>
    <n v="-0.90159785999999997"/>
    <x v="408"/>
    <x v="1"/>
    <x v="1"/>
    <n v="6666.6665000000003"/>
    <n v="6667"/>
    <x v="21"/>
    <x v="21"/>
    <x v="2"/>
    <x v="2"/>
    <x v="2"/>
  </r>
  <r>
    <n v="3167"/>
    <x v="2"/>
    <s v="41-50 years"/>
    <n v="45"/>
    <x v="1"/>
    <x v="1"/>
    <x v="8"/>
    <s v="Normal"/>
    <n v="-1.0134224999999999"/>
    <x v="2"/>
    <x v="1"/>
    <n v="-0.9678099"/>
    <n v="4"/>
    <s v="Normal"/>
    <n v="-0.72356116999999998"/>
    <n v="2"/>
    <n v="2"/>
    <x v="0"/>
    <n v="-0.90159785999999997"/>
    <x v="408"/>
    <x v="1"/>
    <x v="1"/>
    <n v="13333.333000000001"/>
    <n v="13333"/>
    <x v="76"/>
    <x v="76"/>
    <x v="5"/>
    <x v="5"/>
    <x v="2"/>
  </r>
  <r>
    <n v="3168"/>
    <x v="2"/>
    <s v="31-40 years"/>
    <n v="35"/>
    <x v="0"/>
    <x v="0"/>
    <x v="1"/>
    <s v="Normal"/>
    <n v="-0.81237789999999999"/>
    <x v="5"/>
    <x v="1"/>
    <n v="-0.57848745999999995"/>
    <n v="2"/>
    <s v="Normal"/>
    <n v="-0.91619854999999994"/>
    <n v="3.3333333000000001"/>
    <n v="3"/>
    <x v="0"/>
    <n v="-0.76902132999999995"/>
    <x v="46"/>
    <x v="1"/>
    <x v="1"/>
    <n v="4000"/>
    <n v="4000"/>
    <x v="7"/>
    <x v="7"/>
    <x v="3"/>
    <x v="3"/>
    <x v="0"/>
  </r>
  <r>
    <n v="3169"/>
    <x v="2"/>
    <s v="31-40 years"/>
    <n v="33"/>
    <x v="1"/>
    <x v="1"/>
    <x v="8"/>
    <s v="Normal"/>
    <n v="-1.0134224999999999"/>
    <x v="2"/>
    <x v="1"/>
    <n v="-0.9678099"/>
    <n v="4"/>
    <s v="Normal"/>
    <n v="-0.72356116999999998"/>
    <n v="2"/>
    <n v="2"/>
    <x v="0"/>
    <n v="-0.90159785999999997"/>
    <x v="408"/>
    <x v="1"/>
    <x v="1"/>
    <n v="10000"/>
    <n v="10000"/>
    <x v="26"/>
    <x v="26"/>
    <x v="5"/>
    <x v="5"/>
    <x v="2"/>
  </r>
  <r>
    <n v="3170"/>
    <x v="2"/>
    <s v="31-40 years"/>
    <n v="34"/>
    <x v="1"/>
    <x v="1"/>
    <x v="8"/>
    <s v="Normal"/>
    <n v="-1.0134224999999999"/>
    <x v="10"/>
    <x v="1"/>
    <n v="-1.1624711999999999"/>
    <n v="0"/>
    <s v="Normal"/>
    <n v="-1.1088359000000001"/>
    <n v="0"/>
    <n v="0"/>
    <x v="0"/>
    <n v="-1.0949099"/>
    <x v="72"/>
    <x v="1"/>
    <x v="1"/>
    <n v="6000"/>
    <n v="6000"/>
    <x v="6"/>
    <x v="6"/>
    <x v="2"/>
    <x v="2"/>
    <x v="2"/>
  </r>
  <r>
    <n v="3171"/>
    <x v="2"/>
    <s v="41-50 years"/>
    <n v="44"/>
    <x v="1"/>
    <x v="3"/>
    <x v="8"/>
    <s v="Normal"/>
    <n v="-1.0134224999999999"/>
    <x v="10"/>
    <x v="1"/>
    <n v="-1.1624711999999999"/>
    <n v="0"/>
    <s v="Normal"/>
    <n v="-1.1088359000000001"/>
    <n v="0"/>
    <n v="0"/>
    <x v="0"/>
    <n v="-1.0949099"/>
    <x v="72"/>
    <x v="1"/>
    <x v="1"/>
    <n v="13333.333000000001"/>
    <n v="13333"/>
    <x v="76"/>
    <x v="76"/>
    <x v="5"/>
    <x v="5"/>
    <x v="2"/>
  </r>
  <r>
    <n v="3172"/>
    <x v="2"/>
    <s v="31-40 years"/>
    <n v="34"/>
    <x v="1"/>
    <x v="1"/>
    <x v="1"/>
    <s v="Normal"/>
    <n v="-0.81237789999999999"/>
    <x v="2"/>
    <x v="1"/>
    <n v="-0.9678099"/>
    <n v="0"/>
    <s v="Normal"/>
    <n v="-1.1088359000000001"/>
    <n v="1.3333333999999999"/>
    <n v="1"/>
    <x v="0"/>
    <n v="-0.96300790000000003"/>
    <x v="17"/>
    <x v="1"/>
    <x v="1"/>
    <n v="8333.3330000000005"/>
    <n v="8333"/>
    <x v="20"/>
    <x v="20"/>
    <x v="5"/>
    <x v="5"/>
    <x v="2"/>
  </r>
  <r>
    <n v="3173"/>
    <x v="2"/>
    <s v="21-30 years"/>
    <n v="28"/>
    <x v="1"/>
    <x v="1"/>
    <x v="8"/>
    <s v="Normal"/>
    <n v="-1.0134224999999999"/>
    <x v="1"/>
    <x v="1"/>
    <n v="-0.77314866000000004"/>
    <n v="0"/>
    <s v="Normal"/>
    <n v="-1.1088359000000001"/>
    <n v="1.3333333999999999"/>
    <n v="1"/>
    <x v="0"/>
    <n v="-0.96513570000000004"/>
    <x v="340"/>
    <x v="1"/>
    <x v="1"/>
    <n v="6000"/>
    <n v="6000"/>
    <x v="6"/>
    <x v="6"/>
    <x v="2"/>
    <x v="2"/>
    <x v="2"/>
  </r>
  <r>
    <n v="3174"/>
    <x v="2"/>
    <s v="21-30 years"/>
    <n v="30"/>
    <x v="1"/>
    <x v="3"/>
    <x v="8"/>
    <s v="Normal"/>
    <n v="-1.0134224999999999"/>
    <x v="10"/>
    <x v="1"/>
    <n v="-1.1624711999999999"/>
    <n v="2"/>
    <s v="Normal"/>
    <n v="-0.91619854999999994"/>
    <n v="0.66666669999999995"/>
    <n v="1"/>
    <x v="0"/>
    <n v="-1.0306972999999999"/>
    <x v="68"/>
    <x v="1"/>
    <x v="1"/>
    <n v="8000"/>
    <n v="8000"/>
    <x v="62"/>
    <x v="62"/>
    <x v="5"/>
    <x v="5"/>
    <x v="2"/>
  </r>
  <r>
    <n v="3175"/>
    <x v="2"/>
    <s v="21-30 years"/>
    <n v="30"/>
    <x v="1"/>
    <x v="1"/>
    <x v="8"/>
    <s v="Normal"/>
    <n v="-1.0134224999999999"/>
    <x v="2"/>
    <x v="1"/>
    <n v="-0.9678099"/>
    <n v="0"/>
    <s v="Normal"/>
    <n v="-1.1088359000000001"/>
    <n v="0.66666669999999995"/>
    <n v="1"/>
    <x v="0"/>
    <n v="-1.0300227"/>
    <x v="411"/>
    <x v="1"/>
    <x v="1"/>
    <n v="6666.6665000000003"/>
    <n v="6667"/>
    <x v="21"/>
    <x v="21"/>
    <x v="2"/>
    <x v="2"/>
    <x v="2"/>
  </r>
  <r>
    <n v="3176"/>
    <x v="2"/>
    <s v="31-40 years"/>
    <n v="40"/>
    <x v="1"/>
    <x v="1"/>
    <x v="1"/>
    <s v="Normal"/>
    <n v="-0.81237789999999999"/>
    <x v="10"/>
    <x v="1"/>
    <n v="-1.1624711999999999"/>
    <n v="2"/>
    <s v="Normal"/>
    <n v="-0.91619854999999994"/>
    <n v="1.3333333999999999"/>
    <n v="1"/>
    <x v="0"/>
    <n v="-0.96368253000000004"/>
    <x v="416"/>
    <x v="1"/>
    <x v="1"/>
    <n v="7500"/>
    <n v="7500"/>
    <x v="13"/>
    <x v="13"/>
    <x v="5"/>
    <x v="5"/>
    <x v="2"/>
  </r>
  <r>
    <n v="3177"/>
    <x v="2"/>
    <s v="41-50 years"/>
    <n v="45"/>
    <x v="1"/>
    <x v="1"/>
    <x v="8"/>
    <s v="Normal"/>
    <n v="-1.0134224999999999"/>
    <x v="2"/>
    <x v="1"/>
    <n v="-0.9678099"/>
    <n v="4"/>
    <s v="Normal"/>
    <n v="-0.72356116999999998"/>
    <n v="2"/>
    <n v="2"/>
    <x v="0"/>
    <n v="-0.90159785999999997"/>
    <x v="408"/>
    <x v="1"/>
    <x v="1"/>
    <n v="5000"/>
    <n v="5000"/>
    <x v="2"/>
    <x v="2"/>
    <x v="1"/>
    <x v="1"/>
    <x v="1"/>
  </r>
  <r>
    <n v="3178"/>
    <x v="2"/>
    <s v="51-60 years"/>
    <n v="52"/>
    <x v="1"/>
    <x v="1"/>
    <x v="1"/>
    <s v="Normal"/>
    <n v="-0.81237789999999999"/>
    <x v="5"/>
    <x v="1"/>
    <n v="-0.57848745999999995"/>
    <n v="2"/>
    <s v="Normal"/>
    <n v="-0.91619854999999994"/>
    <n v="3.3333333000000001"/>
    <n v="3"/>
    <x v="0"/>
    <n v="-0.76902132999999995"/>
    <x v="46"/>
    <x v="1"/>
    <x v="1"/>
    <n v="8750"/>
    <n v="8750"/>
    <x v="57"/>
    <x v="57"/>
    <x v="5"/>
    <x v="5"/>
    <x v="2"/>
  </r>
  <r>
    <n v="3179"/>
    <x v="2"/>
    <s v="31-40 years"/>
    <n v="35"/>
    <x v="1"/>
    <x v="1"/>
    <x v="8"/>
    <s v="Normal"/>
    <n v="-1.0134224999999999"/>
    <x v="2"/>
    <x v="1"/>
    <n v="-0.9678099"/>
    <n v="2"/>
    <s v="Normal"/>
    <n v="-0.91619854999999994"/>
    <n v="1.3333333999999999"/>
    <n v="1"/>
    <x v="0"/>
    <n v="-0.96581030000000001"/>
    <x v="409"/>
    <x v="1"/>
    <x v="1"/>
    <n v="7500"/>
    <n v="7500"/>
    <x v="13"/>
    <x v="13"/>
    <x v="5"/>
    <x v="5"/>
    <x v="2"/>
  </r>
  <r>
    <n v="3180"/>
    <x v="2"/>
    <s v="21-30 years"/>
    <n v="26"/>
    <x v="1"/>
    <x v="3"/>
    <x v="4"/>
    <s v="Normal"/>
    <n v="-0.61133329999999997"/>
    <x v="2"/>
    <x v="1"/>
    <n v="-0.9678099"/>
    <n v="4"/>
    <s v="Normal"/>
    <n v="-0.72356116999999998"/>
    <n v="3.3333333000000001"/>
    <n v="3"/>
    <x v="0"/>
    <n v="-0.76756809999999998"/>
    <x v="58"/>
    <x v="1"/>
    <x v="1"/>
    <n v="5000"/>
    <n v="5000"/>
    <x v="2"/>
    <x v="2"/>
    <x v="1"/>
    <x v="1"/>
    <x v="1"/>
  </r>
  <r>
    <n v="3181"/>
    <x v="2"/>
    <s v="21-30 years"/>
    <n v="27"/>
    <x v="0"/>
    <x v="3"/>
    <x v="4"/>
    <s v="Normal"/>
    <n v="-0.61133329999999997"/>
    <x v="7"/>
    <x v="1"/>
    <n v="-0.38382620000000001"/>
    <n v="4"/>
    <s v="Normal"/>
    <n v="-0.72356116999999998"/>
    <n v="5.3333335000000002"/>
    <n v="5"/>
    <x v="0"/>
    <n v="-0.5729069"/>
    <x v="49"/>
    <x v="0"/>
    <x v="0"/>
    <n v="8750"/>
    <n v="8750"/>
    <x v="57"/>
    <x v="57"/>
    <x v="5"/>
    <x v="5"/>
    <x v="2"/>
  </r>
  <r>
    <n v="3182"/>
    <x v="2"/>
    <s v="31-40 years"/>
    <n v="40"/>
    <x v="1"/>
    <x v="1"/>
    <x v="4"/>
    <s v="Normal"/>
    <n v="-0.61133329999999997"/>
    <x v="1"/>
    <x v="1"/>
    <n v="-0.77314866000000004"/>
    <n v="2"/>
    <s v="Normal"/>
    <n v="-0.91619854999999994"/>
    <n v="3.3333333000000001"/>
    <n v="3"/>
    <x v="0"/>
    <n v="-0.76689350000000001"/>
    <x v="59"/>
    <x v="1"/>
    <x v="1"/>
    <n v="3000"/>
    <n v="3000"/>
    <x v="22"/>
    <x v="22"/>
    <x v="3"/>
    <x v="3"/>
    <x v="0"/>
  </r>
  <r>
    <n v="3183"/>
    <x v="2"/>
    <s v="21-30 years"/>
    <n v="30"/>
    <x v="1"/>
    <x v="1"/>
    <x v="4"/>
    <s v="Normal"/>
    <n v="-0.61133329999999997"/>
    <x v="5"/>
    <x v="1"/>
    <n v="-0.57848745999999995"/>
    <n v="8"/>
    <s v="Normal"/>
    <n v="-0.33828637"/>
    <n v="6"/>
    <n v="6"/>
    <x v="0"/>
    <n v="-0.50936899999999996"/>
    <x v="81"/>
    <x v="0"/>
    <x v="0"/>
    <n v="5000"/>
    <n v="5000"/>
    <x v="2"/>
    <x v="2"/>
    <x v="1"/>
    <x v="1"/>
    <x v="1"/>
  </r>
  <r>
    <n v="3184"/>
    <x v="2"/>
    <s v="31-40 years"/>
    <n v="40"/>
    <x v="1"/>
    <x v="1"/>
    <x v="0"/>
    <s v="Normal"/>
    <n v="-0.41028870000000001"/>
    <x v="1"/>
    <x v="1"/>
    <n v="-0.77314866000000004"/>
    <n v="6"/>
    <s v="Normal"/>
    <n v="-0.53092379999999995"/>
    <n v="5.3333335000000002"/>
    <n v="5"/>
    <x v="0"/>
    <n v="-0.57145369999999995"/>
    <x v="179"/>
    <x v="0"/>
    <x v="0"/>
    <n v="6666.6665000000003"/>
    <n v="6667"/>
    <x v="21"/>
    <x v="21"/>
    <x v="2"/>
    <x v="2"/>
    <x v="2"/>
  </r>
  <r>
    <n v="3185"/>
    <x v="2"/>
    <s v="31-40 years"/>
    <n v="40"/>
    <x v="1"/>
    <x v="1"/>
    <x v="8"/>
    <s v="Normal"/>
    <n v="-1.0134224999999999"/>
    <x v="5"/>
    <x v="1"/>
    <n v="-0.57848745999999995"/>
    <n v="2"/>
    <s v="Normal"/>
    <n v="-0.91619854999999994"/>
    <n v="2.6666666999999999"/>
    <n v="3"/>
    <x v="0"/>
    <n v="-0.83603614999999998"/>
    <x v="338"/>
    <x v="1"/>
    <x v="1"/>
    <n v="7500"/>
    <n v="7500"/>
    <x v="13"/>
    <x v="13"/>
    <x v="5"/>
    <x v="5"/>
    <x v="2"/>
  </r>
  <r>
    <n v="3186"/>
    <x v="2"/>
    <s v="31-40 years"/>
    <n v="32"/>
    <x v="1"/>
    <x v="1"/>
    <x v="1"/>
    <s v="Normal"/>
    <n v="-0.81237789999999999"/>
    <x v="2"/>
    <x v="1"/>
    <n v="-0.9678099"/>
    <n v="2"/>
    <s v="Normal"/>
    <n v="-0.91619854999999994"/>
    <n v="2"/>
    <n v="2"/>
    <x v="0"/>
    <n v="-0.89879549999999997"/>
    <x v="2"/>
    <x v="1"/>
    <x v="1"/>
    <n v="5000"/>
    <n v="5000"/>
    <x v="2"/>
    <x v="2"/>
    <x v="1"/>
    <x v="1"/>
    <x v="1"/>
  </r>
  <r>
    <n v="3187"/>
    <x v="2"/>
    <s v="41-50 years"/>
    <n v="42"/>
    <x v="1"/>
    <x v="3"/>
    <x v="8"/>
    <s v="Normal"/>
    <n v="-1.0134224999999999"/>
    <x v="10"/>
    <x v="1"/>
    <n v="-1.1624711999999999"/>
    <n v="2"/>
    <s v="Normal"/>
    <n v="-0.91619854999999994"/>
    <n v="0.66666669999999995"/>
    <n v="1"/>
    <x v="0"/>
    <n v="-1.0306972999999999"/>
    <x v="68"/>
    <x v="1"/>
    <x v="1"/>
    <n v="10000"/>
    <n v="10000"/>
    <x v="26"/>
    <x v="26"/>
    <x v="5"/>
    <x v="5"/>
    <x v="2"/>
  </r>
  <r>
    <n v="3188"/>
    <x v="2"/>
    <s v="31-40 years"/>
    <n v="37"/>
    <x v="1"/>
    <x v="1"/>
    <x v="8"/>
    <s v="Normal"/>
    <n v="-1.0134224999999999"/>
    <x v="10"/>
    <x v="1"/>
    <n v="-1.1624711999999999"/>
    <n v="2"/>
    <s v="Normal"/>
    <n v="-0.91619854999999994"/>
    <n v="0.66666669999999995"/>
    <n v="1"/>
    <x v="0"/>
    <n v="-1.0306972999999999"/>
    <x v="68"/>
    <x v="1"/>
    <x v="1"/>
    <n v="5000"/>
    <n v="5000"/>
    <x v="2"/>
    <x v="2"/>
    <x v="1"/>
    <x v="1"/>
    <x v="1"/>
  </r>
  <r>
    <n v="3189"/>
    <x v="2"/>
    <s v="31-40 years"/>
    <n v="35"/>
    <x v="1"/>
    <x v="1"/>
    <x v="8"/>
    <s v="Normal"/>
    <n v="-1.0134224999999999"/>
    <x v="10"/>
    <x v="1"/>
    <n v="-1.1624711999999999"/>
    <n v="4"/>
    <s v="Normal"/>
    <n v="-0.72356116999999998"/>
    <n v="1.3333333999999999"/>
    <n v="1"/>
    <x v="0"/>
    <n v="-0.96648495999999995"/>
    <x v="397"/>
    <x v="1"/>
    <x v="1"/>
    <n v="6666.6665000000003"/>
    <n v="6667"/>
    <x v="21"/>
    <x v="21"/>
    <x v="2"/>
    <x v="2"/>
    <x v="2"/>
  </r>
  <r>
    <n v="3190"/>
    <x v="2"/>
    <s v="21-30 years"/>
    <n v="30"/>
    <x v="1"/>
    <x v="1"/>
    <x v="8"/>
    <s v="Normal"/>
    <n v="-1.0134224999999999"/>
    <x v="10"/>
    <x v="1"/>
    <n v="-1.1624711999999999"/>
    <n v="2"/>
    <s v="Normal"/>
    <n v="-0.91619854999999994"/>
    <n v="0.66666669999999995"/>
    <n v="1"/>
    <x v="0"/>
    <n v="-1.0306972999999999"/>
    <x v="68"/>
    <x v="1"/>
    <x v="1"/>
    <n v="7500"/>
    <n v="7500"/>
    <x v="13"/>
    <x v="13"/>
    <x v="5"/>
    <x v="5"/>
    <x v="2"/>
  </r>
  <r>
    <n v="3191"/>
    <x v="2"/>
    <s v="31-40 years"/>
    <n v="35"/>
    <x v="1"/>
    <x v="1"/>
    <x v="8"/>
    <s v="Normal"/>
    <n v="-1.0134224999999999"/>
    <x v="1"/>
    <x v="1"/>
    <n v="-0.77314866000000004"/>
    <n v="2"/>
    <s v="Normal"/>
    <n v="-0.91619854999999994"/>
    <n v="2"/>
    <n v="2"/>
    <x v="0"/>
    <n v="-0.90092324999999995"/>
    <x v="78"/>
    <x v="1"/>
    <x v="1"/>
    <n v="11666.666999999999"/>
    <n v="11667"/>
    <x v="25"/>
    <x v="25"/>
    <x v="5"/>
    <x v="5"/>
    <x v="2"/>
  </r>
  <r>
    <n v="3192"/>
    <x v="2"/>
    <s v="31-40 years"/>
    <n v="40"/>
    <x v="1"/>
    <x v="1"/>
    <x v="8"/>
    <s v="Normal"/>
    <n v="-1.0134224999999999"/>
    <x v="10"/>
    <x v="1"/>
    <n v="-1.1624711999999999"/>
    <n v="4"/>
    <s v="Normal"/>
    <n v="-0.72356116999999998"/>
    <n v="1.3333333999999999"/>
    <n v="1"/>
    <x v="0"/>
    <n v="-0.96648495999999995"/>
    <x v="397"/>
    <x v="1"/>
    <x v="1"/>
    <n v="7500"/>
    <n v="7500"/>
    <x v="13"/>
    <x v="13"/>
    <x v="5"/>
    <x v="5"/>
    <x v="2"/>
  </r>
  <r>
    <n v="3193"/>
    <x v="2"/>
    <s v="31-40 years"/>
    <n v="40"/>
    <x v="1"/>
    <x v="3"/>
    <x v="8"/>
    <s v="Normal"/>
    <n v="-1.0134224999999999"/>
    <x v="2"/>
    <x v="1"/>
    <n v="-0.9678099"/>
    <n v="0"/>
    <s v="Normal"/>
    <n v="-1.1088359000000001"/>
    <n v="0.66666669999999995"/>
    <n v="1"/>
    <x v="0"/>
    <n v="-1.0300227"/>
    <x v="411"/>
    <x v="1"/>
    <x v="1"/>
    <n v="8333.3330000000005"/>
    <n v="8333"/>
    <x v="20"/>
    <x v="20"/>
    <x v="5"/>
    <x v="5"/>
    <x v="2"/>
  </r>
  <r>
    <n v="3194"/>
    <x v="2"/>
    <s v="31-40 years"/>
    <n v="36"/>
    <x v="1"/>
    <x v="3"/>
    <x v="1"/>
    <s v="Normal"/>
    <n v="-0.81237789999999999"/>
    <x v="2"/>
    <x v="1"/>
    <n v="-0.9678099"/>
    <n v="2"/>
    <s v="Normal"/>
    <n v="-0.91619854999999994"/>
    <n v="2"/>
    <n v="2"/>
    <x v="0"/>
    <n v="-0.89879549999999997"/>
    <x v="2"/>
    <x v="1"/>
    <x v="1"/>
    <n v="10000"/>
    <n v="10000"/>
    <x v="26"/>
    <x v="26"/>
    <x v="5"/>
    <x v="5"/>
    <x v="2"/>
  </r>
  <r>
    <n v="3195"/>
    <x v="2"/>
    <s v="31-40 years"/>
    <n v="32"/>
    <x v="1"/>
    <x v="1"/>
    <x v="8"/>
    <s v="Normal"/>
    <n v="-1.0134224999999999"/>
    <x v="10"/>
    <x v="1"/>
    <n v="-1.1624711999999999"/>
    <n v="2"/>
    <s v="Normal"/>
    <n v="-0.91619854999999994"/>
    <n v="0.66666669999999995"/>
    <n v="1"/>
    <x v="0"/>
    <n v="-1.0306972999999999"/>
    <x v="68"/>
    <x v="1"/>
    <x v="1"/>
    <n v="7500"/>
    <n v="7500"/>
    <x v="13"/>
    <x v="13"/>
    <x v="5"/>
    <x v="5"/>
    <x v="2"/>
  </r>
  <r>
    <n v="3196"/>
    <x v="2"/>
    <s v="31-40 years"/>
    <n v="35"/>
    <x v="1"/>
    <x v="1"/>
    <x v="8"/>
    <s v="Normal"/>
    <n v="-1.0134224999999999"/>
    <x v="2"/>
    <x v="1"/>
    <n v="-0.9678099"/>
    <n v="2"/>
    <s v="Normal"/>
    <n v="-0.91619854999999994"/>
    <n v="1.3333333999999999"/>
    <n v="1"/>
    <x v="0"/>
    <n v="-0.96581030000000001"/>
    <x v="409"/>
    <x v="1"/>
    <x v="1"/>
    <n v="5000"/>
    <n v="5000"/>
    <x v="2"/>
    <x v="2"/>
    <x v="1"/>
    <x v="1"/>
    <x v="1"/>
  </r>
  <r>
    <n v="3197"/>
    <x v="2"/>
    <s v="31-40 years"/>
    <n v="38"/>
    <x v="1"/>
    <x v="1"/>
    <x v="1"/>
    <s v="Normal"/>
    <n v="-0.81237789999999999"/>
    <x v="10"/>
    <x v="1"/>
    <n v="-1.1624711999999999"/>
    <n v="4"/>
    <s v="Normal"/>
    <n v="-0.72356116999999998"/>
    <n v="2"/>
    <n v="2"/>
    <x v="0"/>
    <n v="-0.89947010000000005"/>
    <x v="417"/>
    <x v="1"/>
    <x v="1"/>
    <n v="8000"/>
    <n v="8000"/>
    <x v="62"/>
    <x v="62"/>
    <x v="5"/>
    <x v="5"/>
    <x v="2"/>
  </r>
  <r>
    <n v="3198"/>
    <x v="2"/>
    <s v="51-60 years"/>
    <n v="52"/>
    <x v="1"/>
    <x v="1"/>
    <x v="1"/>
    <s v="Normal"/>
    <n v="-0.81237789999999999"/>
    <x v="1"/>
    <x v="1"/>
    <n v="-0.77314866000000004"/>
    <n v="4"/>
    <s v="Normal"/>
    <n v="-0.72356116999999998"/>
    <n v="3.3333333000000001"/>
    <n v="3"/>
    <x v="0"/>
    <n v="-0.76969593999999997"/>
    <x v="52"/>
    <x v="1"/>
    <x v="1"/>
    <n v="6666.6665000000003"/>
    <n v="6667"/>
    <x v="21"/>
    <x v="21"/>
    <x v="2"/>
    <x v="2"/>
    <x v="2"/>
  </r>
  <r>
    <n v="3199"/>
    <x v="2"/>
    <s v="31-40 years"/>
    <n v="33"/>
    <x v="1"/>
    <x v="1"/>
    <x v="8"/>
    <s v="Normal"/>
    <n v="-1.0134224999999999"/>
    <x v="1"/>
    <x v="1"/>
    <n v="-0.77314866000000004"/>
    <n v="4"/>
    <s v="Normal"/>
    <n v="-0.72356116999999998"/>
    <n v="2.6666666999999999"/>
    <n v="3"/>
    <x v="0"/>
    <n v="-0.83671074999999995"/>
    <x v="361"/>
    <x v="1"/>
    <x v="1"/>
    <n v="7500"/>
    <n v="7500"/>
    <x v="13"/>
    <x v="13"/>
    <x v="5"/>
    <x v="5"/>
    <x v="2"/>
  </r>
  <r>
    <n v="3200"/>
    <x v="2"/>
    <s v="31-40 years"/>
    <n v="40"/>
    <x v="1"/>
    <x v="1"/>
    <x v="1"/>
    <s v="Normal"/>
    <n v="-0.81237789999999999"/>
    <x v="5"/>
    <x v="1"/>
    <n v="-0.57848745999999995"/>
    <n v="2"/>
    <s v="Normal"/>
    <n v="-0.91619854999999994"/>
    <n v="3.3333333000000001"/>
    <n v="3"/>
    <x v="0"/>
    <n v="-0.76902132999999995"/>
    <x v="46"/>
    <x v="1"/>
    <x v="1"/>
    <n v="4000"/>
    <n v="4000"/>
    <x v="7"/>
    <x v="7"/>
    <x v="3"/>
    <x v="3"/>
    <x v="0"/>
  </r>
  <r>
    <n v="3201"/>
    <x v="2"/>
    <s v="31-40 years"/>
    <n v="40"/>
    <x v="1"/>
    <x v="1"/>
    <x v="1"/>
    <s v="Normal"/>
    <n v="-0.81237789999999999"/>
    <x v="2"/>
    <x v="1"/>
    <n v="-0.9678099"/>
    <n v="2"/>
    <s v="Normal"/>
    <n v="-0.91619854999999994"/>
    <n v="2"/>
    <n v="2"/>
    <x v="0"/>
    <n v="-0.89879549999999997"/>
    <x v="2"/>
    <x v="1"/>
    <x v="1"/>
    <n v="8000"/>
    <n v="8000"/>
    <x v="62"/>
    <x v="62"/>
    <x v="5"/>
    <x v="5"/>
    <x v="2"/>
  </r>
  <r>
    <n v="3202"/>
    <x v="2"/>
    <s v="41-50 years"/>
    <n v="42"/>
    <x v="1"/>
    <x v="1"/>
    <x v="4"/>
    <s v="Normal"/>
    <n v="-0.61133329999999997"/>
    <x v="1"/>
    <x v="1"/>
    <n v="-0.77314866000000004"/>
    <n v="4"/>
    <s v="Normal"/>
    <n v="-0.72356116999999998"/>
    <n v="4"/>
    <n v="4"/>
    <x v="0"/>
    <n v="-0.70268105999999997"/>
    <x v="39"/>
    <x v="1"/>
    <x v="1"/>
    <n v="7500"/>
    <n v="7500"/>
    <x v="13"/>
    <x v="13"/>
    <x v="5"/>
    <x v="5"/>
    <x v="2"/>
  </r>
  <r>
    <n v="3203"/>
    <x v="2"/>
    <s v="21-30 years"/>
    <n v="30"/>
    <x v="1"/>
    <x v="3"/>
    <x v="8"/>
    <s v="Normal"/>
    <n v="-1.0134224999999999"/>
    <x v="2"/>
    <x v="1"/>
    <n v="-0.9678099"/>
    <n v="2"/>
    <s v="Normal"/>
    <n v="-0.91619854999999994"/>
    <n v="1.3333333999999999"/>
    <n v="1"/>
    <x v="0"/>
    <n v="-0.96581030000000001"/>
    <x v="409"/>
    <x v="1"/>
    <x v="1"/>
    <n v="7500"/>
    <n v="7500"/>
    <x v="13"/>
    <x v="13"/>
    <x v="5"/>
    <x v="5"/>
    <x v="2"/>
  </r>
  <r>
    <n v="3204"/>
    <x v="2"/>
    <s v="31-40 years"/>
    <n v="38"/>
    <x v="1"/>
    <x v="1"/>
    <x v="8"/>
    <s v="Normal"/>
    <n v="-1.0134224999999999"/>
    <x v="10"/>
    <x v="1"/>
    <n v="-1.1624711999999999"/>
    <n v="4"/>
    <s v="Normal"/>
    <n v="-0.72356116999999998"/>
    <n v="1.3333333999999999"/>
    <n v="1"/>
    <x v="0"/>
    <n v="-0.96648495999999995"/>
    <x v="397"/>
    <x v="1"/>
    <x v="1"/>
    <n v="10000"/>
    <n v="10000"/>
    <x v="26"/>
    <x v="26"/>
    <x v="5"/>
    <x v="5"/>
    <x v="2"/>
  </r>
  <r>
    <n v="3205"/>
    <x v="2"/>
    <s v="31-40 years"/>
    <n v="40"/>
    <x v="0"/>
    <x v="3"/>
    <x v="8"/>
    <s v="Normal"/>
    <n v="-1.0134224999999999"/>
    <x v="10"/>
    <x v="1"/>
    <n v="-1.1624711999999999"/>
    <n v="12"/>
    <s v="Moderate"/>
    <n v="4.6988415999999998E-2"/>
    <n v="4"/>
    <n v="4"/>
    <x v="0"/>
    <n v="-0.70963509999999996"/>
    <x v="418"/>
    <x v="1"/>
    <x v="1"/>
    <n v="5000"/>
    <n v="5000"/>
    <x v="2"/>
    <x v="2"/>
    <x v="1"/>
    <x v="1"/>
    <x v="1"/>
  </r>
  <r>
    <n v="4001"/>
    <x v="3"/>
    <s v="41-50 years"/>
    <n v="41"/>
    <x v="1"/>
    <x v="1"/>
    <x v="14"/>
    <s v="Severe"/>
    <n v="1.801202"/>
    <x v="15"/>
    <x v="2"/>
    <n v="1.7574476000000001"/>
    <n v="18"/>
    <s v="Moderate"/>
    <n v="0.62490060000000003"/>
    <n v="25.333334000000001"/>
    <n v="25"/>
    <x v="2"/>
    <n v="1.3945167000000001"/>
    <x v="419"/>
    <x v="2"/>
    <x v="2"/>
    <n v="3000"/>
    <n v="3000"/>
    <x v="22"/>
    <x v="22"/>
    <x v="3"/>
    <x v="3"/>
    <x v="0"/>
  </r>
  <r>
    <n v="4002"/>
    <x v="3"/>
    <s v="31-40 years"/>
    <n v="35"/>
    <x v="0"/>
    <x v="3"/>
    <x v="14"/>
    <s v="Severe"/>
    <n v="1.801202"/>
    <x v="18"/>
    <x v="3"/>
    <n v="2.5360925000000001"/>
    <n v="22"/>
    <s v="Severe"/>
    <n v="1.0101753"/>
    <n v="29.333334000000001"/>
    <n v="29"/>
    <x v="2"/>
    <n v="1.7824899999999999"/>
    <x v="420"/>
    <x v="3"/>
    <x v="3"/>
    <n v="1428.5714"/>
    <n v="1429"/>
    <x v="79"/>
    <x v="79"/>
    <x v="0"/>
    <x v="0"/>
    <x v="0"/>
  </r>
  <r>
    <n v="4003"/>
    <x v="3"/>
    <s v="51-60 years"/>
    <n v="59"/>
    <x v="0"/>
    <x v="6"/>
    <x v="3"/>
    <s v="Normal"/>
    <n v="-8.1994660000000007E-3"/>
    <x v="3"/>
    <x v="0"/>
    <n v="0.39481880000000003"/>
    <n v="8"/>
    <s v="Normal"/>
    <n v="-0.33828637"/>
    <n v="11.333333"/>
    <n v="11"/>
    <x v="1"/>
    <n v="1.6110992000000001E-2"/>
    <x v="290"/>
    <x v="0"/>
    <x v="0"/>
    <n v="10000"/>
    <n v="10000"/>
    <x v="26"/>
    <x v="26"/>
    <x v="5"/>
    <x v="5"/>
    <x v="2"/>
  </r>
  <r>
    <n v="4004"/>
    <x v="3"/>
    <s v="31-40 years"/>
    <n v="32"/>
    <x v="0"/>
    <x v="3"/>
    <x v="4"/>
    <s v="Normal"/>
    <n v="-0.61133329999999997"/>
    <x v="5"/>
    <x v="1"/>
    <n v="-0.57848745999999995"/>
    <n v="0"/>
    <s v="Normal"/>
    <n v="-1.1088359000000001"/>
    <n v="3.3333333000000001"/>
    <n v="3"/>
    <x v="0"/>
    <n v="-0.76621890000000004"/>
    <x v="45"/>
    <x v="1"/>
    <x v="1"/>
    <n v="5000"/>
    <n v="5000"/>
    <x v="2"/>
    <x v="2"/>
    <x v="1"/>
    <x v="1"/>
    <x v="1"/>
  </r>
  <r>
    <n v="4005"/>
    <x v="3"/>
    <s v="41-50 years"/>
    <n v="45"/>
    <x v="1"/>
    <x v="1"/>
    <x v="17"/>
    <s v="Severe"/>
    <n v="2.0022465999999999"/>
    <x v="15"/>
    <x v="2"/>
    <n v="1.7574476000000001"/>
    <n v="22"/>
    <s v="Severe"/>
    <n v="1.0101753"/>
    <n v="27.333334000000001"/>
    <n v="27"/>
    <x v="2"/>
    <n v="1.5899565"/>
    <x v="421"/>
    <x v="3"/>
    <x v="3"/>
    <n v="2000"/>
    <n v="2000"/>
    <x v="11"/>
    <x v="11"/>
    <x v="4"/>
    <x v="4"/>
    <x v="0"/>
  </r>
  <r>
    <n v="4006"/>
    <x v="3"/>
    <s v="41-50 years"/>
    <n v="42"/>
    <x v="0"/>
    <x v="3"/>
    <x v="12"/>
    <s v="Moderate"/>
    <n v="0.79597896000000001"/>
    <x v="4"/>
    <x v="0"/>
    <n v="0.20015757000000001"/>
    <n v="16"/>
    <s v="Moderate"/>
    <n v="0.43226320000000001"/>
    <n v="16"/>
    <n v="16"/>
    <x v="1"/>
    <n v="0.47613323000000002"/>
    <x v="422"/>
    <x v="2"/>
    <x v="2"/>
    <n v="3750"/>
    <n v="3750"/>
    <x v="15"/>
    <x v="15"/>
    <x v="3"/>
    <x v="3"/>
    <x v="0"/>
  </r>
  <r>
    <n v="4007"/>
    <x v="3"/>
    <s v="31-40 years"/>
    <n v="35"/>
    <x v="0"/>
    <x v="0"/>
    <x v="0"/>
    <s v="Normal"/>
    <n v="-0.41028870000000001"/>
    <x v="7"/>
    <x v="1"/>
    <n v="-0.38382620000000001"/>
    <n v="4"/>
    <s v="Normal"/>
    <n v="-0.72356116999999998"/>
    <n v="6"/>
    <n v="6"/>
    <x v="0"/>
    <n v="-0.50589203999999999"/>
    <x v="423"/>
    <x v="0"/>
    <x v="0"/>
    <n v="3333.3332999999998"/>
    <n v="3333"/>
    <x v="10"/>
    <x v="10"/>
    <x v="3"/>
    <x v="3"/>
    <x v="0"/>
  </r>
  <r>
    <n v="4008"/>
    <x v="3"/>
    <s v="31-40 years"/>
    <n v="39"/>
    <x v="0"/>
    <x v="3"/>
    <x v="8"/>
    <s v="Normal"/>
    <n v="-1.0134224999999999"/>
    <x v="10"/>
    <x v="1"/>
    <n v="-1.1624711999999999"/>
    <n v="0"/>
    <s v="Normal"/>
    <n v="-1.1088359000000001"/>
    <n v="0"/>
    <n v="0"/>
    <x v="0"/>
    <n v="-1.0949099"/>
    <x v="72"/>
    <x v="1"/>
    <x v="1"/>
    <n v="3333.3332999999998"/>
    <n v="3333"/>
    <x v="10"/>
    <x v="10"/>
    <x v="3"/>
    <x v="3"/>
    <x v="0"/>
  </r>
  <r>
    <n v="4009"/>
    <x v="3"/>
    <s v="31-40 years"/>
    <n v="38"/>
    <x v="0"/>
    <x v="3"/>
    <x v="8"/>
    <s v="Normal"/>
    <n v="-1.0134224999999999"/>
    <x v="10"/>
    <x v="1"/>
    <n v="-1.1624711999999999"/>
    <n v="0"/>
    <s v="Normal"/>
    <n v="-1.1088359000000001"/>
    <n v="0"/>
    <n v="0"/>
    <x v="0"/>
    <n v="-1.0949099"/>
    <x v="72"/>
    <x v="1"/>
    <x v="1"/>
    <n v="5000"/>
    <n v="5000"/>
    <x v="2"/>
    <x v="2"/>
    <x v="1"/>
    <x v="1"/>
    <x v="1"/>
  </r>
  <r>
    <n v="4010"/>
    <x v="3"/>
    <s v="31-40 years"/>
    <n v="37"/>
    <x v="0"/>
    <x v="3"/>
    <x v="4"/>
    <s v="Normal"/>
    <n v="-0.61133329999999997"/>
    <x v="2"/>
    <x v="1"/>
    <n v="-0.9678099"/>
    <n v="2"/>
    <s v="Normal"/>
    <n v="-0.91619854999999994"/>
    <n v="2.6666666999999999"/>
    <n v="3"/>
    <x v="0"/>
    <n v="-0.83178059999999998"/>
    <x v="13"/>
    <x v="1"/>
    <x v="1"/>
    <n v="7500"/>
    <n v="7500"/>
    <x v="13"/>
    <x v="13"/>
    <x v="5"/>
    <x v="5"/>
    <x v="2"/>
  </r>
  <r>
    <n v="4011"/>
    <x v="3"/>
    <s v="31-40 years"/>
    <n v="38"/>
    <x v="0"/>
    <x v="3"/>
    <x v="0"/>
    <s v="Normal"/>
    <n v="-0.41028870000000001"/>
    <x v="10"/>
    <x v="1"/>
    <n v="-1.1624711999999999"/>
    <n v="0"/>
    <s v="Normal"/>
    <n v="-1.1088359000000001"/>
    <n v="2"/>
    <n v="2"/>
    <x v="0"/>
    <n v="-0.89386529999999997"/>
    <x v="424"/>
    <x v="1"/>
    <x v="1"/>
    <n v="7500"/>
    <n v="7500"/>
    <x v="13"/>
    <x v="13"/>
    <x v="5"/>
    <x v="5"/>
    <x v="2"/>
  </r>
  <r>
    <n v="4012"/>
    <x v="3"/>
    <s v="41-50 years"/>
    <n v="49"/>
    <x v="0"/>
    <x v="3"/>
    <x v="0"/>
    <s v="Normal"/>
    <n v="-0.41028870000000001"/>
    <x v="5"/>
    <x v="1"/>
    <n v="-0.57848745999999995"/>
    <n v="0"/>
    <s v="Normal"/>
    <n v="-1.1088359000000001"/>
    <n v="4"/>
    <n v="4"/>
    <x v="0"/>
    <n v="-0.69920400000000005"/>
    <x v="22"/>
    <x v="1"/>
    <x v="1"/>
    <n v="3500"/>
    <n v="3500"/>
    <x v="39"/>
    <x v="39"/>
    <x v="3"/>
    <x v="3"/>
    <x v="0"/>
  </r>
  <r>
    <n v="4013"/>
    <x v="3"/>
    <s v="31-40 years"/>
    <n v="38"/>
    <x v="0"/>
    <x v="3"/>
    <x v="1"/>
    <s v="Normal"/>
    <n v="-0.81237789999999999"/>
    <x v="10"/>
    <x v="1"/>
    <n v="-1.1624711999999999"/>
    <n v="0"/>
    <s v="Normal"/>
    <n v="-1.1088359000000001"/>
    <n v="0.66666669999999995"/>
    <n v="1"/>
    <x v="0"/>
    <n v="-1.027895"/>
    <x v="425"/>
    <x v="1"/>
    <x v="1"/>
    <n v="4000"/>
    <n v="4000"/>
    <x v="7"/>
    <x v="7"/>
    <x v="3"/>
    <x v="3"/>
    <x v="0"/>
  </r>
  <r>
    <n v="4014"/>
    <x v="3"/>
    <s v="41-50 years"/>
    <n v="44"/>
    <x v="0"/>
    <x v="3"/>
    <x v="1"/>
    <s v="Normal"/>
    <n v="-0.81237789999999999"/>
    <x v="10"/>
    <x v="1"/>
    <n v="-1.1624711999999999"/>
    <n v="0"/>
    <s v="Normal"/>
    <n v="-1.1088359000000001"/>
    <n v="0.66666669999999995"/>
    <n v="1"/>
    <x v="0"/>
    <n v="-1.027895"/>
    <x v="425"/>
    <x v="1"/>
    <x v="1"/>
    <n v="3333.3332999999998"/>
    <n v="3333"/>
    <x v="10"/>
    <x v="10"/>
    <x v="3"/>
    <x v="3"/>
    <x v="0"/>
  </r>
  <r>
    <n v="4015"/>
    <x v="3"/>
    <s v="31-40 years"/>
    <n v="36"/>
    <x v="0"/>
    <x v="3"/>
    <x v="4"/>
    <s v="Normal"/>
    <n v="-0.61133329999999997"/>
    <x v="7"/>
    <x v="1"/>
    <n v="-0.38382620000000001"/>
    <n v="0"/>
    <s v="Normal"/>
    <n v="-1.1088359000000001"/>
    <n v="4"/>
    <n v="4"/>
    <x v="0"/>
    <n v="-0.70133179999999995"/>
    <x v="40"/>
    <x v="1"/>
    <x v="1"/>
    <n v="4000"/>
    <n v="4000"/>
    <x v="7"/>
    <x v="7"/>
    <x v="3"/>
    <x v="3"/>
    <x v="0"/>
  </r>
  <r>
    <n v="4016"/>
    <x v="3"/>
    <s v="41-50 years"/>
    <n v="43"/>
    <x v="0"/>
    <x v="3"/>
    <x v="8"/>
    <s v="Normal"/>
    <n v="-1.0134224999999999"/>
    <x v="10"/>
    <x v="1"/>
    <n v="-1.1624711999999999"/>
    <n v="0"/>
    <s v="Normal"/>
    <n v="-1.1088359000000001"/>
    <n v="0"/>
    <n v="0"/>
    <x v="0"/>
    <n v="-1.0949099"/>
    <x v="72"/>
    <x v="1"/>
    <x v="1"/>
    <n v="3750"/>
    <n v="3750"/>
    <x v="15"/>
    <x v="15"/>
    <x v="3"/>
    <x v="3"/>
    <x v="0"/>
  </r>
  <r>
    <n v="4017"/>
    <x v="3"/>
    <s v="21-30 years"/>
    <n v="28"/>
    <x v="0"/>
    <x v="3"/>
    <x v="1"/>
    <s v="Normal"/>
    <n v="-0.81237789999999999"/>
    <x v="2"/>
    <x v="1"/>
    <n v="-0.9678099"/>
    <n v="0"/>
    <s v="Normal"/>
    <n v="-1.1088359000000001"/>
    <n v="1.3333333999999999"/>
    <n v="1"/>
    <x v="0"/>
    <n v="-0.96300790000000003"/>
    <x v="17"/>
    <x v="1"/>
    <x v="1"/>
    <n v="3750"/>
    <n v="3750"/>
    <x v="15"/>
    <x v="15"/>
    <x v="3"/>
    <x v="3"/>
    <x v="0"/>
  </r>
  <r>
    <n v="4018"/>
    <x v="3"/>
    <s v="41-50 years"/>
    <n v="46"/>
    <x v="1"/>
    <x v="3"/>
    <x v="2"/>
    <s v="Normal"/>
    <n v="-0.20924408999999999"/>
    <x v="17"/>
    <x v="0"/>
    <n v="0.78414130000000004"/>
    <n v="22"/>
    <s v="Severe"/>
    <n v="1.0101753"/>
    <n v="16.666665999999999"/>
    <n v="17"/>
    <x v="1"/>
    <n v="0.52835750000000004"/>
    <x v="426"/>
    <x v="2"/>
    <x v="2"/>
    <n v="6250"/>
    <n v="6250"/>
    <x v="27"/>
    <x v="27"/>
    <x v="2"/>
    <x v="2"/>
    <x v="2"/>
  </r>
  <r>
    <n v="4019"/>
    <x v="3"/>
    <s v="31-40 years"/>
    <n v="40"/>
    <x v="1"/>
    <x v="1"/>
    <x v="0"/>
    <s v="Normal"/>
    <n v="-0.41028870000000001"/>
    <x v="7"/>
    <x v="1"/>
    <n v="-0.38382620000000001"/>
    <n v="14"/>
    <s v="Moderate"/>
    <n v="0.23962580999999999"/>
    <n v="9.3333329999999997"/>
    <n v="9"/>
    <x v="0"/>
    <n v="-0.18482970000000001"/>
    <x v="263"/>
    <x v="0"/>
    <x v="0"/>
    <n v="5000"/>
    <n v="5000"/>
    <x v="2"/>
    <x v="2"/>
    <x v="1"/>
    <x v="1"/>
    <x v="1"/>
  </r>
  <r>
    <n v="4020"/>
    <x v="3"/>
    <s v="21-30 years"/>
    <n v="30"/>
    <x v="1"/>
    <x v="3"/>
    <x v="2"/>
    <s v="Normal"/>
    <n v="-0.20924408999999999"/>
    <x v="4"/>
    <x v="0"/>
    <n v="0.20015757000000001"/>
    <n v="8"/>
    <s v="Normal"/>
    <n v="-0.33828637"/>
    <n v="10"/>
    <n v="10"/>
    <x v="0"/>
    <n v="-0.11579096"/>
    <x v="427"/>
    <x v="0"/>
    <x v="0"/>
    <n v="5000"/>
    <n v="5000"/>
    <x v="2"/>
    <x v="2"/>
    <x v="1"/>
    <x v="1"/>
    <x v="1"/>
  </r>
  <r>
    <n v="4021"/>
    <x v="3"/>
    <s v="21-30 years"/>
    <n v="25"/>
    <x v="1"/>
    <x v="1"/>
    <x v="0"/>
    <s v="Normal"/>
    <n v="-0.41028870000000001"/>
    <x v="8"/>
    <x v="1"/>
    <n v="-0.18916494"/>
    <n v="10"/>
    <s v="Normal"/>
    <n v="-0.14564899000000001"/>
    <n v="8.6666670000000003"/>
    <n v="9"/>
    <x v="0"/>
    <n v="-0.24836753"/>
    <x v="276"/>
    <x v="0"/>
    <x v="0"/>
    <n v="6250"/>
    <n v="6250"/>
    <x v="27"/>
    <x v="27"/>
    <x v="2"/>
    <x v="2"/>
    <x v="2"/>
  </r>
  <r>
    <n v="4022"/>
    <x v="3"/>
    <s v="31-40 years"/>
    <n v="31"/>
    <x v="1"/>
    <x v="1"/>
    <x v="6"/>
    <s v="Moderate"/>
    <n v="0.59493434000000001"/>
    <x v="3"/>
    <x v="0"/>
    <n v="0.39481880000000003"/>
    <n v="14"/>
    <s v="Moderate"/>
    <n v="0.23962580999999999"/>
    <n v="15.333333"/>
    <n v="15"/>
    <x v="1"/>
    <n v="0.40979300000000002"/>
    <x v="252"/>
    <x v="2"/>
    <x v="2"/>
    <n v="2500"/>
    <n v="2500"/>
    <x v="12"/>
    <x v="12"/>
    <x v="4"/>
    <x v="4"/>
    <x v="0"/>
  </r>
  <r>
    <n v="4023"/>
    <x v="3"/>
    <s v="31-40 years"/>
    <n v="31"/>
    <x v="0"/>
    <x v="3"/>
    <x v="2"/>
    <s v="Normal"/>
    <n v="-0.20924408999999999"/>
    <x v="8"/>
    <x v="1"/>
    <n v="-0.18916494"/>
    <n v="6"/>
    <s v="Normal"/>
    <n v="-0.53092379999999995"/>
    <n v="8"/>
    <n v="8"/>
    <x v="0"/>
    <n v="-0.30977761999999998"/>
    <x v="428"/>
    <x v="0"/>
    <x v="0"/>
    <n v="10000"/>
    <n v="10000"/>
    <x v="26"/>
    <x v="26"/>
    <x v="5"/>
    <x v="5"/>
    <x v="2"/>
  </r>
  <r>
    <n v="4024"/>
    <x v="3"/>
    <s v="21-30 years"/>
    <n v="30"/>
    <x v="1"/>
    <x v="0"/>
    <x v="0"/>
    <s v="Normal"/>
    <n v="-0.41028870000000001"/>
    <x v="9"/>
    <x v="2"/>
    <n v="0.97880255999999999"/>
    <n v="16"/>
    <s v="Moderate"/>
    <n v="0.43226320000000001"/>
    <n v="14.666667"/>
    <n v="15"/>
    <x v="1"/>
    <n v="0.33359235999999998"/>
    <x v="429"/>
    <x v="0"/>
    <x v="0"/>
    <n v="5000"/>
    <n v="5000"/>
    <x v="2"/>
    <x v="2"/>
    <x v="1"/>
    <x v="1"/>
    <x v="1"/>
  </r>
  <r>
    <n v="4025"/>
    <x v="3"/>
    <s v="41-50 years"/>
    <n v="43"/>
    <x v="1"/>
    <x v="3"/>
    <x v="7"/>
    <s v="Moderate"/>
    <n v="0.19284514999999999"/>
    <x v="6"/>
    <x v="0"/>
    <n v="0.58948003999999998"/>
    <n v="8"/>
    <s v="Normal"/>
    <n v="-0.33828637"/>
    <n v="12.666667"/>
    <n v="13"/>
    <x v="1"/>
    <n v="0.14801294000000001"/>
    <x v="430"/>
    <x v="0"/>
    <x v="0"/>
    <n v="6250"/>
    <n v="6250"/>
    <x v="27"/>
    <x v="27"/>
    <x v="2"/>
    <x v="2"/>
    <x v="2"/>
  </r>
  <r>
    <n v="4026"/>
    <x v="3"/>
    <s v="21-30 years"/>
    <n v="25"/>
    <x v="1"/>
    <x v="0"/>
    <x v="2"/>
    <s v="Normal"/>
    <n v="-0.20924408999999999"/>
    <x v="8"/>
    <x v="1"/>
    <n v="-0.18916494"/>
    <n v="12"/>
    <s v="Moderate"/>
    <n v="4.6988415999999998E-2"/>
    <n v="10"/>
    <n v="10"/>
    <x v="0"/>
    <n v="-0.1171402"/>
    <x v="250"/>
    <x v="0"/>
    <x v="0"/>
    <n v="3333.3332999999998"/>
    <n v="3333"/>
    <x v="10"/>
    <x v="10"/>
    <x v="3"/>
    <x v="3"/>
    <x v="0"/>
  </r>
  <r>
    <n v="4027"/>
    <x v="3"/>
    <s v="31-40 years"/>
    <n v="31"/>
    <x v="1"/>
    <x v="1"/>
    <x v="3"/>
    <s v="Normal"/>
    <n v="-8.1994660000000007E-3"/>
    <x v="4"/>
    <x v="0"/>
    <n v="0.20015757000000001"/>
    <n v="10"/>
    <s v="Normal"/>
    <n v="-0.14564899000000001"/>
    <n v="11.333333"/>
    <n v="11"/>
    <x v="1"/>
    <n v="1.5436372E-2"/>
    <x v="431"/>
    <x v="0"/>
    <x v="0"/>
    <n v="5000"/>
    <n v="5000"/>
    <x v="2"/>
    <x v="2"/>
    <x v="1"/>
    <x v="1"/>
    <x v="1"/>
  </r>
  <r>
    <n v="4028"/>
    <x v="3"/>
    <s v="21-30 years"/>
    <n v="26"/>
    <x v="1"/>
    <x v="3"/>
    <x v="3"/>
    <s v="Normal"/>
    <n v="-8.1994660000000007E-3"/>
    <x v="17"/>
    <x v="0"/>
    <n v="0.78414130000000004"/>
    <n v="26"/>
    <s v="Severe"/>
    <n v="1.3954502"/>
    <n v="18.666665999999999"/>
    <n v="19"/>
    <x v="1"/>
    <n v="0.72379740000000004"/>
    <x v="432"/>
    <x v="2"/>
    <x v="2"/>
    <n v="7500"/>
    <n v="7500"/>
    <x v="13"/>
    <x v="13"/>
    <x v="5"/>
    <x v="5"/>
    <x v="2"/>
  </r>
  <r>
    <n v="4029"/>
    <x v="3"/>
    <s v="31-40 years"/>
    <n v="32"/>
    <x v="1"/>
    <x v="0"/>
    <x v="13"/>
    <s v="Severe"/>
    <n v="1.3991127999999999"/>
    <x v="3"/>
    <x v="0"/>
    <n v="0.39481880000000003"/>
    <n v="26"/>
    <s v="Severe"/>
    <n v="1.3954502"/>
    <n v="22"/>
    <n v="22"/>
    <x v="2"/>
    <n v="1.0631273000000001"/>
    <x v="433"/>
    <x v="2"/>
    <x v="2"/>
    <n v="20000"/>
    <n v="20000"/>
    <x v="56"/>
    <x v="56"/>
    <x v="5"/>
    <x v="5"/>
    <x v="2"/>
  </r>
  <r>
    <n v="4030"/>
    <x v="3"/>
    <s v="21-30 years"/>
    <n v="25"/>
    <x v="1"/>
    <x v="1"/>
    <x v="13"/>
    <s v="Severe"/>
    <n v="1.3991127999999999"/>
    <x v="9"/>
    <x v="2"/>
    <n v="0.97880255999999999"/>
    <n v="14"/>
    <s v="Moderate"/>
    <n v="0.23962580999999999"/>
    <n v="20"/>
    <n v="20"/>
    <x v="1"/>
    <n v="0.87251369999999995"/>
    <x v="434"/>
    <x v="2"/>
    <x v="2"/>
    <n v="3750"/>
    <n v="3750"/>
    <x v="15"/>
    <x v="15"/>
    <x v="3"/>
    <x v="3"/>
    <x v="0"/>
  </r>
  <r>
    <n v="4031"/>
    <x v="3"/>
    <s v="31-40 years"/>
    <n v="35"/>
    <x v="0"/>
    <x v="0"/>
    <x v="13"/>
    <s v="Severe"/>
    <n v="1.3991127999999999"/>
    <x v="4"/>
    <x v="0"/>
    <n v="0.20015757000000001"/>
    <n v="20"/>
    <s v="Moderate"/>
    <n v="0.81753799999999999"/>
    <n v="19.333334000000001"/>
    <n v="19"/>
    <x v="1"/>
    <n v="0.80560279999999995"/>
    <x v="435"/>
    <x v="2"/>
    <x v="2"/>
    <n v="3750"/>
    <n v="3750"/>
    <x v="15"/>
    <x v="15"/>
    <x v="3"/>
    <x v="3"/>
    <x v="0"/>
  </r>
  <r>
    <n v="4032"/>
    <x v="3"/>
    <s v="31-40 years"/>
    <n v="35"/>
    <x v="0"/>
    <x v="5"/>
    <x v="13"/>
    <s v="Severe"/>
    <n v="1.3991127999999999"/>
    <x v="17"/>
    <x v="0"/>
    <n v="0.78414130000000004"/>
    <n v="26"/>
    <s v="Severe"/>
    <n v="1.3954502"/>
    <n v="23.333334000000001"/>
    <n v="23"/>
    <x v="2"/>
    <n v="1.1929015000000001"/>
    <x v="105"/>
    <x v="2"/>
    <x v="2"/>
    <n v="2500"/>
    <n v="2500"/>
    <x v="12"/>
    <x v="12"/>
    <x v="4"/>
    <x v="4"/>
    <x v="0"/>
  </r>
  <r>
    <n v="4033"/>
    <x v="3"/>
    <s v="31-40 years"/>
    <n v="34"/>
    <x v="0"/>
    <x v="0"/>
    <x v="3"/>
    <s v="Normal"/>
    <n v="-8.1994660000000007E-3"/>
    <x v="3"/>
    <x v="0"/>
    <n v="0.39481880000000003"/>
    <n v="14"/>
    <s v="Moderate"/>
    <n v="0.23962580999999999"/>
    <n v="13.333333"/>
    <n v="13"/>
    <x v="1"/>
    <n v="0.20874839000000001"/>
    <x v="6"/>
    <x v="0"/>
    <x v="0"/>
    <n v="3750"/>
    <n v="3750"/>
    <x v="15"/>
    <x v="15"/>
    <x v="3"/>
    <x v="3"/>
    <x v="0"/>
  </r>
  <r>
    <n v="4034"/>
    <x v="3"/>
    <s v="31-40 years"/>
    <n v="37"/>
    <x v="0"/>
    <x v="0"/>
    <x v="0"/>
    <s v="Normal"/>
    <n v="-0.41028870000000001"/>
    <x v="8"/>
    <x v="1"/>
    <n v="-0.18916494"/>
    <n v="10"/>
    <s v="Normal"/>
    <n v="-0.14564899000000001"/>
    <n v="8.6666670000000003"/>
    <n v="9"/>
    <x v="0"/>
    <n v="-0.24836753"/>
    <x v="276"/>
    <x v="0"/>
    <x v="0"/>
    <n v="25000"/>
    <n v="25000"/>
    <x v="80"/>
    <x v="80"/>
    <x v="5"/>
    <x v="5"/>
    <x v="2"/>
  </r>
  <r>
    <n v="4035"/>
    <x v="3"/>
    <s v="21-30 years"/>
    <n v="27"/>
    <x v="0"/>
    <x v="3"/>
    <x v="5"/>
    <s v="Moderate"/>
    <n v="0.39388975999999998"/>
    <x v="8"/>
    <x v="1"/>
    <n v="-0.18916494"/>
    <n v="16"/>
    <s v="Moderate"/>
    <n v="0.43226320000000001"/>
    <n v="13.333333"/>
    <n v="13"/>
    <x v="1"/>
    <n v="0.21232934000000001"/>
    <x v="436"/>
    <x v="0"/>
    <x v="0"/>
    <n v="2500"/>
    <n v="2500"/>
    <x v="12"/>
    <x v="12"/>
    <x v="4"/>
    <x v="4"/>
    <x v="0"/>
  </r>
  <r>
    <n v="4036"/>
    <x v="3"/>
    <s v="41-50 years"/>
    <n v="45"/>
    <x v="0"/>
    <x v="3"/>
    <x v="11"/>
    <s v="Moderate"/>
    <n v="0.99702360000000001"/>
    <x v="3"/>
    <x v="0"/>
    <n v="0.39481880000000003"/>
    <n v="18"/>
    <s v="Moderate"/>
    <n v="0.62490060000000003"/>
    <n v="18"/>
    <n v="18"/>
    <x v="1"/>
    <n v="0.67224764999999997"/>
    <x v="437"/>
    <x v="2"/>
    <x v="2"/>
    <n v="2500"/>
    <n v="2500"/>
    <x v="12"/>
    <x v="12"/>
    <x v="4"/>
    <x v="4"/>
    <x v="0"/>
  </r>
  <r>
    <n v="4037"/>
    <x v="3"/>
    <s v="31-40 years"/>
    <n v="38"/>
    <x v="0"/>
    <x v="3"/>
    <x v="0"/>
    <s v="Normal"/>
    <n v="-0.41028870000000001"/>
    <x v="8"/>
    <x v="1"/>
    <n v="-0.18916494"/>
    <n v="4"/>
    <s v="Normal"/>
    <n v="-0.72356116999999998"/>
    <n v="6.6666664999999998"/>
    <n v="7"/>
    <x v="0"/>
    <n v="-0.44100493000000002"/>
    <x v="298"/>
    <x v="0"/>
    <x v="0"/>
    <n v="5000"/>
    <n v="5000"/>
    <x v="2"/>
    <x v="2"/>
    <x v="1"/>
    <x v="1"/>
    <x v="1"/>
  </r>
  <r>
    <n v="4038"/>
    <x v="3"/>
    <s v="31-40 years"/>
    <n v="36"/>
    <x v="0"/>
    <x v="3"/>
    <x v="14"/>
    <s v="Severe"/>
    <n v="1.801202"/>
    <x v="12"/>
    <x v="2"/>
    <n v="1.1734637999999999"/>
    <n v="26"/>
    <s v="Severe"/>
    <n v="1.3954502"/>
    <n v="26"/>
    <n v="26"/>
    <x v="2"/>
    <n v="1.4567053000000001"/>
    <x v="438"/>
    <x v="3"/>
    <x v="3"/>
    <n v="1428.5714"/>
    <n v="1429"/>
    <x v="79"/>
    <x v="79"/>
    <x v="0"/>
    <x v="0"/>
    <x v="0"/>
  </r>
  <r>
    <n v="4039"/>
    <x v="3"/>
    <s v="41-50 years"/>
    <n v="48"/>
    <x v="0"/>
    <x v="0"/>
    <x v="1"/>
    <s v="Normal"/>
    <n v="-0.81237789999999999"/>
    <x v="2"/>
    <x v="1"/>
    <n v="-0.9678099"/>
    <n v="12"/>
    <s v="Moderate"/>
    <n v="4.6988415999999998E-2"/>
    <n v="5.3333335000000002"/>
    <n v="5"/>
    <x v="0"/>
    <n v="-0.57773315999999997"/>
    <x v="439"/>
    <x v="0"/>
    <x v="0"/>
    <n v="7500"/>
    <n v="7500"/>
    <x v="13"/>
    <x v="13"/>
    <x v="5"/>
    <x v="5"/>
    <x v="2"/>
  </r>
  <r>
    <n v="4040"/>
    <x v="3"/>
    <s v="31-40 years"/>
    <n v="37"/>
    <x v="0"/>
    <x v="0"/>
    <x v="7"/>
    <s v="Moderate"/>
    <n v="0.19284514999999999"/>
    <x v="0"/>
    <x v="0"/>
    <n v="5.496318E-3"/>
    <n v="8"/>
    <s v="Normal"/>
    <n v="-0.33828637"/>
    <n v="10.666667"/>
    <n v="11"/>
    <x v="1"/>
    <n v="-4.6648299999999997E-2"/>
    <x v="440"/>
    <x v="0"/>
    <x v="0"/>
    <n v="3750"/>
    <n v="3750"/>
    <x v="15"/>
    <x v="15"/>
    <x v="3"/>
    <x v="3"/>
    <x v="0"/>
  </r>
  <r>
    <n v="4041"/>
    <x v="3"/>
    <s v="21-30 years"/>
    <n v="30"/>
    <x v="0"/>
    <x v="5"/>
    <x v="13"/>
    <s v="Severe"/>
    <n v="1.3991127999999999"/>
    <x v="3"/>
    <x v="0"/>
    <n v="0.39481880000000003"/>
    <n v="20"/>
    <s v="Moderate"/>
    <n v="0.81753799999999999"/>
    <n v="20"/>
    <n v="20"/>
    <x v="1"/>
    <n v="0.87048990000000004"/>
    <x v="441"/>
    <x v="2"/>
    <x v="2"/>
    <n v="3333.3332999999998"/>
    <n v="3333"/>
    <x v="10"/>
    <x v="10"/>
    <x v="3"/>
    <x v="3"/>
    <x v="0"/>
  </r>
  <r>
    <n v="4042"/>
    <x v="3"/>
    <s v="51-60 years"/>
    <n v="55"/>
    <x v="0"/>
    <x v="0"/>
    <x v="5"/>
    <s v="Moderate"/>
    <n v="0.39388975999999998"/>
    <x v="12"/>
    <x v="2"/>
    <n v="1.1734637999999999"/>
    <n v="14"/>
    <s v="Moderate"/>
    <n v="0.23962580999999999"/>
    <n v="17.333334000000001"/>
    <n v="17"/>
    <x v="1"/>
    <n v="0.60232644999999996"/>
    <x v="442"/>
    <x v="2"/>
    <x v="2"/>
    <n v="3750"/>
    <n v="3750"/>
    <x v="15"/>
    <x v="15"/>
    <x v="3"/>
    <x v="3"/>
    <x v="0"/>
  </r>
  <r>
    <n v="4043"/>
    <x v="3"/>
    <s v="21-30 years"/>
    <n v="30"/>
    <x v="0"/>
    <x v="3"/>
    <x v="3"/>
    <s v="Normal"/>
    <n v="-8.1994660000000007E-3"/>
    <x v="2"/>
    <x v="1"/>
    <n v="-0.9678099"/>
    <n v="8"/>
    <s v="Normal"/>
    <n v="-0.33828637"/>
    <n v="6.6666664999999998"/>
    <n v="7"/>
    <x v="0"/>
    <n v="-0.43809858000000002"/>
    <x v="443"/>
    <x v="0"/>
    <x v="0"/>
    <n v="15000"/>
    <n v="15000"/>
    <x v="46"/>
    <x v="46"/>
    <x v="5"/>
    <x v="5"/>
    <x v="2"/>
  </r>
  <r>
    <n v="4044"/>
    <x v="3"/>
    <s v="31-40 years"/>
    <n v="32"/>
    <x v="0"/>
    <x v="3"/>
    <x v="3"/>
    <s v="Normal"/>
    <n v="-8.1994660000000007E-3"/>
    <x v="1"/>
    <x v="1"/>
    <n v="-0.77314866000000004"/>
    <n v="6"/>
    <s v="Normal"/>
    <n v="-0.53092379999999995"/>
    <n v="6.6666664999999998"/>
    <n v="7"/>
    <x v="0"/>
    <n v="-0.43742397"/>
    <x v="444"/>
    <x v="0"/>
    <x v="0"/>
    <n v="3333.3332999999998"/>
    <n v="3333"/>
    <x v="10"/>
    <x v="10"/>
    <x v="3"/>
    <x v="3"/>
    <x v="0"/>
  </r>
  <r>
    <n v="4045"/>
    <x v="3"/>
    <s v="31-40 years"/>
    <n v="38"/>
    <x v="0"/>
    <x v="0"/>
    <x v="13"/>
    <s v="Severe"/>
    <n v="1.3991127999999999"/>
    <x v="3"/>
    <x v="0"/>
    <n v="0.39481880000000003"/>
    <n v="20"/>
    <s v="Moderate"/>
    <n v="0.81753799999999999"/>
    <n v="20"/>
    <n v="20"/>
    <x v="1"/>
    <n v="0.87048990000000004"/>
    <x v="441"/>
    <x v="2"/>
    <x v="2"/>
    <n v="6250"/>
    <n v="6250"/>
    <x v="27"/>
    <x v="27"/>
    <x v="2"/>
    <x v="2"/>
    <x v="2"/>
  </r>
  <r>
    <n v="4046"/>
    <x v="3"/>
    <s v="31-40 years"/>
    <n v="32"/>
    <x v="0"/>
    <x v="3"/>
    <x v="2"/>
    <s v="Normal"/>
    <n v="-0.20924408999999999"/>
    <x v="5"/>
    <x v="1"/>
    <n v="-0.57848745999999995"/>
    <n v="4"/>
    <s v="Normal"/>
    <n v="-0.72356116999999998"/>
    <n v="6"/>
    <n v="6"/>
    <x v="0"/>
    <n v="-0.5037642"/>
    <x v="65"/>
    <x v="0"/>
    <x v="0"/>
    <n v="5000"/>
    <n v="5000"/>
    <x v="2"/>
    <x v="2"/>
    <x v="1"/>
    <x v="1"/>
    <x v="1"/>
  </r>
  <r>
    <n v="4047"/>
    <x v="3"/>
    <s v="41-50 years"/>
    <n v="44"/>
    <x v="0"/>
    <x v="0"/>
    <x v="1"/>
    <s v="Normal"/>
    <n v="-0.81237789999999999"/>
    <x v="2"/>
    <x v="1"/>
    <n v="-0.9678099"/>
    <n v="0"/>
    <s v="Normal"/>
    <n v="-1.1088359000000001"/>
    <n v="1.3333333999999999"/>
    <n v="1"/>
    <x v="0"/>
    <n v="-0.96300790000000003"/>
    <x v="17"/>
    <x v="1"/>
    <x v="1"/>
    <n v="5000"/>
    <n v="5000"/>
    <x v="2"/>
    <x v="2"/>
    <x v="1"/>
    <x v="1"/>
    <x v="1"/>
  </r>
  <r>
    <n v="4048"/>
    <x v="3"/>
    <s v="31-40 years"/>
    <n v="32"/>
    <x v="0"/>
    <x v="3"/>
    <x v="6"/>
    <s v="Moderate"/>
    <n v="0.59493434000000001"/>
    <x v="0"/>
    <x v="0"/>
    <n v="5.496318E-3"/>
    <n v="20"/>
    <s v="Moderate"/>
    <n v="0.81753799999999999"/>
    <n v="16"/>
    <n v="16"/>
    <x v="1"/>
    <n v="0.47265622000000002"/>
    <x v="445"/>
    <x v="2"/>
    <x v="2"/>
    <n v="5000"/>
    <n v="5000"/>
    <x v="2"/>
    <x v="2"/>
    <x v="1"/>
    <x v="1"/>
    <x v="1"/>
  </r>
  <r>
    <n v="4049"/>
    <x v="3"/>
    <s v="21-30 years"/>
    <n v="29"/>
    <x v="0"/>
    <x v="0"/>
    <x v="1"/>
    <s v="Normal"/>
    <n v="-0.81237789999999999"/>
    <x v="2"/>
    <x v="1"/>
    <n v="-0.9678099"/>
    <n v="2"/>
    <s v="Normal"/>
    <n v="-0.91619854999999994"/>
    <n v="2"/>
    <n v="2"/>
    <x v="0"/>
    <n v="-0.89879549999999997"/>
    <x v="2"/>
    <x v="1"/>
    <x v="1"/>
    <n v="5000"/>
    <n v="5000"/>
    <x v="2"/>
    <x v="2"/>
    <x v="1"/>
    <x v="1"/>
    <x v="1"/>
  </r>
  <r>
    <n v="4050"/>
    <x v="3"/>
    <s v="51-60 years"/>
    <n v="53"/>
    <x v="0"/>
    <x v="3"/>
    <x v="4"/>
    <s v="Normal"/>
    <n v="-0.61133329999999997"/>
    <x v="1"/>
    <x v="1"/>
    <n v="-0.77314866000000004"/>
    <n v="2"/>
    <s v="Normal"/>
    <n v="-0.91619854999999994"/>
    <n v="3.3333333000000001"/>
    <n v="3"/>
    <x v="0"/>
    <n v="-0.76689350000000001"/>
    <x v="59"/>
    <x v="1"/>
    <x v="1"/>
    <n v="3000"/>
    <n v="3000"/>
    <x v="22"/>
    <x v="22"/>
    <x v="3"/>
    <x v="3"/>
    <x v="0"/>
  </r>
  <r>
    <n v="4051"/>
    <x v="3"/>
    <s v="21-30 years"/>
    <n v="30"/>
    <x v="0"/>
    <x v="5"/>
    <x v="15"/>
    <s v="Extremely Severe"/>
    <n v="2.2032911999999998"/>
    <x v="3"/>
    <x v="0"/>
    <n v="0.39481880000000003"/>
    <n v="18"/>
    <s v="Moderate"/>
    <n v="0.62490060000000003"/>
    <n v="22"/>
    <n v="22"/>
    <x v="2"/>
    <n v="1.0743369"/>
    <x v="446"/>
    <x v="2"/>
    <x v="2"/>
    <n v="2500"/>
    <n v="2500"/>
    <x v="12"/>
    <x v="12"/>
    <x v="4"/>
    <x v="4"/>
    <x v="0"/>
  </r>
  <r>
    <n v="4052"/>
    <x v="3"/>
    <s v="21-30 years"/>
    <n v="30"/>
    <x v="0"/>
    <x v="3"/>
    <x v="1"/>
    <s v="Normal"/>
    <n v="-0.81237789999999999"/>
    <x v="1"/>
    <x v="1"/>
    <n v="-0.77314866000000004"/>
    <n v="4"/>
    <s v="Normal"/>
    <n v="-0.72356116999999998"/>
    <n v="3.3333333000000001"/>
    <n v="3"/>
    <x v="0"/>
    <n v="-0.76969593999999997"/>
    <x v="52"/>
    <x v="1"/>
    <x v="1"/>
    <n v="4166.6665000000003"/>
    <n v="4167"/>
    <x v="24"/>
    <x v="24"/>
    <x v="3"/>
    <x v="3"/>
    <x v="0"/>
  </r>
  <r>
    <n v="4053"/>
    <x v="3"/>
    <s v="31-40 years"/>
    <n v="31"/>
    <x v="0"/>
    <x v="0"/>
    <x v="6"/>
    <s v="Moderate"/>
    <n v="0.59493434000000001"/>
    <x v="3"/>
    <x v="0"/>
    <n v="0.39481880000000003"/>
    <n v="20"/>
    <s v="Moderate"/>
    <n v="0.81753799999999999"/>
    <n v="17.333334000000001"/>
    <n v="17"/>
    <x v="1"/>
    <n v="0.60243040000000003"/>
    <x v="447"/>
    <x v="2"/>
    <x v="2"/>
    <n v="5000"/>
    <n v="5000"/>
    <x v="2"/>
    <x v="2"/>
    <x v="1"/>
    <x v="1"/>
    <x v="1"/>
  </r>
  <r>
    <n v="4054"/>
    <x v="3"/>
    <s v="21-30 years"/>
    <n v="30"/>
    <x v="1"/>
    <x v="1"/>
    <x v="20"/>
    <s v="Extremely Severe"/>
    <n v="3.2085145000000002"/>
    <x v="18"/>
    <x v="3"/>
    <n v="2.5360925000000001"/>
    <n v="36"/>
    <s v="Extremely Severe"/>
    <n v="2.3586369999999999"/>
    <n v="38.666668000000001"/>
    <n v="39"/>
    <x v="3"/>
    <n v="2.7010812999999998"/>
    <x v="448"/>
    <x v="4"/>
    <x v="3"/>
    <n v="5000"/>
    <n v="5000"/>
    <x v="2"/>
    <x v="2"/>
    <x v="1"/>
    <x v="1"/>
    <x v="1"/>
  </r>
  <r>
    <n v="4055"/>
    <x v="3"/>
    <s v="41-50 years"/>
    <n v="47"/>
    <x v="0"/>
    <x v="3"/>
    <x v="4"/>
    <s v="Normal"/>
    <n v="-0.61133329999999997"/>
    <x v="5"/>
    <x v="1"/>
    <n v="-0.57848745999999995"/>
    <n v="10"/>
    <s v="Normal"/>
    <n v="-0.14564899000000001"/>
    <n v="6.6666664999999998"/>
    <n v="7"/>
    <x v="0"/>
    <n v="-0.44515656999999997"/>
    <x v="414"/>
    <x v="0"/>
    <x v="0"/>
    <n v="10000"/>
    <n v="10000"/>
    <x v="26"/>
    <x v="26"/>
    <x v="5"/>
    <x v="5"/>
    <x v="2"/>
  </r>
  <r>
    <n v="4056"/>
    <x v="3"/>
    <s v="21-30 years"/>
    <n v="25"/>
    <x v="0"/>
    <x v="0"/>
    <x v="19"/>
    <s v="Extremely Severe"/>
    <n v="2.8064249999999999"/>
    <x v="19"/>
    <x v="3"/>
    <n v="2.3414313999999998"/>
    <n v="30"/>
    <s v="Severe"/>
    <n v="1.7807249999999999"/>
    <n v="34.666668000000001"/>
    <n v="35"/>
    <x v="3"/>
    <n v="2.3095271999999998"/>
    <x v="449"/>
    <x v="3"/>
    <x v="3"/>
    <n v="4250"/>
    <n v="4250"/>
    <x v="41"/>
    <x v="41"/>
    <x v="3"/>
    <x v="3"/>
    <x v="0"/>
  </r>
  <r>
    <n v="4057"/>
    <x v="3"/>
    <s v="31-40 years"/>
    <n v="31"/>
    <x v="0"/>
    <x v="0"/>
    <x v="9"/>
    <s v="Severe"/>
    <n v="1.6001574999999999"/>
    <x v="15"/>
    <x v="2"/>
    <n v="1.7574476000000001"/>
    <n v="32"/>
    <s v="Extremely Severe"/>
    <n v="1.9733623"/>
    <n v="29.333334000000001"/>
    <n v="29"/>
    <x v="2"/>
    <n v="1.7769891"/>
    <x v="234"/>
    <x v="3"/>
    <x v="3"/>
    <n v="3750"/>
    <n v="3750"/>
    <x v="15"/>
    <x v="15"/>
    <x v="3"/>
    <x v="3"/>
    <x v="0"/>
  </r>
  <r>
    <n v="4058"/>
    <x v="3"/>
    <s v="21-30 years"/>
    <n v="29"/>
    <x v="1"/>
    <x v="3"/>
    <x v="5"/>
    <s v="Moderate"/>
    <n v="0.39388975999999998"/>
    <x v="12"/>
    <x v="2"/>
    <n v="1.1734637999999999"/>
    <n v="16"/>
    <s v="Moderate"/>
    <n v="0.43226320000000001"/>
    <n v="18"/>
    <n v="18"/>
    <x v="1"/>
    <n v="0.66653894999999996"/>
    <x v="450"/>
    <x v="2"/>
    <x v="2"/>
    <n v="3000"/>
    <n v="3000"/>
    <x v="22"/>
    <x v="22"/>
    <x v="3"/>
    <x v="3"/>
    <x v="0"/>
  </r>
  <r>
    <n v="4059"/>
    <x v="3"/>
    <s v="31-40 years"/>
    <n v="35"/>
    <x v="1"/>
    <x v="3"/>
    <x v="2"/>
    <s v="Normal"/>
    <n v="-0.20924408999999999"/>
    <x v="0"/>
    <x v="0"/>
    <n v="5.496318E-3"/>
    <n v="0"/>
    <s v="Normal"/>
    <n v="-1.1088359000000001"/>
    <n v="6.6666664999999998"/>
    <n v="7"/>
    <x v="0"/>
    <n v="-0.43752790000000003"/>
    <x v="451"/>
    <x v="0"/>
    <x v="0"/>
    <n v="5000"/>
    <n v="5000"/>
    <x v="2"/>
    <x v="2"/>
    <x v="1"/>
    <x v="1"/>
    <x v="1"/>
  </r>
  <r>
    <n v="4060"/>
    <x v="3"/>
    <s v="21-30 years"/>
    <n v="26"/>
    <x v="1"/>
    <x v="3"/>
    <x v="4"/>
    <s v="Normal"/>
    <n v="-0.61133329999999997"/>
    <x v="2"/>
    <x v="1"/>
    <n v="-0.9678099"/>
    <n v="0"/>
    <s v="Normal"/>
    <n v="-1.1088359000000001"/>
    <n v="2"/>
    <n v="2"/>
    <x v="0"/>
    <n v="-0.89599304999999996"/>
    <x v="452"/>
    <x v="1"/>
    <x v="1"/>
    <n v="3000"/>
    <n v="3000"/>
    <x v="22"/>
    <x v="22"/>
    <x v="3"/>
    <x v="3"/>
    <x v="0"/>
  </r>
  <r>
    <n v="4061"/>
    <x v="3"/>
    <s v="21-30 years"/>
    <n v="30"/>
    <x v="1"/>
    <x v="1"/>
    <x v="8"/>
    <s v="Normal"/>
    <n v="-1.0134224999999999"/>
    <x v="10"/>
    <x v="1"/>
    <n v="-1.1624711999999999"/>
    <n v="0"/>
    <s v="Normal"/>
    <n v="-1.1088359000000001"/>
    <n v="0"/>
    <n v="0"/>
    <x v="0"/>
    <n v="-1.0949099"/>
    <x v="72"/>
    <x v="1"/>
    <x v="1"/>
    <n v="3000"/>
    <n v="3000"/>
    <x v="22"/>
    <x v="22"/>
    <x v="3"/>
    <x v="3"/>
    <x v="0"/>
  </r>
  <r>
    <n v="4062"/>
    <x v="3"/>
    <s v="31-40 years"/>
    <n v="35"/>
    <x v="1"/>
    <x v="3"/>
    <x v="8"/>
    <s v="Normal"/>
    <n v="-1.0134224999999999"/>
    <x v="10"/>
    <x v="1"/>
    <n v="-1.1624711999999999"/>
    <n v="4"/>
    <s v="Normal"/>
    <n v="-0.72356116999999998"/>
    <n v="1.3333333999999999"/>
    <n v="1"/>
    <x v="0"/>
    <n v="-0.96648495999999995"/>
    <x v="397"/>
    <x v="1"/>
    <x v="1"/>
    <n v="3750"/>
    <n v="3750"/>
    <x v="15"/>
    <x v="15"/>
    <x v="3"/>
    <x v="3"/>
    <x v="0"/>
  </r>
  <r>
    <n v="4063"/>
    <x v="3"/>
    <s v="21-30 years"/>
    <n v="27"/>
    <x v="1"/>
    <x v="3"/>
    <x v="4"/>
    <s v="Normal"/>
    <n v="-0.61133329999999997"/>
    <x v="7"/>
    <x v="1"/>
    <n v="-0.38382620000000001"/>
    <n v="0"/>
    <s v="Normal"/>
    <n v="-1.1088359000000001"/>
    <n v="4"/>
    <n v="4"/>
    <x v="0"/>
    <n v="-0.70133179999999995"/>
    <x v="40"/>
    <x v="1"/>
    <x v="1"/>
    <n v="3500"/>
    <n v="3500"/>
    <x v="39"/>
    <x v="39"/>
    <x v="3"/>
    <x v="3"/>
    <x v="0"/>
  </r>
  <r>
    <n v="4064"/>
    <x v="3"/>
    <s v="21-30 years"/>
    <n v="26"/>
    <x v="1"/>
    <x v="3"/>
    <x v="8"/>
    <s v="Normal"/>
    <n v="-1.0134224999999999"/>
    <x v="2"/>
    <x v="1"/>
    <n v="-0.9678099"/>
    <n v="0"/>
    <s v="Normal"/>
    <n v="-1.1088359000000001"/>
    <n v="0.66666669999999995"/>
    <n v="1"/>
    <x v="0"/>
    <n v="-1.0300227"/>
    <x v="411"/>
    <x v="1"/>
    <x v="1"/>
    <n v="3200"/>
    <n v="3200"/>
    <x v="33"/>
    <x v="33"/>
    <x v="3"/>
    <x v="3"/>
    <x v="0"/>
  </r>
  <r>
    <n v="4065"/>
    <x v="3"/>
    <s v="21-30 years"/>
    <n v="30"/>
    <x v="1"/>
    <x v="0"/>
    <x v="8"/>
    <s v="Normal"/>
    <n v="-1.0134224999999999"/>
    <x v="2"/>
    <x v="1"/>
    <n v="-0.9678099"/>
    <n v="0"/>
    <s v="Normal"/>
    <n v="-1.1088359000000001"/>
    <n v="0.66666669999999995"/>
    <n v="1"/>
    <x v="0"/>
    <n v="-1.0300227"/>
    <x v="411"/>
    <x v="1"/>
    <x v="1"/>
    <n v="3000"/>
    <n v="3000"/>
    <x v="22"/>
    <x v="22"/>
    <x v="3"/>
    <x v="3"/>
    <x v="0"/>
  </r>
  <r>
    <n v="4066"/>
    <x v="3"/>
    <s v="21-30 years"/>
    <n v="30"/>
    <x v="1"/>
    <x v="1"/>
    <x v="0"/>
    <s v="Normal"/>
    <n v="-0.41028870000000001"/>
    <x v="2"/>
    <x v="1"/>
    <n v="-0.9678099"/>
    <n v="0"/>
    <s v="Normal"/>
    <n v="-1.1088359000000001"/>
    <n v="2.6666666999999999"/>
    <n v="3"/>
    <x v="0"/>
    <n v="-0.8289782"/>
    <x v="84"/>
    <x v="1"/>
    <x v="1"/>
    <n v="3750"/>
    <n v="3750"/>
    <x v="15"/>
    <x v="15"/>
    <x v="3"/>
    <x v="3"/>
    <x v="0"/>
  </r>
  <r>
    <n v="4067"/>
    <x v="3"/>
    <s v="31-40 years"/>
    <n v="40"/>
    <x v="1"/>
    <x v="1"/>
    <x v="4"/>
    <s v="Normal"/>
    <n v="-0.61133329999999997"/>
    <x v="2"/>
    <x v="1"/>
    <n v="-0.9678099"/>
    <n v="0"/>
    <s v="Normal"/>
    <n v="-1.1088359000000001"/>
    <n v="2"/>
    <n v="2"/>
    <x v="0"/>
    <n v="-0.89599304999999996"/>
    <x v="452"/>
    <x v="1"/>
    <x v="1"/>
    <n v="3750"/>
    <n v="3750"/>
    <x v="15"/>
    <x v="15"/>
    <x v="3"/>
    <x v="3"/>
    <x v="0"/>
  </r>
  <r>
    <n v="4068"/>
    <x v="3"/>
    <s v="41-50 years"/>
    <n v="50"/>
    <x v="1"/>
    <x v="1"/>
    <x v="1"/>
    <s v="Normal"/>
    <n v="-0.81237789999999999"/>
    <x v="5"/>
    <x v="1"/>
    <n v="-0.57848745999999995"/>
    <n v="0"/>
    <s v="Normal"/>
    <n v="-1.1088359000000001"/>
    <n v="2.6666666999999999"/>
    <n v="3"/>
    <x v="0"/>
    <n v="-0.83323380000000002"/>
    <x v="74"/>
    <x v="1"/>
    <x v="1"/>
    <n v="10000"/>
    <n v="10000"/>
    <x v="26"/>
    <x v="26"/>
    <x v="5"/>
    <x v="5"/>
    <x v="2"/>
  </r>
  <r>
    <n v="4069"/>
    <x v="3"/>
    <s v="21-30 years"/>
    <n v="26"/>
    <x v="1"/>
    <x v="5"/>
    <x v="1"/>
    <s v="Normal"/>
    <n v="-0.81237789999999999"/>
    <x v="10"/>
    <x v="1"/>
    <n v="-1.1624711999999999"/>
    <n v="0"/>
    <s v="Normal"/>
    <n v="-1.1088359000000001"/>
    <n v="0.66666669999999995"/>
    <n v="1"/>
    <x v="0"/>
    <n v="-1.027895"/>
    <x v="425"/>
    <x v="1"/>
    <x v="1"/>
    <n v="5000"/>
    <n v="5000"/>
    <x v="2"/>
    <x v="2"/>
    <x v="1"/>
    <x v="1"/>
    <x v="1"/>
  </r>
  <r>
    <n v="4070"/>
    <x v="3"/>
    <s v="41-50 years"/>
    <n v="50"/>
    <x v="1"/>
    <x v="1"/>
    <x v="0"/>
    <s v="Normal"/>
    <n v="-0.41028870000000001"/>
    <x v="1"/>
    <x v="1"/>
    <n v="-0.77314866000000004"/>
    <n v="0"/>
    <s v="Normal"/>
    <n v="-1.1088359000000001"/>
    <n v="3.3333333000000001"/>
    <n v="3"/>
    <x v="0"/>
    <n v="-0.76409110000000002"/>
    <x v="48"/>
    <x v="1"/>
    <x v="1"/>
    <n v="4000"/>
    <n v="4000"/>
    <x v="7"/>
    <x v="7"/>
    <x v="3"/>
    <x v="3"/>
    <x v="0"/>
  </r>
  <r>
    <n v="4071"/>
    <x v="3"/>
    <s v="21-30 years"/>
    <n v="30"/>
    <x v="1"/>
    <x v="1"/>
    <x v="8"/>
    <s v="Normal"/>
    <n v="-1.0134224999999999"/>
    <x v="2"/>
    <x v="1"/>
    <n v="-0.9678099"/>
    <n v="2"/>
    <s v="Normal"/>
    <n v="-0.91619854999999994"/>
    <n v="1.3333333999999999"/>
    <n v="1"/>
    <x v="0"/>
    <n v="-0.96581030000000001"/>
    <x v="409"/>
    <x v="1"/>
    <x v="1"/>
    <n v="2400"/>
    <n v="2400"/>
    <x v="34"/>
    <x v="34"/>
    <x v="4"/>
    <x v="4"/>
    <x v="0"/>
  </r>
  <r>
    <n v="4072"/>
    <x v="3"/>
    <s v="21-30 years"/>
    <n v="28"/>
    <x v="1"/>
    <x v="3"/>
    <x v="8"/>
    <s v="Normal"/>
    <n v="-1.0134224999999999"/>
    <x v="2"/>
    <x v="1"/>
    <n v="-0.9678099"/>
    <n v="0"/>
    <s v="Normal"/>
    <n v="-1.1088359000000001"/>
    <n v="0.66666669999999995"/>
    <n v="1"/>
    <x v="0"/>
    <n v="-1.0300227"/>
    <x v="411"/>
    <x v="1"/>
    <x v="1"/>
    <n v="5000"/>
    <n v="5000"/>
    <x v="2"/>
    <x v="2"/>
    <x v="1"/>
    <x v="1"/>
    <x v="1"/>
  </r>
  <r>
    <n v="4073"/>
    <x v="3"/>
    <s v="31-40 years"/>
    <n v="39"/>
    <x v="0"/>
    <x v="3"/>
    <x v="8"/>
    <s v="Normal"/>
    <n v="-1.0134224999999999"/>
    <x v="10"/>
    <x v="1"/>
    <n v="-1.1624711999999999"/>
    <n v="0"/>
    <s v="Normal"/>
    <n v="-1.1088359000000001"/>
    <n v="0"/>
    <n v="0"/>
    <x v="0"/>
    <n v="-1.0949099"/>
    <x v="72"/>
    <x v="1"/>
    <x v="1"/>
    <n v="3750"/>
    <n v="3750"/>
    <x v="15"/>
    <x v="15"/>
    <x v="3"/>
    <x v="3"/>
    <x v="0"/>
  </r>
  <r>
    <n v="4074"/>
    <x v="3"/>
    <s v="41-50 years"/>
    <n v="45"/>
    <x v="0"/>
    <x v="3"/>
    <x v="8"/>
    <s v="Normal"/>
    <n v="-1.0134224999999999"/>
    <x v="10"/>
    <x v="1"/>
    <n v="-1.1624711999999999"/>
    <n v="0"/>
    <s v="Normal"/>
    <n v="-1.1088359000000001"/>
    <n v="0"/>
    <n v="0"/>
    <x v="0"/>
    <n v="-1.0949099"/>
    <x v="72"/>
    <x v="1"/>
    <x v="1"/>
    <n v="5000"/>
    <n v="5000"/>
    <x v="2"/>
    <x v="2"/>
    <x v="1"/>
    <x v="1"/>
    <x v="1"/>
  </r>
  <r>
    <n v="4075"/>
    <x v="3"/>
    <s v="41-50 years"/>
    <n v="42"/>
    <x v="0"/>
    <x v="3"/>
    <x v="4"/>
    <s v="Normal"/>
    <n v="-0.61133329999999997"/>
    <x v="0"/>
    <x v="0"/>
    <n v="5.496318E-3"/>
    <n v="6"/>
    <s v="Normal"/>
    <n v="-0.53092379999999995"/>
    <n v="7.3333335000000002"/>
    <n v="7"/>
    <x v="0"/>
    <n v="-0.37892026000000001"/>
    <x v="453"/>
    <x v="0"/>
    <x v="0"/>
    <n v="6000"/>
    <n v="6000"/>
    <x v="6"/>
    <x v="6"/>
    <x v="2"/>
    <x v="2"/>
    <x v="2"/>
  </r>
  <r>
    <n v="4076"/>
    <x v="3"/>
    <s v="31-40 years"/>
    <n v="40"/>
    <x v="1"/>
    <x v="1"/>
    <x v="4"/>
    <s v="Normal"/>
    <n v="-0.61133329999999997"/>
    <x v="5"/>
    <x v="1"/>
    <n v="-0.57848745999999995"/>
    <n v="0"/>
    <s v="Normal"/>
    <n v="-1.1088359000000001"/>
    <n v="3.3333333000000001"/>
    <n v="3"/>
    <x v="0"/>
    <n v="-0.76621890000000004"/>
    <x v="45"/>
    <x v="1"/>
    <x v="1"/>
    <n v="2500"/>
    <n v="2500"/>
    <x v="12"/>
    <x v="12"/>
    <x v="4"/>
    <x v="4"/>
    <x v="0"/>
  </r>
  <r>
    <n v="4077"/>
    <x v="3"/>
    <s v="21-30 years"/>
    <n v="25"/>
    <x v="0"/>
    <x v="3"/>
    <x v="1"/>
    <s v="Normal"/>
    <n v="-0.81237789999999999"/>
    <x v="10"/>
    <x v="1"/>
    <n v="-1.1624711999999999"/>
    <n v="0"/>
    <s v="Normal"/>
    <n v="-1.1088359000000001"/>
    <n v="0.66666669999999995"/>
    <n v="1"/>
    <x v="0"/>
    <n v="-1.027895"/>
    <x v="425"/>
    <x v="1"/>
    <x v="1"/>
    <n v="2000"/>
    <n v="2000"/>
    <x v="11"/>
    <x v="11"/>
    <x v="4"/>
    <x v="4"/>
    <x v="0"/>
  </r>
  <r>
    <n v="4078"/>
    <x v="3"/>
    <s v="21-30 years"/>
    <n v="30"/>
    <x v="0"/>
    <x v="0"/>
    <x v="0"/>
    <s v="Normal"/>
    <n v="-0.41028870000000001"/>
    <x v="1"/>
    <x v="1"/>
    <n v="-0.77314866000000004"/>
    <n v="4"/>
    <s v="Normal"/>
    <n v="-0.72356116999999998"/>
    <n v="4.6666664999999998"/>
    <n v="5"/>
    <x v="0"/>
    <n v="-0.63566619999999996"/>
    <x v="34"/>
    <x v="1"/>
    <x v="1"/>
    <n v="4000"/>
    <n v="4000"/>
    <x v="7"/>
    <x v="7"/>
    <x v="3"/>
    <x v="3"/>
    <x v="0"/>
  </r>
  <r>
    <n v="4079"/>
    <x v="3"/>
    <s v="31-40 years"/>
    <n v="31"/>
    <x v="0"/>
    <x v="0"/>
    <x v="0"/>
    <s v="Normal"/>
    <n v="-0.41028870000000001"/>
    <x v="1"/>
    <x v="1"/>
    <n v="-0.77314866000000004"/>
    <n v="4"/>
    <s v="Normal"/>
    <n v="-0.72356116999999998"/>
    <n v="4.6666664999999998"/>
    <n v="5"/>
    <x v="0"/>
    <n v="-0.63566619999999996"/>
    <x v="34"/>
    <x v="1"/>
    <x v="1"/>
    <n v="3333.3332999999998"/>
    <n v="3333"/>
    <x v="10"/>
    <x v="10"/>
    <x v="3"/>
    <x v="3"/>
    <x v="0"/>
  </r>
  <r>
    <n v="4080"/>
    <x v="3"/>
    <s v="41-50 years"/>
    <n v="47"/>
    <x v="0"/>
    <x v="0"/>
    <x v="1"/>
    <s v="Normal"/>
    <n v="-0.81237789999999999"/>
    <x v="10"/>
    <x v="1"/>
    <n v="-1.1624711999999999"/>
    <n v="2"/>
    <s v="Normal"/>
    <n v="-0.91619854999999994"/>
    <n v="1.3333333999999999"/>
    <n v="1"/>
    <x v="0"/>
    <n v="-0.96368253000000004"/>
    <x v="416"/>
    <x v="1"/>
    <x v="1"/>
    <n v="6000"/>
    <n v="6000"/>
    <x v="6"/>
    <x v="6"/>
    <x v="2"/>
    <x v="2"/>
    <x v="2"/>
  </r>
  <r>
    <n v="4081"/>
    <x v="3"/>
    <s v="21-30 years"/>
    <n v="30"/>
    <x v="0"/>
    <x v="0"/>
    <x v="4"/>
    <s v="Normal"/>
    <n v="-0.61133329999999997"/>
    <x v="5"/>
    <x v="1"/>
    <n v="-0.57848745999999995"/>
    <n v="6"/>
    <s v="Normal"/>
    <n v="-0.53092379999999995"/>
    <n v="5.3333335000000002"/>
    <n v="5"/>
    <x v="0"/>
    <n v="-0.57358149999999997"/>
    <x v="178"/>
    <x v="0"/>
    <x v="0"/>
    <n v="5000"/>
    <n v="5000"/>
    <x v="2"/>
    <x v="2"/>
    <x v="1"/>
    <x v="1"/>
    <x v="1"/>
  </r>
  <r>
    <n v="4082"/>
    <x v="3"/>
    <s v="31-40 years"/>
    <n v="33"/>
    <x v="0"/>
    <x v="0"/>
    <x v="8"/>
    <s v="Normal"/>
    <n v="-1.0134224999999999"/>
    <x v="2"/>
    <x v="1"/>
    <n v="-0.9678099"/>
    <n v="0"/>
    <s v="Normal"/>
    <n v="-1.1088359000000001"/>
    <n v="0.66666669999999995"/>
    <n v="1"/>
    <x v="0"/>
    <n v="-1.0300227"/>
    <x v="411"/>
    <x v="1"/>
    <x v="1"/>
    <n v="6000"/>
    <n v="6000"/>
    <x v="6"/>
    <x v="6"/>
    <x v="2"/>
    <x v="2"/>
    <x v="2"/>
  </r>
  <r>
    <n v="4083"/>
    <x v="3"/>
    <s v="21-30 years"/>
    <n v="29"/>
    <x v="0"/>
    <x v="0"/>
    <x v="8"/>
    <s v="Normal"/>
    <n v="-1.0134224999999999"/>
    <x v="10"/>
    <x v="1"/>
    <n v="-1.1624711999999999"/>
    <n v="0"/>
    <s v="Normal"/>
    <n v="-1.1088359000000001"/>
    <n v="0"/>
    <n v="0"/>
    <x v="0"/>
    <n v="-1.0949099"/>
    <x v="72"/>
    <x v="1"/>
    <x v="1"/>
    <n v="4000"/>
    <n v="4000"/>
    <x v="7"/>
    <x v="7"/>
    <x v="3"/>
    <x v="3"/>
    <x v="0"/>
  </r>
  <r>
    <n v="4084"/>
    <x v="3"/>
    <s v="51-60 years"/>
    <n v="55"/>
    <x v="0"/>
    <x v="3"/>
    <x v="8"/>
    <s v="Normal"/>
    <n v="-1.0134224999999999"/>
    <x v="10"/>
    <x v="1"/>
    <n v="-1.1624711999999999"/>
    <n v="0"/>
    <s v="Normal"/>
    <n v="-1.1088359000000001"/>
    <n v="0"/>
    <n v="0"/>
    <x v="0"/>
    <n v="-1.0949099"/>
    <x v="72"/>
    <x v="1"/>
    <x v="1"/>
    <n v="3250"/>
    <n v="3250"/>
    <x v="38"/>
    <x v="38"/>
    <x v="3"/>
    <x v="3"/>
    <x v="0"/>
  </r>
  <r>
    <n v="4085"/>
    <x v="3"/>
    <s v="31-40 years"/>
    <n v="40"/>
    <x v="0"/>
    <x v="4"/>
    <x v="3"/>
    <s v="Normal"/>
    <n v="-8.1994660000000007E-3"/>
    <x v="0"/>
    <x v="0"/>
    <n v="5.496318E-3"/>
    <n v="8"/>
    <s v="Normal"/>
    <n v="-0.33828637"/>
    <n v="10"/>
    <n v="10"/>
    <x v="0"/>
    <n v="-0.11366317400000001"/>
    <x v="15"/>
    <x v="0"/>
    <x v="0"/>
    <n v="2000"/>
    <n v="2000"/>
    <x v="11"/>
    <x v="11"/>
    <x v="4"/>
    <x v="4"/>
    <x v="0"/>
  </r>
  <r>
    <n v="4086"/>
    <x v="3"/>
    <s v="31-40 years"/>
    <n v="35"/>
    <x v="0"/>
    <x v="3"/>
    <x v="4"/>
    <s v="Normal"/>
    <n v="-0.61133329999999997"/>
    <x v="2"/>
    <x v="1"/>
    <n v="-0.9678099"/>
    <n v="0"/>
    <s v="Normal"/>
    <n v="-1.1088359000000001"/>
    <n v="2"/>
    <n v="2"/>
    <x v="0"/>
    <n v="-0.89599304999999996"/>
    <x v="452"/>
    <x v="1"/>
    <x v="1"/>
    <n v="2800"/>
    <n v="2800"/>
    <x v="32"/>
    <x v="32"/>
    <x v="4"/>
    <x v="4"/>
    <x v="0"/>
  </r>
  <r>
    <n v="4087"/>
    <x v="3"/>
    <s v="41-50 years"/>
    <n v="43"/>
    <x v="0"/>
    <x v="3"/>
    <x v="0"/>
    <s v="Normal"/>
    <n v="-0.41028870000000001"/>
    <x v="2"/>
    <x v="1"/>
    <n v="-0.9678099"/>
    <n v="0"/>
    <s v="Normal"/>
    <n v="-1.1088359000000001"/>
    <n v="2.6666666999999999"/>
    <n v="3"/>
    <x v="0"/>
    <n v="-0.8289782"/>
    <x v="84"/>
    <x v="1"/>
    <x v="1"/>
    <n v="3000"/>
    <n v="3000"/>
    <x v="22"/>
    <x v="22"/>
    <x v="3"/>
    <x v="3"/>
    <x v="0"/>
  </r>
  <r>
    <n v="4088"/>
    <x v="3"/>
    <s v="41-50 years"/>
    <n v="42"/>
    <x v="0"/>
    <x v="3"/>
    <x v="8"/>
    <s v="Normal"/>
    <n v="-1.0134224999999999"/>
    <x v="10"/>
    <x v="1"/>
    <n v="-1.1624711999999999"/>
    <n v="4"/>
    <s v="Normal"/>
    <n v="-0.72356116999999998"/>
    <n v="1.3333333999999999"/>
    <n v="1"/>
    <x v="0"/>
    <n v="-0.96648495999999995"/>
    <x v="397"/>
    <x v="1"/>
    <x v="1"/>
    <n v="3750"/>
    <n v="3750"/>
    <x v="15"/>
    <x v="15"/>
    <x v="3"/>
    <x v="3"/>
    <x v="0"/>
  </r>
  <r>
    <n v="4089"/>
    <x v="3"/>
    <s v="31-40 years"/>
    <n v="40"/>
    <x v="0"/>
    <x v="3"/>
    <x v="8"/>
    <s v="Normal"/>
    <n v="-1.0134224999999999"/>
    <x v="10"/>
    <x v="1"/>
    <n v="-1.1624711999999999"/>
    <n v="0"/>
    <s v="Normal"/>
    <n v="-1.1088359000000001"/>
    <n v="0"/>
    <n v="0"/>
    <x v="0"/>
    <n v="-1.0949099"/>
    <x v="72"/>
    <x v="1"/>
    <x v="1"/>
    <n v="2600"/>
    <n v="2600"/>
    <x v="35"/>
    <x v="35"/>
    <x v="4"/>
    <x v="4"/>
    <x v="0"/>
  </r>
  <r>
    <n v="4090"/>
    <x v="3"/>
    <s v="41-50 years"/>
    <n v="45"/>
    <x v="0"/>
    <x v="3"/>
    <x v="1"/>
    <s v="Normal"/>
    <n v="-0.81237789999999999"/>
    <x v="2"/>
    <x v="1"/>
    <n v="-0.9678099"/>
    <n v="0"/>
    <s v="Normal"/>
    <n v="-1.1088359000000001"/>
    <n v="1.3333333999999999"/>
    <n v="1"/>
    <x v="0"/>
    <n v="-0.96300790000000003"/>
    <x v="17"/>
    <x v="1"/>
    <x v="1"/>
    <n v="5000"/>
    <n v="5000"/>
    <x v="2"/>
    <x v="2"/>
    <x v="1"/>
    <x v="1"/>
    <x v="1"/>
  </r>
  <r>
    <n v="4091"/>
    <x v="3"/>
    <s v="31-40 years"/>
    <n v="40"/>
    <x v="0"/>
    <x v="3"/>
    <x v="1"/>
    <s v="Normal"/>
    <n v="-0.81237789999999999"/>
    <x v="7"/>
    <x v="1"/>
    <n v="-0.38382620000000001"/>
    <n v="4"/>
    <s v="Normal"/>
    <n v="-0.72356116999999998"/>
    <n v="4.6666664999999998"/>
    <n v="5"/>
    <x v="0"/>
    <n v="-0.63992179999999999"/>
    <x v="410"/>
    <x v="1"/>
    <x v="1"/>
    <n v="4000"/>
    <n v="4000"/>
    <x v="7"/>
    <x v="7"/>
    <x v="3"/>
    <x v="3"/>
    <x v="0"/>
  </r>
  <r>
    <n v="4092"/>
    <x v="3"/>
    <s v="31-40 years"/>
    <n v="34"/>
    <x v="1"/>
    <x v="3"/>
    <x v="4"/>
    <s v="Normal"/>
    <n v="-0.61133329999999997"/>
    <x v="10"/>
    <x v="1"/>
    <n v="-1.1624711999999999"/>
    <n v="2"/>
    <s v="Normal"/>
    <n v="-0.91619854999999994"/>
    <n v="2"/>
    <n v="2"/>
    <x v="0"/>
    <n v="-0.89666765999999998"/>
    <x v="454"/>
    <x v="1"/>
    <x v="1"/>
    <n v="5000"/>
    <n v="5000"/>
    <x v="2"/>
    <x v="2"/>
    <x v="1"/>
    <x v="1"/>
    <x v="1"/>
  </r>
  <r>
    <n v="4093"/>
    <x v="3"/>
    <s v="31-40 years"/>
    <n v="36"/>
    <x v="1"/>
    <x v="1"/>
    <x v="0"/>
    <s v="Normal"/>
    <n v="-0.41028870000000001"/>
    <x v="2"/>
    <x v="1"/>
    <n v="-0.9678099"/>
    <n v="2"/>
    <s v="Normal"/>
    <n v="-0.91619854999999994"/>
    <n v="3.3333333000000001"/>
    <n v="3"/>
    <x v="0"/>
    <n v="-0.76476573999999997"/>
    <x v="455"/>
    <x v="1"/>
    <x v="1"/>
    <n v="5000"/>
    <n v="5000"/>
    <x v="2"/>
    <x v="2"/>
    <x v="1"/>
    <x v="1"/>
    <x v="1"/>
  </r>
  <r>
    <n v="4094"/>
    <x v="3"/>
    <s v="31-40 years"/>
    <n v="40"/>
    <x v="1"/>
    <x v="1"/>
    <x v="0"/>
    <s v="Normal"/>
    <n v="-0.41028870000000001"/>
    <x v="2"/>
    <x v="1"/>
    <n v="-0.9678099"/>
    <n v="0"/>
    <s v="Normal"/>
    <n v="-1.1088359000000001"/>
    <n v="2.6666666999999999"/>
    <n v="3"/>
    <x v="0"/>
    <n v="-0.8289782"/>
    <x v="84"/>
    <x v="1"/>
    <x v="1"/>
    <n v="4000"/>
    <n v="4000"/>
    <x v="7"/>
    <x v="7"/>
    <x v="3"/>
    <x v="3"/>
    <x v="0"/>
  </r>
  <r>
    <n v="4095"/>
    <x v="3"/>
    <s v="31-40 years"/>
    <n v="32"/>
    <x v="1"/>
    <x v="1"/>
    <x v="4"/>
    <s v="Normal"/>
    <n v="-0.61133329999999997"/>
    <x v="10"/>
    <x v="1"/>
    <n v="-1.1624711999999999"/>
    <n v="0"/>
    <s v="Normal"/>
    <n v="-1.1088359000000001"/>
    <n v="1.3333333999999999"/>
    <n v="1"/>
    <x v="0"/>
    <n v="-0.96088015999999998"/>
    <x v="383"/>
    <x v="1"/>
    <x v="1"/>
    <n v="6666.6665000000003"/>
    <n v="6667"/>
    <x v="21"/>
    <x v="21"/>
    <x v="2"/>
    <x v="2"/>
    <x v="2"/>
  </r>
  <r>
    <n v="4096"/>
    <x v="3"/>
    <s v="31-40 years"/>
    <n v="34"/>
    <x v="0"/>
    <x v="3"/>
    <x v="1"/>
    <s v="Normal"/>
    <n v="-0.81237789999999999"/>
    <x v="2"/>
    <x v="1"/>
    <n v="-0.9678099"/>
    <n v="0"/>
    <s v="Normal"/>
    <n v="-1.1088359000000001"/>
    <n v="1.3333333999999999"/>
    <n v="1"/>
    <x v="0"/>
    <n v="-0.96300790000000003"/>
    <x v="17"/>
    <x v="1"/>
    <x v="1"/>
    <n v="2000"/>
    <n v="2000"/>
    <x v="11"/>
    <x v="11"/>
    <x v="4"/>
    <x v="4"/>
    <x v="0"/>
  </r>
  <r>
    <n v="4097"/>
    <x v="3"/>
    <s v="41-50 years"/>
    <n v="42"/>
    <x v="0"/>
    <x v="3"/>
    <x v="1"/>
    <s v="Normal"/>
    <n v="-0.81237789999999999"/>
    <x v="2"/>
    <x v="1"/>
    <n v="-0.9678099"/>
    <n v="2"/>
    <s v="Normal"/>
    <n v="-0.91619854999999994"/>
    <n v="2"/>
    <n v="2"/>
    <x v="0"/>
    <n v="-0.89879549999999997"/>
    <x v="2"/>
    <x v="1"/>
    <x v="1"/>
    <n v="6250"/>
    <n v="6250"/>
    <x v="27"/>
    <x v="27"/>
    <x v="2"/>
    <x v="2"/>
    <x v="2"/>
  </r>
  <r>
    <n v="4098"/>
    <x v="3"/>
    <s v="51-60 years"/>
    <n v="58"/>
    <x v="0"/>
    <x v="3"/>
    <x v="8"/>
    <s v="Normal"/>
    <n v="-1.0134224999999999"/>
    <x v="1"/>
    <x v="1"/>
    <n v="-0.77314866000000004"/>
    <n v="2"/>
    <s v="Normal"/>
    <n v="-0.91619854999999994"/>
    <n v="2"/>
    <n v="2"/>
    <x v="0"/>
    <n v="-0.90092324999999995"/>
    <x v="78"/>
    <x v="1"/>
    <x v="1"/>
    <n v="4000"/>
    <n v="4000"/>
    <x v="7"/>
    <x v="7"/>
    <x v="3"/>
    <x v="3"/>
    <x v="0"/>
  </r>
  <r>
    <n v="4099"/>
    <x v="3"/>
    <s v="31-40 years"/>
    <n v="40"/>
    <x v="0"/>
    <x v="3"/>
    <x v="1"/>
    <s v="Normal"/>
    <n v="-0.81237789999999999"/>
    <x v="10"/>
    <x v="1"/>
    <n v="-1.1624711999999999"/>
    <n v="2"/>
    <s v="Normal"/>
    <n v="-0.91619854999999994"/>
    <n v="1.3333333999999999"/>
    <n v="1"/>
    <x v="0"/>
    <n v="-0.96368253000000004"/>
    <x v="416"/>
    <x v="1"/>
    <x v="1"/>
    <n v="2500"/>
    <n v="2500"/>
    <x v="12"/>
    <x v="12"/>
    <x v="4"/>
    <x v="4"/>
    <x v="0"/>
  </r>
  <r>
    <n v="4100"/>
    <x v="3"/>
    <s v="31-40 years"/>
    <n v="40"/>
    <x v="0"/>
    <x v="5"/>
    <x v="0"/>
    <s v="Normal"/>
    <n v="-0.41028870000000001"/>
    <x v="2"/>
    <x v="1"/>
    <n v="-0.9678099"/>
    <n v="4"/>
    <s v="Normal"/>
    <n v="-0.72356116999999998"/>
    <n v="4"/>
    <n v="4"/>
    <x v="0"/>
    <n v="-0.70055323999999997"/>
    <x v="60"/>
    <x v="1"/>
    <x v="1"/>
    <n v="5000"/>
    <n v="5000"/>
    <x v="2"/>
    <x v="2"/>
    <x v="1"/>
    <x v="1"/>
    <x v="1"/>
  </r>
  <r>
    <n v="4101"/>
    <x v="3"/>
    <s v="41-50 years"/>
    <n v="49"/>
    <x v="0"/>
    <x v="0"/>
    <x v="4"/>
    <s v="Normal"/>
    <n v="-0.61133329999999997"/>
    <x v="2"/>
    <x v="1"/>
    <n v="-0.9678099"/>
    <n v="4"/>
    <s v="Normal"/>
    <n v="-0.72356116999999998"/>
    <n v="3.3333333000000001"/>
    <n v="3"/>
    <x v="0"/>
    <n v="-0.76756809999999998"/>
    <x v="58"/>
    <x v="1"/>
    <x v="1"/>
    <n v="5000"/>
    <n v="5000"/>
    <x v="2"/>
    <x v="2"/>
    <x v="1"/>
    <x v="1"/>
    <x v="1"/>
  </r>
  <r>
    <n v="4102"/>
    <x v="3"/>
    <s v="41-50 years"/>
    <n v="48"/>
    <x v="0"/>
    <x v="0"/>
    <x v="1"/>
    <s v="Normal"/>
    <n v="-0.81237789999999999"/>
    <x v="2"/>
    <x v="1"/>
    <n v="-0.9678099"/>
    <n v="0"/>
    <s v="Normal"/>
    <n v="-1.1088359000000001"/>
    <n v="1.3333333999999999"/>
    <n v="1"/>
    <x v="0"/>
    <n v="-0.96300790000000003"/>
    <x v="17"/>
    <x v="1"/>
    <x v="1"/>
    <n v="5000"/>
    <n v="5000"/>
    <x v="2"/>
    <x v="2"/>
    <x v="1"/>
    <x v="1"/>
    <x v="1"/>
  </r>
  <r>
    <n v="4103"/>
    <x v="3"/>
    <s v="51-60 years"/>
    <n v="57"/>
    <x v="0"/>
    <x v="3"/>
    <x v="1"/>
    <s v="Normal"/>
    <n v="-0.81237789999999999"/>
    <x v="10"/>
    <x v="1"/>
    <n v="-1.1624711999999999"/>
    <n v="0"/>
    <s v="Normal"/>
    <n v="-1.1088359000000001"/>
    <n v="0.66666669999999995"/>
    <n v="1"/>
    <x v="0"/>
    <n v="-1.027895"/>
    <x v="425"/>
    <x v="1"/>
    <x v="1"/>
    <n v="6666.6665000000003"/>
    <n v="6667"/>
    <x v="21"/>
    <x v="21"/>
    <x v="2"/>
    <x v="2"/>
    <x v="2"/>
  </r>
  <r>
    <n v="4104"/>
    <x v="3"/>
    <s v="21-30 years"/>
    <n v="26"/>
    <x v="1"/>
    <x v="1"/>
    <x v="8"/>
    <s v="Normal"/>
    <n v="-1.0134224999999999"/>
    <x v="1"/>
    <x v="1"/>
    <n v="-0.77314866000000004"/>
    <n v="0"/>
    <s v="Normal"/>
    <n v="-1.1088359000000001"/>
    <n v="1.3333333999999999"/>
    <n v="1"/>
    <x v="0"/>
    <n v="-0.96513570000000004"/>
    <x v="340"/>
    <x v="1"/>
    <x v="1"/>
    <n v="5000"/>
    <n v="5000"/>
    <x v="2"/>
    <x v="2"/>
    <x v="1"/>
    <x v="1"/>
    <x v="1"/>
  </r>
  <r>
    <n v="4105"/>
    <x v="3"/>
    <s v="21-30 years"/>
    <n v="30"/>
    <x v="1"/>
    <x v="1"/>
    <x v="8"/>
    <s v="Normal"/>
    <n v="-1.0134224999999999"/>
    <x v="1"/>
    <x v="1"/>
    <n v="-0.77314866000000004"/>
    <n v="4"/>
    <s v="Normal"/>
    <n v="-0.72356116999999998"/>
    <n v="2.6666666999999999"/>
    <n v="3"/>
    <x v="0"/>
    <n v="-0.83671074999999995"/>
    <x v="361"/>
    <x v="1"/>
    <x v="1"/>
    <n v="6250"/>
    <n v="6250"/>
    <x v="27"/>
    <x v="27"/>
    <x v="2"/>
    <x v="2"/>
    <x v="2"/>
  </r>
  <r>
    <n v="4106"/>
    <x v="3"/>
    <s v="21-30 years"/>
    <n v="28"/>
    <x v="0"/>
    <x v="3"/>
    <x v="1"/>
    <s v="Normal"/>
    <n v="-0.81237789999999999"/>
    <x v="2"/>
    <x v="1"/>
    <n v="-0.9678099"/>
    <n v="0"/>
    <s v="Normal"/>
    <n v="-1.1088359000000001"/>
    <n v="1.3333333999999999"/>
    <n v="1"/>
    <x v="0"/>
    <n v="-0.96300790000000003"/>
    <x v="17"/>
    <x v="1"/>
    <x v="1"/>
    <n v="3750"/>
    <n v="3750"/>
    <x v="15"/>
    <x v="15"/>
    <x v="3"/>
    <x v="3"/>
    <x v="0"/>
  </r>
  <r>
    <n v="4107"/>
    <x v="3"/>
    <s v="31-40 years"/>
    <n v="39"/>
    <x v="0"/>
    <x v="3"/>
    <x v="4"/>
    <s v="Normal"/>
    <n v="-0.61133329999999997"/>
    <x v="1"/>
    <x v="1"/>
    <n v="-0.77314866000000004"/>
    <n v="0"/>
    <s v="Normal"/>
    <n v="-1.1088359000000001"/>
    <n v="2.6666666999999999"/>
    <n v="3"/>
    <x v="0"/>
    <n v="-0.83110594999999998"/>
    <x v="44"/>
    <x v="1"/>
    <x v="1"/>
    <n v="5000"/>
    <n v="5000"/>
    <x v="2"/>
    <x v="2"/>
    <x v="1"/>
    <x v="1"/>
    <x v="1"/>
  </r>
  <r>
    <n v="4108"/>
    <x v="3"/>
    <s v="31-40 years"/>
    <n v="32"/>
    <x v="1"/>
    <x v="0"/>
    <x v="0"/>
    <s v="Normal"/>
    <n v="-0.41028870000000001"/>
    <x v="4"/>
    <x v="0"/>
    <n v="0.20015757000000001"/>
    <n v="8"/>
    <s v="Normal"/>
    <n v="-0.33828637"/>
    <n v="9.3333329999999997"/>
    <n v="9"/>
    <x v="0"/>
    <n v="-0.18280584"/>
    <x v="456"/>
    <x v="0"/>
    <x v="0"/>
    <n v="5000"/>
    <n v="5000"/>
    <x v="2"/>
    <x v="2"/>
    <x v="1"/>
    <x v="1"/>
    <x v="1"/>
  </r>
  <r>
    <n v="4109"/>
    <x v="3"/>
    <s v="21-30 years"/>
    <n v="26"/>
    <x v="1"/>
    <x v="1"/>
    <x v="4"/>
    <s v="Normal"/>
    <n v="-0.61133329999999997"/>
    <x v="7"/>
    <x v="1"/>
    <n v="-0.38382620000000001"/>
    <n v="2"/>
    <s v="Normal"/>
    <n v="-0.91619854999999994"/>
    <n v="4.6666664999999998"/>
    <n v="5"/>
    <x v="0"/>
    <n v="-0.63711934999999997"/>
    <x v="21"/>
    <x v="1"/>
    <x v="1"/>
    <n v="5000"/>
    <n v="5000"/>
    <x v="2"/>
    <x v="2"/>
    <x v="1"/>
    <x v="1"/>
    <x v="1"/>
  </r>
  <r>
    <n v="4110"/>
    <x v="3"/>
    <s v="31-40 years"/>
    <n v="36"/>
    <x v="1"/>
    <x v="1"/>
    <x v="8"/>
    <s v="Normal"/>
    <n v="-1.0134224999999999"/>
    <x v="2"/>
    <x v="1"/>
    <n v="-0.9678099"/>
    <n v="0"/>
    <s v="Normal"/>
    <n v="-1.1088359000000001"/>
    <n v="0.66666669999999995"/>
    <n v="1"/>
    <x v="0"/>
    <n v="-1.0300227"/>
    <x v="411"/>
    <x v="1"/>
    <x v="1"/>
    <n v="4000"/>
    <n v="4000"/>
    <x v="7"/>
    <x v="7"/>
    <x v="3"/>
    <x v="3"/>
    <x v="0"/>
  </r>
  <r>
    <n v="4111"/>
    <x v="3"/>
    <s v="31-40 years"/>
    <n v="40"/>
    <x v="1"/>
    <x v="3"/>
    <x v="4"/>
    <s v="Normal"/>
    <n v="-0.61133329999999997"/>
    <x v="2"/>
    <x v="1"/>
    <n v="-0.9678099"/>
    <n v="0"/>
    <s v="Normal"/>
    <n v="-1.1088359000000001"/>
    <n v="2"/>
    <n v="2"/>
    <x v="0"/>
    <n v="-0.89599304999999996"/>
    <x v="452"/>
    <x v="1"/>
    <x v="1"/>
    <n v="7000"/>
    <n v="7000"/>
    <x v="29"/>
    <x v="29"/>
    <x v="2"/>
    <x v="2"/>
    <x v="2"/>
  </r>
  <r>
    <n v="4112"/>
    <x v="3"/>
    <s v="41-50 years"/>
    <n v="45"/>
    <x v="0"/>
    <x v="3"/>
    <x v="8"/>
    <s v="Normal"/>
    <n v="-1.0134224999999999"/>
    <x v="10"/>
    <x v="1"/>
    <n v="-1.1624711999999999"/>
    <n v="0"/>
    <s v="Normal"/>
    <n v="-1.1088359000000001"/>
    <n v="0"/>
    <n v="0"/>
    <x v="0"/>
    <n v="-1.0949099"/>
    <x v="72"/>
    <x v="1"/>
    <x v="1"/>
    <n v="2500"/>
    <n v="2500"/>
    <x v="12"/>
    <x v="12"/>
    <x v="4"/>
    <x v="4"/>
    <x v="0"/>
  </r>
  <r>
    <n v="4113"/>
    <x v="3"/>
    <s v="31-40 years"/>
    <n v="33"/>
    <x v="0"/>
    <x v="3"/>
    <x v="0"/>
    <s v="Normal"/>
    <n v="-0.41028870000000001"/>
    <x v="2"/>
    <x v="1"/>
    <n v="-0.9678099"/>
    <n v="4"/>
    <s v="Normal"/>
    <n v="-0.72356116999999998"/>
    <n v="4"/>
    <n v="4"/>
    <x v="0"/>
    <n v="-0.70055323999999997"/>
    <x v="60"/>
    <x v="1"/>
    <x v="1"/>
    <n v="5000"/>
    <n v="5000"/>
    <x v="2"/>
    <x v="2"/>
    <x v="1"/>
    <x v="1"/>
    <x v="1"/>
  </r>
  <r>
    <n v="4114"/>
    <x v="3"/>
    <s v="31-40 years"/>
    <n v="38"/>
    <x v="0"/>
    <x v="3"/>
    <x v="1"/>
    <s v="Normal"/>
    <n v="-0.81237789999999999"/>
    <x v="10"/>
    <x v="1"/>
    <n v="-1.1624711999999999"/>
    <n v="0"/>
    <s v="Normal"/>
    <n v="-1.1088359000000001"/>
    <n v="0.66666669999999995"/>
    <n v="1"/>
    <x v="0"/>
    <n v="-1.027895"/>
    <x v="425"/>
    <x v="1"/>
    <x v="1"/>
    <n v="4000"/>
    <n v="4000"/>
    <x v="7"/>
    <x v="7"/>
    <x v="3"/>
    <x v="3"/>
    <x v="0"/>
  </r>
  <r>
    <n v="4115"/>
    <x v="3"/>
    <s v="21-30 years"/>
    <n v="25"/>
    <x v="0"/>
    <x v="3"/>
    <x v="8"/>
    <s v="Normal"/>
    <n v="-1.0134224999999999"/>
    <x v="1"/>
    <x v="1"/>
    <n v="-0.77314866000000004"/>
    <n v="0"/>
    <s v="Normal"/>
    <n v="-1.1088359000000001"/>
    <n v="1.3333333999999999"/>
    <n v="1"/>
    <x v="0"/>
    <n v="-0.96513570000000004"/>
    <x v="340"/>
    <x v="1"/>
    <x v="1"/>
    <n v="2500"/>
    <n v="2500"/>
    <x v="12"/>
    <x v="12"/>
    <x v="4"/>
    <x v="4"/>
    <x v="0"/>
  </r>
  <r>
    <n v="4116"/>
    <x v="3"/>
    <s v="51-60 years"/>
    <n v="59"/>
    <x v="1"/>
    <x v="5"/>
    <x v="4"/>
    <s v="Normal"/>
    <n v="-0.61133329999999997"/>
    <x v="10"/>
    <x v="1"/>
    <n v="-1.1624711999999999"/>
    <n v="2"/>
    <s v="Normal"/>
    <n v="-0.91619854999999994"/>
    <n v="2"/>
    <n v="2"/>
    <x v="0"/>
    <n v="-0.89666765999999998"/>
    <x v="454"/>
    <x v="1"/>
    <x v="1"/>
    <n v="4166.6665000000003"/>
    <n v="4167"/>
    <x v="24"/>
    <x v="24"/>
    <x v="3"/>
    <x v="3"/>
    <x v="0"/>
  </r>
  <r>
    <n v="4117"/>
    <x v="3"/>
    <s v="21-30 years"/>
    <n v="26"/>
    <x v="1"/>
    <x v="3"/>
    <x v="0"/>
    <s v="Normal"/>
    <n v="-0.41028870000000001"/>
    <x v="10"/>
    <x v="1"/>
    <n v="-1.1624711999999999"/>
    <n v="0"/>
    <s v="Normal"/>
    <n v="-1.1088359000000001"/>
    <n v="2"/>
    <n v="2"/>
    <x v="0"/>
    <n v="-0.89386529999999997"/>
    <x v="424"/>
    <x v="1"/>
    <x v="1"/>
    <n v="7500"/>
    <n v="7500"/>
    <x v="13"/>
    <x v="13"/>
    <x v="5"/>
    <x v="5"/>
    <x v="2"/>
  </r>
  <r>
    <n v="4118"/>
    <x v="3"/>
    <s v="31-40 years"/>
    <n v="36"/>
    <x v="1"/>
    <x v="3"/>
    <x v="8"/>
    <s v="Normal"/>
    <n v="-1.0134224999999999"/>
    <x v="10"/>
    <x v="1"/>
    <n v="-1.1624711999999999"/>
    <n v="0"/>
    <s v="Normal"/>
    <n v="-1.1088359000000001"/>
    <n v="0"/>
    <n v="0"/>
    <x v="0"/>
    <n v="-1.0949099"/>
    <x v="72"/>
    <x v="1"/>
    <x v="1"/>
    <n v="6000"/>
    <n v="6000"/>
    <x v="6"/>
    <x v="6"/>
    <x v="2"/>
    <x v="2"/>
    <x v="2"/>
  </r>
  <r>
    <n v="4119"/>
    <x v="3"/>
    <s v="51-60 years"/>
    <n v="53"/>
    <x v="1"/>
    <x v="0"/>
    <x v="4"/>
    <s v="Normal"/>
    <n v="-0.61133329999999997"/>
    <x v="2"/>
    <x v="1"/>
    <n v="-0.9678099"/>
    <n v="2"/>
    <s v="Normal"/>
    <n v="-0.91619854999999994"/>
    <n v="2.6666666999999999"/>
    <n v="3"/>
    <x v="0"/>
    <n v="-0.83178059999999998"/>
    <x v="13"/>
    <x v="1"/>
    <x v="1"/>
    <n v="2500"/>
    <n v="2500"/>
    <x v="12"/>
    <x v="12"/>
    <x v="4"/>
    <x v="4"/>
    <x v="0"/>
  </r>
  <r>
    <n v="4120"/>
    <x v="3"/>
    <s v="21-30 years"/>
    <n v="26"/>
    <x v="1"/>
    <x v="1"/>
    <x v="0"/>
    <s v="Normal"/>
    <n v="-0.41028870000000001"/>
    <x v="2"/>
    <x v="1"/>
    <n v="-0.9678099"/>
    <n v="0"/>
    <s v="Normal"/>
    <n v="-1.1088359000000001"/>
    <n v="2.6666666999999999"/>
    <n v="3"/>
    <x v="0"/>
    <n v="-0.8289782"/>
    <x v="84"/>
    <x v="1"/>
    <x v="1"/>
    <n v="4000"/>
    <n v="4000"/>
    <x v="7"/>
    <x v="7"/>
    <x v="3"/>
    <x v="3"/>
    <x v="0"/>
  </r>
  <r>
    <n v="4121"/>
    <x v="3"/>
    <s v="31-40 years"/>
    <n v="32"/>
    <x v="1"/>
    <x v="1"/>
    <x v="1"/>
    <s v="Normal"/>
    <n v="-0.81237789999999999"/>
    <x v="10"/>
    <x v="1"/>
    <n v="-1.1624711999999999"/>
    <n v="0"/>
    <s v="Normal"/>
    <n v="-1.1088359000000001"/>
    <n v="0.66666669999999995"/>
    <n v="1"/>
    <x v="0"/>
    <n v="-1.027895"/>
    <x v="425"/>
    <x v="1"/>
    <x v="1"/>
    <n v="5000"/>
    <n v="5000"/>
    <x v="2"/>
    <x v="2"/>
    <x v="1"/>
    <x v="1"/>
    <x v="1"/>
  </r>
  <r>
    <n v="4122"/>
    <x v="3"/>
    <s v="31-40 years"/>
    <n v="38"/>
    <x v="1"/>
    <x v="1"/>
    <x v="0"/>
    <s v="Normal"/>
    <n v="-0.41028870000000001"/>
    <x v="10"/>
    <x v="1"/>
    <n v="-1.1624711999999999"/>
    <n v="2"/>
    <s v="Normal"/>
    <n v="-0.91619854999999994"/>
    <n v="2.6666666999999999"/>
    <n v="3"/>
    <x v="0"/>
    <n v="-0.82965279999999997"/>
    <x v="457"/>
    <x v="1"/>
    <x v="1"/>
    <n v="7000"/>
    <n v="7000"/>
    <x v="29"/>
    <x v="29"/>
    <x v="2"/>
    <x v="2"/>
    <x v="2"/>
  </r>
  <r>
    <n v="4123"/>
    <x v="3"/>
    <s v="31-40 years"/>
    <n v="32"/>
    <x v="1"/>
    <x v="1"/>
    <x v="8"/>
    <s v="Normal"/>
    <n v="-1.0134224999999999"/>
    <x v="10"/>
    <x v="1"/>
    <n v="-1.1624711999999999"/>
    <n v="0"/>
    <s v="Normal"/>
    <n v="-1.1088359000000001"/>
    <n v="0"/>
    <n v="0"/>
    <x v="0"/>
    <n v="-1.0949099"/>
    <x v="72"/>
    <x v="1"/>
    <x v="1"/>
    <n v="6000"/>
    <n v="6000"/>
    <x v="6"/>
    <x v="6"/>
    <x v="2"/>
    <x v="2"/>
    <x v="2"/>
  </r>
  <r>
    <n v="4124"/>
    <x v="3"/>
    <s v="51-60 years"/>
    <n v="53"/>
    <x v="1"/>
    <x v="1"/>
    <x v="4"/>
    <s v="Normal"/>
    <n v="-0.61133329999999997"/>
    <x v="5"/>
    <x v="1"/>
    <n v="-0.57848745999999995"/>
    <n v="0"/>
    <s v="Normal"/>
    <n v="-1.1088359000000001"/>
    <n v="3.3333333000000001"/>
    <n v="3"/>
    <x v="0"/>
    <n v="-0.76621890000000004"/>
    <x v="45"/>
    <x v="1"/>
    <x v="1"/>
    <n v="5000"/>
    <n v="5000"/>
    <x v="2"/>
    <x v="2"/>
    <x v="1"/>
    <x v="1"/>
    <x v="1"/>
  </r>
  <r>
    <n v="4125"/>
    <x v="3"/>
    <s v="31-40 years"/>
    <n v="36"/>
    <x v="1"/>
    <x v="1"/>
    <x v="1"/>
    <s v="Normal"/>
    <n v="-0.81237789999999999"/>
    <x v="10"/>
    <x v="1"/>
    <n v="-1.1624711999999999"/>
    <n v="0"/>
    <s v="Normal"/>
    <n v="-1.1088359000000001"/>
    <n v="0.66666669999999995"/>
    <n v="1"/>
    <x v="0"/>
    <n v="-1.027895"/>
    <x v="425"/>
    <x v="1"/>
    <x v="1"/>
    <n v="5000"/>
    <n v="5000"/>
    <x v="2"/>
    <x v="2"/>
    <x v="1"/>
    <x v="1"/>
    <x v="1"/>
  </r>
  <r>
    <n v="4126"/>
    <x v="3"/>
    <s v="41-50 years"/>
    <n v="46"/>
    <x v="1"/>
    <x v="3"/>
    <x v="4"/>
    <s v="Normal"/>
    <n v="-0.61133329999999997"/>
    <x v="10"/>
    <x v="1"/>
    <n v="-1.1624711999999999"/>
    <n v="0"/>
    <s v="Normal"/>
    <n v="-1.1088359000000001"/>
    <n v="1.3333333999999999"/>
    <n v="1"/>
    <x v="0"/>
    <n v="-0.96088015999999998"/>
    <x v="383"/>
    <x v="1"/>
    <x v="1"/>
    <n v="8750"/>
    <n v="8750"/>
    <x v="57"/>
    <x v="57"/>
    <x v="5"/>
    <x v="5"/>
    <x v="2"/>
  </r>
  <r>
    <n v="4127"/>
    <x v="3"/>
    <s v="31-40 years"/>
    <n v="36"/>
    <x v="1"/>
    <x v="3"/>
    <x v="0"/>
    <s v="Normal"/>
    <n v="-0.41028870000000001"/>
    <x v="2"/>
    <x v="1"/>
    <n v="-0.9678099"/>
    <n v="0"/>
    <s v="Normal"/>
    <n v="-1.1088359000000001"/>
    <n v="2.6666666999999999"/>
    <n v="3"/>
    <x v="0"/>
    <n v="-0.8289782"/>
    <x v="84"/>
    <x v="1"/>
    <x v="1"/>
    <n v="5000"/>
    <n v="5000"/>
    <x v="2"/>
    <x v="2"/>
    <x v="1"/>
    <x v="1"/>
    <x v="1"/>
  </r>
  <r>
    <n v="4128"/>
    <x v="3"/>
    <s v="31-40 years"/>
    <n v="33"/>
    <x v="1"/>
    <x v="1"/>
    <x v="1"/>
    <s v="Normal"/>
    <n v="-0.81237789999999999"/>
    <x v="10"/>
    <x v="1"/>
    <n v="-1.1624711999999999"/>
    <n v="0"/>
    <s v="Normal"/>
    <n v="-1.1088359000000001"/>
    <n v="0.66666669999999995"/>
    <n v="1"/>
    <x v="0"/>
    <n v="-1.027895"/>
    <x v="425"/>
    <x v="1"/>
    <x v="1"/>
    <n v="4000"/>
    <n v="4000"/>
    <x v="7"/>
    <x v="7"/>
    <x v="3"/>
    <x v="3"/>
    <x v="0"/>
  </r>
  <r>
    <n v="4129"/>
    <x v="3"/>
    <s v="21-30 years"/>
    <n v="30"/>
    <x v="1"/>
    <x v="1"/>
    <x v="11"/>
    <s v="Moderate"/>
    <n v="0.99702360000000001"/>
    <x v="0"/>
    <x v="0"/>
    <n v="5.496318E-3"/>
    <n v="10"/>
    <s v="Normal"/>
    <n v="-0.14564899000000001"/>
    <n v="14"/>
    <n v="14"/>
    <x v="1"/>
    <n v="0.28562364000000001"/>
    <x v="458"/>
    <x v="0"/>
    <x v="0"/>
    <n v="3750"/>
    <n v="3750"/>
    <x v="15"/>
    <x v="15"/>
    <x v="3"/>
    <x v="3"/>
    <x v="0"/>
  </r>
  <r>
    <n v="4130"/>
    <x v="3"/>
    <s v="21-30 years"/>
    <n v="25"/>
    <x v="1"/>
    <x v="1"/>
    <x v="5"/>
    <s v="Moderate"/>
    <n v="0.39388975999999998"/>
    <x v="3"/>
    <x v="0"/>
    <n v="0.39481880000000003"/>
    <n v="14"/>
    <s v="Moderate"/>
    <n v="0.23962580999999999"/>
    <n v="14.666667"/>
    <n v="15"/>
    <x v="1"/>
    <n v="0.34277812000000002"/>
    <x v="282"/>
    <x v="0"/>
    <x v="0"/>
    <n v="4000"/>
    <n v="4000"/>
    <x v="7"/>
    <x v="7"/>
    <x v="3"/>
    <x v="3"/>
    <x v="0"/>
  </r>
  <r>
    <n v="4131"/>
    <x v="3"/>
    <s v="31-40 years"/>
    <n v="35"/>
    <x v="1"/>
    <x v="1"/>
    <x v="12"/>
    <s v="Moderate"/>
    <n v="0.79597896000000001"/>
    <x v="0"/>
    <x v="0"/>
    <n v="5.496318E-3"/>
    <n v="12"/>
    <s v="Moderate"/>
    <n v="4.6988415999999998E-2"/>
    <n v="14"/>
    <n v="14"/>
    <x v="1"/>
    <n v="0.28282123999999997"/>
    <x v="459"/>
    <x v="0"/>
    <x v="0"/>
    <n v="3750"/>
    <n v="3750"/>
    <x v="15"/>
    <x v="15"/>
    <x v="3"/>
    <x v="3"/>
    <x v="0"/>
  </r>
  <r>
    <n v="4132"/>
    <x v="3"/>
    <s v="31-40 years"/>
    <n v="40"/>
    <x v="1"/>
    <x v="1"/>
    <x v="7"/>
    <s v="Moderate"/>
    <n v="0.19284514999999999"/>
    <x v="0"/>
    <x v="0"/>
    <n v="5.496318E-3"/>
    <n v="10"/>
    <s v="Normal"/>
    <n v="-0.14564899000000001"/>
    <n v="11.333333"/>
    <n v="11"/>
    <x v="1"/>
    <n v="1.7564159999999999E-2"/>
    <x v="296"/>
    <x v="0"/>
    <x v="0"/>
    <n v="4000"/>
    <n v="4000"/>
    <x v="7"/>
    <x v="7"/>
    <x v="3"/>
    <x v="3"/>
    <x v="0"/>
  </r>
  <r>
    <n v="4133"/>
    <x v="3"/>
    <s v="31-40 years"/>
    <n v="37"/>
    <x v="0"/>
    <x v="3"/>
    <x v="8"/>
    <s v="Normal"/>
    <n v="-1.0134224999999999"/>
    <x v="10"/>
    <x v="1"/>
    <n v="-1.1624711999999999"/>
    <n v="0"/>
    <s v="Normal"/>
    <n v="-1.1088359000000001"/>
    <n v="0"/>
    <n v="0"/>
    <x v="0"/>
    <n v="-1.0949099"/>
    <x v="72"/>
    <x v="1"/>
    <x v="1"/>
    <n v="4000"/>
    <n v="4000"/>
    <x v="7"/>
    <x v="7"/>
    <x v="3"/>
    <x v="3"/>
    <x v="0"/>
  </r>
  <r>
    <n v="4134"/>
    <x v="3"/>
    <s v="31-40 years"/>
    <n v="38"/>
    <x v="0"/>
    <x v="0"/>
    <x v="1"/>
    <s v="Normal"/>
    <n v="-0.81237789999999999"/>
    <x v="10"/>
    <x v="1"/>
    <n v="-1.1624711999999999"/>
    <n v="2"/>
    <s v="Normal"/>
    <n v="-0.91619854999999994"/>
    <n v="1.3333333999999999"/>
    <n v="1"/>
    <x v="0"/>
    <n v="-0.96368253000000004"/>
    <x v="416"/>
    <x v="1"/>
    <x v="1"/>
    <n v="5000"/>
    <n v="5000"/>
    <x v="2"/>
    <x v="2"/>
    <x v="1"/>
    <x v="1"/>
    <x v="1"/>
  </r>
  <r>
    <n v="4135"/>
    <x v="3"/>
    <s v="51-60 years"/>
    <n v="55"/>
    <x v="0"/>
    <x v="3"/>
    <x v="4"/>
    <s v="Normal"/>
    <n v="-0.61133329999999997"/>
    <x v="7"/>
    <x v="1"/>
    <n v="-0.38382620000000001"/>
    <n v="8"/>
    <s v="Normal"/>
    <n v="-0.33828637"/>
    <n v="6.6666664999999998"/>
    <n v="7"/>
    <x v="0"/>
    <n v="-0.44448197"/>
    <x v="460"/>
    <x v="0"/>
    <x v="0"/>
    <n v="6666.6665000000003"/>
    <n v="6667"/>
    <x v="21"/>
    <x v="21"/>
    <x v="2"/>
    <x v="2"/>
    <x v="2"/>
  </r>
  <r>
    <n v="4136"/>
    <x v="3"/>
    <s v="41-50 years"/>
    <n v="43"/>
    <x v="0"/>
    <x v="0"/>
    <x v="2"/>
    <s v="Normal"/>
    <n v="-0.20924408999999999"/>
    <x v="5"/>
    <x v="1"/>
    <n v="-0.57848745999999995"/>
    <n v="0"/>
    <s v="Normal"/>
    <n v="-1.1088359000000001"/>
    <n v="4.6666664999999998"/>
    <n v="5"/>
    <x v="0"/>
    <n v="-0.63218914999999998"/>
    <x v="461"/>
    <x v="1"/>
    <x v="1"/>
    <n v="6000"/>
    <n v="6000"/>
    <x v="6"/>
    <x v="6"/>
    <x v="2"/>
    <x v="2"/>
    <x v="2"/>
  </r>
  <r>
    <n v="4137"/>
    <x v="3"/>
    <s v="31-40 years"/>
    <n v="40"/>
    <x v="0"/>
    <x v="3"/>
    <x v="0"/>
    <s v="Normal"/>
    <n v="-0.41028870000000001"/>
    <x v="8"/>
    <x v="1"/>
    <n v="-0.18916494"/>
    <n v="4"/>
    <s v="Normal"/>
    <n v="-0.72356116999999998"/>
    <n v="6.6666664999999998"/>
    <n v="7"/>
    <x v="0"/>
    <n v="-0.44100493000000002"/>
    <x v="298"/>
    <x v="0"/>
    <x v="0"/>
    <n v="3333.3332999999998"/>
    <n v="3333"/>
    <x v="10"/>
    <x v="10"/>
    <x v="3"/>
    <x v="3"/>
    <x v="0"/>
  </r>
  <r>
    <n v="4138"/>
    <x v="3"/>
    <s v="21-30 years"/>
    <n v="29"/>
    <x v="0"/>
    <x v="3"/>
    <x v="4"/>
    <s v="Normal"/>
    <n v="-0.61133329999999997"/>
    <x v="5"/>
    <x v="1"/>
    <n v="-0.57848745999999995"/>
    <n v="8"/>
    <s v="Normal"/>
    <n v="-0.33828637"/>
    <n v="6"/>
    <n v="6"/>
    <x v="0"/>
    <n v="-0.50936899999999996"/>
    <x v="81"/>
    <x v="0"/>
    <x v="0"/>
    <n v="5000"/>
    <n v="5000"/>
    <x v="2"/>
    <x v="2"/>
    <x v="1"/>
    <x v="1"/>
    <x v="1"/>
  </r>
  <r>
    <n v="4139"/>
    <x v="3"/>
    <s v="21-30 years"/>
    <n v="26"/>
    <x v="1"/>
    <x v="3"/>
    <x v="1"/>
    <s v="Normal"/>
    <n v="-0.81237789999999999"/>
    <x v="8"/>
    <x v="1"/>
    <n v="-0.18916494"/>
    <n v="4"/>
    <s v="Normal"/>
    <n v="-0.72356116999999998"/>
    <n v="5.3333335000000002"/>
    <n v="5"/>
    <x v="0"/>
    <n v="-0.57503470000000001"/>
    <x v="286"/>
    <x v="0"/>
    <x v="0"/>
    <n v="2666.6667000000002"/>
    <n v="2667"/>
    <x v="16"/>
    <x v="16"/>
    <x v="4"/>
    <x v="4"/>
    <x v="0"/>
  </r>
  <r>
    <n v="4140"/>
    <x v="3"/>
    <s v="31-40 years"/>
    <n v="32"/>
    <x v="0"/>
    <x v="3"/>
    <x v="0"/>
    <s v="Normal"/>
    <n v="-0.41028870000000001"/>
    <x v="1"/>
    <x v="1"/>
    <n v="-0.77314866000000004"/>
    <n v="8"/>
    <s v="Normal"/>
    <n v="-0.33828637"/>
    <n v="6"/>
    <n v="6"/>
    <x v="0"/>
    <n v="-0.50724124999999998"/>
    <x v="462"/>
    <x v="0"/>
    <x v="0"/>
    <n v="2222.2222000000002"/>
    <n v="2222"/>
    <x v="81"/>
    <x v="81"/>
    <x v="4"/>
    <x v="4"/>
    <x v="0"/>
  </r>
  <r>
    <n v="4141"/>
    <x v="3"/>
    <s v="31-40 years"/>
    <n v="35"/>
    <x v="1"/>
    <x v="1"/>
    <x v="1"/>
    <s v="Normal"/>
    <n v="-0.81237789999999999"/>
    <x v="1"/>
    <x v="1"/>
    <n v="-0.77314866000000004"/>
    <n v="0"/>
    <s v="Normal"/>
    <n v="-1.1088359000000001"/>
    <n v="2"/>
    <n v="2"/>
    <x v="0"/>
    <n v="-0.89812080000000005"/>
    <x v="349"/>
    <x v="1"/>
    <x v="1"/>
    <n v="2500"/>
    <n v="2500"/>
    <x v="12"/>
    <x v="12"/>
    <x v="4"/>
    <x v="4"/>
    <x v="0"/>
  </r>
  <r>
    <n v="4142"/>
    <x v="3"/>
    <s v="31-40 years"/>
    <n v="35"/>
    <x v="1"/>
    <x v="1"/>
    <x v="2"/>
    <s v="Normal"/>
    <n v="-0.20924408999999999"/>
    <x v="5"/>
    <x v="1"/>
    <n v="-0.57848745999999995"/>
    <n v="12"/>
    <s v="Moderate"/>
    <n v="4.6988415999999998E-2"/>
    <n v="8.6666670000000003"/>
    <n v="9"/>
    <x v="0"/>
    <n v="-0.24691436999999999"/>
    <x v="463"/>
    <x v="0"/>
    <x v="0"/>
    <n v="5000"/>
    <n v="5000"/>
    <x v="2"/>
    <x v="2"/>
    <x v="1"/>
    <x v="1"/>
    <x v="1"/>
  </r>
  <r>
    <n v="4143"/>
    <x v="3"/>
    <s v="31-40 years"/>
    <n v="32"/>
    <x v="0"/>
    <x v="3"/>
    <x v="0"/>
    <s v="Normal"/>
    <n v="-0.41028870000000001"/>
    <x v="7"/>
    <x v="1"/>
    <n v="-0.38382620000000001"/>
    <n v="4"/>
    <s v="Normal"/>
    <n v="-0.72356116999999998"/>
    <n v="6"/>
    <n v="6"/>
    <x v="0"/>
    <n v="-0.50589203999999999"/>
    <x v="423"/>
    <x v="0"/>
    <x v="0"/>
    <n v="5000"/>
    <n v="5000"/>
    <x v="2"/>
    <x v="2"/>
    <x v="1"/>
    <x v="1"/>
    <x v="1"/>
  </r>
  <r>
    <n v="4144"/>
    <x v="3"/>
    <s v="21-30 years"/>
    <n v="28"/>
    <x v="1"/>
    <x v="1"/>
    <x v="3"/>
    <s v="Normal"/>
    <n v="-8.1994660000000007E-3"/>
    <x v="5"/>
    <x v="1"/>
    <n v="-0.57848745999999995"/>
    <n v="6"/>
    <s v="Normal"/>
    <n v="-0.53092379999999995"/>
    <n v="7.3333335000000002"/>
    <n v="7"/>
    <x v="0"/>
    <n v="-0.3725369"/>
    <x v="47"/>
    <x v="0"/>
    <x v="0"/>
    <n v="4000"/>
    <n v="4000"/>
    <x v="7"/>
    <x v="7"/>
    <x v="3"/>
    <x v="3"/>
    <x v="0"/>
  </r>
  <r>
    <n v="4145"/>
    <x v="3"/>
    <s v="41-50 years"/>
    <n v="45"/>
    <x v="1"/>
    <x v="3"/>
    <x v="11"/>
    <s v="Moderate"/>
    <n v="0.99702360000000001"/>
    <x v="8"/>
    <x v="1"/>
    <n v="-0.18916494"/>
    <n v="8"/>
    <s v="Normal"/>
    <n v="-0.33828637"/>
    <n v="12.666667"/>
    <n v="13"/>
    <x v="1"/>
    <n v="0.15652409"/>
    <x v="464"/>
    <x v="0"/>
    <x v="0"/>
    <n v="6250"/>
    <n v="6250"/>
    <x v="27"/>
    <x v="27"/>
    <x v="2"/>
    <x v="2"/>
    <x v="2"/>
  </r>
  <r>
    <n v="4146"/>
    <x v="3"/>
    <s v="31-40 years"/>
    <n v="35"/>
    <x v="1"/>
    <x v="1"/>
    <x v="6"/>
    <s v="Moderate"/>
    <n v="0.59493434000000001"/>
    <x v="7"/>
    <x v="1"/>
    <n v="-0.38382620000000001"/>
    <n v="8"/>
    <s v="Normal"/>
    <n v="-0.33828637"/>
    <n v="10.666667"/>
    <n v="11"/>
    <x v="1"/>
    <n v="-4.2392741999999997E-2"/>
    <x v="465"/>
    <x v="0"/>
    <x v="0"/>
    <n v="5000"/>
    <n v="5000"/>
    <x v="2"/>
    <x v="2"/>
    <x v="1"/>
    <x v="1"/>
    <x v="1"/>
  </r>
  <r>
    <n v="4147"/>
    <x v="3"/>
    <s v="31-40 years"/>
    <n v="35"/>
    <x v="1"/>
    <x v="0"/>
    <x v="12"/>
    <s v="Moderate"/>
    <n v="0.79597896000000001"/>
    <x v="0"/>
    <x v="0"/>
    <n v="5.496318E-3"/>
    <n v="8"/>
    <s v="Normal"/>
    <n v="-0.33828637"/>
    <n v="12.666667"/>
    <n v="13"/>
    <x v="1"/>
    <n v="0.15439631000000001"/>
    <x v="466"/>
    <x v="0"/>
    <x v="0"/>
    <n v="5000"/>
    <n v="5000"/>
    <x v="2"/>
    <x v="2"/>
    <x v="1"/>
    <x v="1"/>
    <x v="1"/>
  </r>
  <r>
    <n v="4148"/>
    <x v="3"/>
    <s v="31-40 years"/>
    <n v="32"/>
    <x v="1"/>
    <x v="1"/>
    <x v="7"/>
    <s v="Moderate"/>
    <n v="0.19284514999999999"/>
    <x v="8"/>
    <x v="1"/>
    <n v="-0.18916494"/>
    <n v="10"/>
    <s v="Normal"/>
    <n v="-0.14564899000000001"/>
    <n v="10.666667"/>
    <n v="11"/>
    <x v="1"/>
    <n v="-4.7322925000000002E-2"/>
    <x v="326"/>
    <x v="0"/>
    <x v="0"/>
    <n v="5000"/>
    <n v="5000"/>
    <x v="2"/>
    <x v="2"/>
    <x v="1"/>
    <x v="1"/>
    <x v="1"/>
  </r>
  <r>
    <n v="4149"/>
    <x v="3"/>
    <s v="41-50 years"/>
    <n v="45"/>
    <x v="1"/>
    <x v="1"/>
    <x v="10"/>
    <s v="Severe"/>
    <n v="1.1980683000000001"/>
    <x v="12"/>
    <x v="2"/>
    <n v="1.1734637999999999"/>
    <n v="10"/>
    <s v="Normal"/>
    <n v="-0.14564899000000001"/>
    <n v="18.666665999999999"/>
    <n v="19"/>
    <x v="1"/>
    <n v="0.74196099999999998"/>
    <x v="467"/>
    <x v="2"/>
    <x v="2"/>
    <n v="5000"/>
    <n v="5000"/>
    <x v="2"/>
    <x v="2"/>
    <x v="1"/>
    <x v="1"/>
    <x v="1"/>
  </r>
  <r>
    <n v="4150"/>
    <x v="3"/>
    <s v="41-50 years"/>
    <n v="50"/>
    <x v="1"/>
    <x v="1"/>
    <x v="6"/>
    <s v="Moderate"/>
    <n v="0.59493434000000001"/>
    <x v="5"/>
    <x v="1"/>
    <n v="-0.57848745999999995"/>
    <n v="4"/>
    <s v="Normal"/>
    <n v="-0.72356116999999998"/>
    <n v="8.6666670000000003"/>
    <n v="9"/>
    <x v="0"/>
    <n v="-0.23570476000000001"/>
    <x v="468"/>
    <x v="0"/>
    <x v="0"/>
    <n v="3750"/>
    <n v="3750"/>
    <x v="15"/>
    <x v="15"/>
    <x v="3"/>
    <x v="3"/>
    <x v="0"/>
  </r>
  <r>
    <n v="4151"/>
    <x v="3"/>
    <s v="31-40 years"/>
    <n v="35"/>
    <x v="1"/>
    <x v="0"/>
    <x v="7"/>
    <s v="Moderate"/>
    <n v="0.19284514999999999"/>
    <x v="5"/>
    <x v="1"/>
    <n v="-0.57848745999999995"/>
    <n v="12"/>
    <s v="Moderate"/>
    <n v="4.6988415999999998E-2"/>
    <n v="10"/>
    <n v="10"/>
    <x v="0"/>
    <n v="-0.112884626"/>
    <x v="469"/>
    <x v="0"/>
    <x v="0"/>
    <n v="5000"/>
    <n v="5000"/>
    <x v="2"/>
    <x v="2"/>
    <x v="1"/>
    <x v="1"/>
    <x v="1"/>
  </r>
  <r>
    <n v="4152"/>
    <x v="3"/>
    <s v="31-40 years"/>
    <n v="35"/>
    <x v="1"/>
    <x v="1"/>
    <x v="2"/>
    <s v="Normal"/>
    <n v="-0.20924408999999999"/>
    <x v="5"/>
    <x v="1"/>
    <n v="-0.57848745999999995"/>
    <n v="8"/>
    <s v="Normal"/>
    <n v="-0.33828637"/>
    <n v="7.3333335000000002"/>
    <n v="7"/>
    <x v="0"/>
    <n v="-0.37533929999999999"/>
    <x v="470"/>
    <x v="0"/>
    <x v="0"/>
    <n v="5000"/>
    <n v="5000"/>
    <x v="2"/>
    <x v="2"/>
    <x v="1"/>
    <x v="1"/>
    <x v="1"/>
  </r>
  <r>
    <n v="4153"/>
    <x v="3"/>
    <s v="41-50 years"/>
    <n v="42"/>
    <x v="1"/>
    <x v="3"/>
    <x v="6"/>
    <s v="Moderate"/>
    <n v="0.59493434000000001"/>
    <x v="7"/>
    <x v="1"/>
    <n v="-0.38382620000000001"/>
    <n v="6"/>
    <s v="Normal"/>
    <n v="-0.53092379999999995"/>
    <n v="10"/>
    <n v="10"/>
    <x v="0"/>
    <n v="-0.10660521000000001"/>
    <x v="471"/>
    <x v="0"/>
    <x v="0"/>
    <n v="5000"/>
    <n v="5000"/>
    <x v="2"/>
    <x v="2"/>
    <x v="1"/>
    <x v="1"/>
    <x v="1"/>
  </r>
  <r>
    <n v="4154"/>
    <x v="3"/>
    <s v="31-40 years"/>
    <n v="35"/>
    <x v="1"/>
    <x v="1"/>
    <x v="6"/>
    <s v="Moderate"/>
    <n v="0.59493434000000001"/>
    <x v="0"/>
    <x v="0"/>
    <n v="5.496318E-3"/>
    <n v="12"/>
    <s v="Moderate"/>
    <n v="4.6988415999999998E-2"/>
    <n v="13.333333"/>
    <n v="13"/>
    <x v="1"/>
    <n v="0.21580637"/>
    <x v="26"/>
    <x v="0"/>
    <x v="0"/>
    <n v="6250"/>
    <n v="6250"/>
    <x v="27"/>
    <x v="27"/>
    <x v="2"/>
    <x v="2"/>
    <x v="2"/>
  </r>
  <r>
    <n v="4155"/>
    <x v="3"/>
    <s v="31-40 years"/>
    <n v="35"/>
    <x v="1"/>
    <x v="1"/>
    <x v="5"/>
    <s v="Moderate"/>
    <n v="0.39388975999999998"/>
    <x v="1"/>
    <x v="1"/>
    <n v="-0.77314866000000004"/>
    <n v="4"/>
    <s v="Normal"/>
    <n v="-0.72356116999999998"/>
    <n v="7.3333335000000002"/>
    <n v="7"/>
    <x v="0"/>
    <n v="-0.36760670000000001"/>
    <x v="472"/>
    <x v="0"/>
    <x v="0"/>
    <n v="4000"/>
    <n v="4000"/>
    <x v="7"/>
    <x v="7"/>
    <x v="3"/>
    <x v="3"/>
    <x v="0"/>
  </r>
  <r>
    <n v="4156"/>
    <x v="3"/>
    <s v="51-60 years"/>
    <n v="59"/>
    <x v="0"/>
    <x v="3"/>
    <x v="4"/>
    <s v="Normal"/>
    <n v="-0.61133329999999997"/>
    <x v="7"/>
    <x v="1"/>
    <n v="-0.38382620000000001"/>
    <n v="8"/>
    <s v="Normal"/>
    <n v="-0.33828637"/>
    <n v="6.6666664999999998"/>
    <n v="7"/>
    <x v="0"/>
    <n v="-0.44448197"/>
    <x v="460"/>
    <x v="0"/>
    <x v="0"/>
    <n v="15000"/>
    <n v="15000"/>
    <x v="46"/>
    <x v="46"/>
    <x v="5"/>
    <x v="5"/>
    <x v="2"/>
  </r>
  <r>
    <n v="4157"/>
    <x v="3"/>
    <s v="31-40 years"/>
    <n v="35"/>
    <x v="0"/>
    <x v="0"/>
    <x v="2"/>
    <s v="Normal"/>
    <n v="-0.20924408999999999"/>
    <x v="1"/>
    <x v="1"/>
    <n v="-0.77314866000000004"/>
    <n v="6"/>
    <s v="Normal"/>
    <n v="-0.53092379999999995"/>
    <n v="6"/>
    <n v="6"/>
    <x v="0"/>
    <n v="-0.50443879999999996"/>
    <x v="18"/>
    <x v="0"/>
    <x v="0"/>
    <n v="6250"/>
    <n v="6250"/>
    <x v="27"/>
    <x v="27"/>
    <x v="2"/>
    <x v="2"/>
    <x v="2"/>
  </r>
  <r>
    <n v="4158"/>
    <x v="3"/>
    <s v="21-30 years"/>
    <n v="25"/>
    <x v="0"/>
    <x v="0"/>
    <x v="0"/>
    <s v="Normal"/>
    <n v="-0.41028870000000001"/>
    <x v="1"/>
    <x v="1"/>
    <n v="-0.77314866000000004"/>
    <n v="4"/>
    <s v="Normal"/>
    <n v="-0.72356116999999998"/>
    <n v="4.6666664999999998"/>
    <n v="5"/>
    <x v="0"/>
    <n v="-0.63566619999999996"/>
    <x v="34"/>
    <x v="1"/>
    <x v="1"/>
    <n v="10000"/>
    <n v="10000"/>
    <x v="26"/>
    <x v="26"/>
    <x v="5"/>
    <x v="5"/>
    <x v="2"/>
  </r>
  <r>
    <n v="4159"/>
    <x v="3"/>
    <s v="31-40 years"/>
    <n v="33"/>
    <x v="0"/>
    <x v="3"/>
    <x v="0"/>
    <s v="Normal"/>
    <n v="-0.41028870000000001"/>
    <x v="7"/>
    <x v="1"/>
    <n v="-0.38382620000000001"/>
    <n v="10"/>
    <s v="Normal"/>
    <n v="-0.14564899000000001"/>
    <n v="8"/>
    <n v="8"/>
    <x v="0"/>
    <n v="-0.31325461999999998"/>
    <x v="185"/>
    <x v="0"/>
    <x v="0"/>
    <n v="5000"/>
    <n v="5000"/>
    <x v="2"/>
    <x v="2"/>
    <x v="1"/>
    <x v="1"/>
    <x v="1"/>
  </r>
  <r>
    <n v="4160"/>
    <x v="3"/>
    <s v="31-40 years"/>
    <n v="35"/>
    <x v="1"/>
    <x v="1"/>
    <x v="5"/>
    <s v="Moderate"/>
    <n v="0.39388975999999998"/>
    <x v="2"/>
    <x v="1"/>
    <n v="-0.9678099"/>
    <n v="6"/>
    <s v="Normal"/>
    <n v="-0.53092379999999995"/>
    <n v="7.3333335000000002"/>
    <n v="7"/>
    <x v="0"/>
    <n v="-0.36828129999999998"/>
    <x v="473"/>
    <x v="0"/>
    <x v="0"/>
    <n v="6000"/>
    <n v="6000"/>
    <x v="6"/>
    <x v="6"/>
    <x v="2"/>
    <x v="2"/>
    <x v="2"/>
  </r>
  <r>
    <n v="4161"/>
    <x v="3"/>
    <s v="21-30 years"/>
    <n v="28"/>
    <x v="1"/>
    <x v="3"/>
    <x v="5"/>
    <s v="Moderate"/>
    <n v="0.39388975999999998"/>
    <x v="5"/>
    <x v="1"/>
    <n v="-0.57848745999999995"/>
    <n v="8"/>
    <s v="Normal"/>
    <n v="-0.33828637"/>
    <n v="9.3333329999999997"/>
    <n v="9"/>
    <x v="0"/>
    <n v="-0.1742947"/>
    <x v="474"/>
    <x v="0"/>
    <x v="0"/>
    <n v="5000"/>
    <n v="5000"/>
    <x v="2"/>
    <x v="2"/>
    <x v="1"/>
    <x v="1"/>
    <x v="1"/>
  </r>
  <r>
    <n v="4162"/>
    <x v="3"/>
    <s v="31-40 years"/>
    <n v="32"/>
    <x v="1"/>
    <x v="3"/>
    <x v="4"/>
    <s v="Normal"/>
    <n v="-0.61133329999999997"/>
    <x v="4"/>
    <x v="0"/>
    <n v="0.20015757000000001"/>
    <n v="4"/>
    <s v="Normal"/>
    <n v="-0.72356116999999998"/>
    <n v="7.3333335000000002"/>
    <n v="7"/>
    <x v="0"/>
    <n v="-0.37824564999999999"/>
    <x v="400"/>
    <x v="0"/>
    <x v="0"/>
    <n v="5000"/>
    <n v="5000"/>
    <x v="2"/>
    <x v="2"/>
    <x v="1"/>
    <x v="1"/>
    <x v="1"/>
  </r>
  <r>
    <n v="4163"/>
    <x v="3"/>
    <s v="21-30 years"/>
    <n v="28"/>
    <x v="1"/>
    <x v="3"/>
    <x v="3"/>
    <s v="Normal"/>
    <n v="-8.1994660000000007E-3"/>
    <x v="1"/>
    <x v="1"/>
    <n v="-0.77314866000000004"/>
    <n v="6"/>
    <s v="Normal"/>
    <n v="-0.53092379999999995"/>
    <n v="6.6666664999999998"/>
    <n v="7"/>
    <x v="0"/>
    <n v="-0.43742397"/>
    <x v="444"/>
    <x v="0"/>
    <x v="0"/>
    <n v="10000"/>
    <n v="10000"/>
    <x v="26"/>
    <x v="26"/>
    <x v="5"/>
    <x v="5"/>
    <x v="2"/>
  </r>
  <r>
    <n v="4164"/>
    <x v="3"/>
    <s v="31-40 years"/>
    <n v="35"/>
    <x v="1"/>
    <x v="1"/>
    <x v="7"/>
    <s v="Moderate"/>
    <n v="0.19284514999999999"/>
    <x v="2"/>
    <x v="1"/>
    <n v="-0.9678099"/>
    <n v="10"/>
    <s v="Normal"/>
    <n v="-0.14564899000000001"/>
    <n v="8"/>
    <n v="8"/>
    <x v="0"/>
    <n v="-0.30687123999999999"/>
    <x v="475"/>
    <x v="0"/>
    <x v="0"/>
    <n v="10000"/>
    <n v="10000"/>
    <x v="26"/>
    <x v="26"/>
    <x v="5"/>
    <x v="5"/>
    <x v="2"/>
  </r>
  <r>
    <n v="4165"/>
    <x v="3"/>
    <s v="21-30 years"/>
    <n v="30"/>
    <x v="0"/>
    <x v="3"/>
    <x v="7"/>
    <s v="Moderate"/>
    <n v="0.19284514999999999"/>
    <x v="5"/>
    <x v="1"/>
    <n v="-0.57848745999999995"/>
    <n v="6"/>
    <s v="Normal"/>
    <n v="-0.53092379999999995"/>
    <n v="8"/>
    <n v="8"/>
    <x v="0"/>
    <n v="-0.30552202000000001"/>
    <x v="476"/>
    <x v="0"/>
    <x v="0"/>
    <n v="3000"/>
    <n v="3000"/>
    <x v="22"/>
    <x v="22"/>
    <x v="3"/>
    <x v="3"/>
    <x v="0"/>
  </r>
  <r>
    <n v="4166"/>
    <x v="3"/>
    <s v="21-30 years"/>
    <n v="30"/>
    <x v="0"/>
    <x v="3"/>
    <x v="0"/>
    <s v="Normal"/>
    <n v="-0.41028870000000001"/>
    <x v="7"/>
    <x v="1"/>
    <n v="-0.38382620000000001"/>
    <n v="6"/>
    <s v="Normal"/>
    <n v="-0.53092379999999995"/>
    <n v="6.6666664999999998"/>
    <n v="7"/>
    <x v="0"/>
    <n v="-0.44167957000000002"/>
    <x v="82"/>
    <x v="0"/>
    <x v="0"/>
    <n v="4166.6665000000003"/>
    <n v="4167"/>
    <x v="24"/>
    <x v="24"/>
    <x v="3"/>
    <x v="3"/>
    <x v="0"/>
  </r>
  <r>
    <n v="4167"/>
    <x v="3"/>
    <s v="21-30 years"/>
    <n v="30"/>
    <x v="1"/>
    <x v="0"/>
    <x v="4"/>
    <s v="Normal"/>
    <n v="-0.61133329999999997"/>
    <x v="7"/>
    <x v="1"/>
    <n v="-0.38382620000000001"/>
    <n v="8"/>
    <s v="Normal"/>
    <n v="-0.33828637"/>
    <n v="6.6666664999999998"/>
    <n v="7"/>
    <x v="0"/>
    <n v="-0.44448197"/>
    <x v="460"/>
    <x v="0"/>
    <x v="0"/>
    <n v="3000"/>
    <n v="3000"/>
    <x v="22"/>
    <x v="22"/>
    <x v="3"/>
    <x v="3"/>
    <x v="0"/>
  </r>
  <r>
    <n v="4168"/>
    <x v="3"/>
    <s v="21-30 years"/>
    <n v="30"/>
    <x v="1"/>
    <x v="1"/>
    <x v="4"/>
    <s v="Normal"/>
    <n v="-0.61133329999999997"/>
    <x v="1"/>
    <x v="1"/>
    <n v="-0.77314866000000004"/>
    <n v="0"/>
    <s v="Normal"/>
    <n v="-1.1088359000000001"/>
    <n v="2.6666666999999999"/>
    <n v="3"/>
    <x v="0"/>
    <n v="-0.83110594999999998"/>
    <x v="44"/>
    <x v="1"/>
    <x v="1"/>
    <n v="3000"/>
    <n v="3000"/>
    <x v="22"/>
    <x v="22"/>
    <x v="3"/>
    <x v="3"/>
    <x v="0"/>
  </r>
  <r>
    <n v="4169"/>
    <x v="3"/>
    <s v="31-40 years"/>
    <n v="34"/>
    <x v="1"/>
    <x v="1"/>
    <x v="4"/>
    <s v="Normal"/>
    <n v="-0.61133329999999997"/>
    <x v="2"/>
    <x v="1"/>
    <n v="-0.9678099"/>
    <n v="0"/>
    <s v="Normal"/>
    <n v="-1.1088359000000001"/>
    <n v="2"/>
    <n v="2"/>
    <x v="0"/>
    <n v="-0.89599304999999996"/>
    <x v="452"/>
    <x v="1"/>
    <x v="1"/>
    <n v="3750"/>
    <n v="3750"/>
    <x v="15"/>
    <x v="15"/>
    <x v="3"/>
    <x v="3"/>
    <x v="0"/>
  </r>
  <r>
    <n v="4170"/>
    <x v="3"/>
    <s v="31-40 years"/>
    <n v="33"/>
    <x v="1"/>
    <x v="1"/>
    <x v="4"/>
    <s v="Normal"/>
    <n v="-0.61133329999999997"/>
    <x v="5"/>
    <x v="1"/>
    <n v="-0.57848745999999995"/>
    <n v="2"/>
    <s v="Normal"/>
    <n v="-0.91619854999999994"/>
    <n v="4"/>
    <n v="4"/>
    <x v="0"/>
    <n v="-0.70200646"/>
    <x v="63"/>
    <x v="1"/>
    <x v="1"/>
    <n v="5000"/>
    <n v="5000"/>
    <x v="2"/>
    <x v="2"/>
    <x v="1"/>
    <x v="1"/>
    <x v="1"/>
  </r>
  <r>
    <n v="4171"/>
    <x v="3"/>
    <s v="31-40 years"/>
    <n v="32"/>
    <x v="1"/>
    <x v="1"/>
    <x v="1"/>
    <s v="Normal"/>
    <n v="-0.81237789999999999"/>
    <x v="5"/>
    <x v="1"/>
    <n v="-0.57848745999999995"/>
    <n v="2"/>
    <s v="Normal"/>
    <n v="-0.91619854999999994"/>
    <n v="3.3333333000000001"/>
    <n v="3"/>
    <x v="0"/>
    <n v="-0.76902132999999995"/>
    <x v="46"/>
    <x v="1"/>
    <x v="1"/>
    <n v="5000"/>
    <n v="5000"/>
    <x v="2"/>
    <x v="2"/>
    <x v="1"/>
    <x v="1"/>
    <x v="1"/>
  </r>
  <r>
    <n v="4172"/>
    <x v="3"/>
    <s v="31-40 years"/>
    <n v="33"/>
    <x v="0"/>
    <x v="3"/>
    <x v="0"/>
    <s v="Normal"/>
    <n v="-0.41028870000000001"/>
    <x v="1"/>
    <x v="1"/>
    <n v="-0.77314866000000004"/>
    <n v="8"/>
    <s v="Normal"/>
    <n v="-0.33828637"/>
    <n v="6"/>
    <n v="6"/>
    <x v="0"/>
    <n v="-0.50724124999999998"/>
    <x v="462"/>
    <x v="0"/>
    <x v="0"/>
    <n v="5000"/>
    <n v="5000"/>
    <x v="2"/>
    <x v="2"/>
    <x v="1"/>
    <x v="1"/>
    <x v="1"/>
  </r>
  <r>
    <n v="4173"/>
    <x v="3"/>
    <s v="21-30 years"/>
    <n v="27"/>
    <x v="1"/>
    <x v="3"/>
    <x v="2"/>
    <s v="Normal"/>
    <n v="-0.20924408999999999"/>
    <x v="1"/>
    <x v="1"/>
    <n v="-0.77314866000000004"/>
    <n v="4"/>
    <s v="Normal"/>
    <n v="-0.72356116999999998"/>
    <n v="5.3333335000000002"/>
    <n v="5"/>
    <x v="0"/>
    <n v="-0.56865129999999997"/>
    <x v="42"/>
    <x v="0"/>
    <x v="0"/>
    <n v="5000"/>
    <n v="5000"/>
    <x v="2"/>
    <x v="2"/>
    <x v="1"/>
    <x v="1"/>
    <x v="1"/>
  </r>
  <r>
    <n v="4174"/>
    <x v="3"/>
    <s v="31-40 years"/>
    <n v="35"/>
    <x v="1"/>
    <x v="1"/>
    <x v="7"/>
    <s v="Moderate"/>
    <n v="0.19284514999999999"/>
    <x v="8"/>
    <x v="1"/>
    <n v="-0.18916494"/>
    <n v="6"/>
    <s v="Normal"/>
    <n v="-0.53092379999999995"/>
    <n v="9.3333329999999997"/>
    <n v="9"/>
    <x v="0"/>
    <n v="-0.17574786000000001"/>
    <x v="477"/>
    <x v="0"/>
    <x v="0"/>
    <n v="8333.3330000000005"/>
    <n v="8333"/>
    <x v="20"/>
    <x v="20"/>
    <x v="5"/>
    <x v="5"/>
    <x v="2"/>
  </r>
  <r>
    <n v="4175"/>
    <x v="3"/>
    <s v="31-40 years"/>
    <n v="37"/>
    <x v="1"/>
    <x v="3"/>
    <x v="6"/>
    <s v="Moderate"/>
    <n v="0.59493434000000001"/>
    <x v="1"/>
    <x v="1"/>
    <n v="-0.77314866000000004"/>
    <n v="10"/>
    <s v="Normal"/>
    <n v="-0.14564899000000001"/>
    <n v="10"/>
    <n v="10"/>
    <x v="0"/>
    <n v="-0.107954435"/>
    <x v="478"/>
    <x v="0"/>
    <x v="0"/>
    <n v="4000"/>
    <n v="4000"/>
    <x v="7"/>
    <x v="7"/>
    <x v="3"/>
    <x v="3"/>
    <x v="0"/>
  </r>
  <r>
    <n v="4176"/>
    <x v="3"/>
    <s v="41-50 years"/>
    <n v="50"/>
    <x v="1"/>
    <x v="1"/>
    <x v="5"/>
    <s v="Moderate"/>
    <n v="0.39388975999999998"/>
    <x v="8"/>
    <x v="1"/>
    <n v="-0.18916494"/>
    <n v="12"/>
    <s v="Moderate"/>
    <n v="4.6988415999999998E-2"/>
    <n v="12"/>
    <n v="12"/>
    <x v="1"/>
    <n v="8.3904414999999996E-2"/>
    <x v="479"/>
    <x v="0"/>
    <x v="0"/>
    <n v="6000"/>
    <n v="6000"/>
    <x v="6"/>
    <x v="6"/>
    <x v="2"/>
    <x v="2"/>
    <x v="2"/>
  </r>
  <r>
    <n v="4177"/>
    <x v="3"/>
    <s v="51-60 years"/>
    <n v="55"/>
    <x v="0"/>
    <x v="0"/>
    <x v="6"/>
    <s v="Moderate"/>
    <n v="0.59493434000000001"/>
    <x v="2"/>
    <x v="1"/>
    <n v="-0.9678099"/>
    <n v="6"/>
    <s v="Normal"/>
    <n v="-0.53092379999999995"/>
    <n v="8"/>
    <n v="8"/>
    <x v="0"/>
    <n v="-0.30126646000000001"/>
    <x v="480"/>
    <x v="0"/>
    <x v="0"/>
    <n v="10000"/>
    <n v="10000"/>
    <x v="26"/>
    <x v="26"/>
    <x v="5"/>
    <x v="5"/>
    <x v="2"/>
  </r>
  <r>
    <n v="4178"/>
    <x v="3"/>
    <s v="41-50 years"/>
    <n v="50"/>
    <x v="0"/>
    <x v="0"/>
    <x v="5"/>
    <s v="Moderate"/>
    <n v="0.39388975999999998"/>
    <x v="1"/>
    <x v="1"/>
    <n v="-0.77314866000000004"/>
    <n v="6"/>
    <s v="Normal"/>
    <n v="-0.53092379999999995"/>
    <n v="8"/>
    <n v="8"/>
    <x v="0"/>
    <n v="-0.30339422999999999"/>
    <x v="481"/>
    <x v="0"/>
    <x v="0"/>
    <n v="12500"/>
    <n v="12500"/>
    <x v="49"/>
    <x v="49"/>
    <x v="5"/>
    <x v="5"/>
    <x v="2"/>
  </r>
  <r>
    <n v="4179"/>
    <x v="3"/>
    <s v="31-40 years"/>
    <n v="40"/>
    <x v="0"/>
    <x v="0"/>
    <x v="3"/>
    <s v="Normal"/>
    <n v="-8.1994660000000007E-3"/>
    <x v="7"/>
    <x v="1"/>
    <n v="-0.38382620000000001"/>
    <n v="8"/>
    <s v="Normal"/>
    <n v="-0.33828637"/>
    <n v="8.6666670000000003"/>
    <n v="9"/>
    <x v="0"/>
    <n v="-0.24343735"/>
    <x v="482"/>
    <x v="0"/>
    <x v="0"/>
    <n v="10000"/>
    <n v="10000"/>
    <x v="26"/>
    <x v="26"/>
    <x v="5"/>
    <x v="5"/>
    <x v="2"/>
  </r>
  <r>
    <n v="4180"/>
    <x v="3"/>
    <s v="51-60 years"/>
    <n v="59"/>
    <x v="0"/>
    <x v="0"/>
    <x v="0"/>
    <s v="Normal"/>
    <n v="-0.41028870000000001"/>
    <x v="2"/>
    <x v="1"/>
    <n v="-0.9678099"/>
    <n v="6"/>
    <s v="Normal"/>
    <n v="-0.53092379999999995"/>
    <n v="4.6666664999999998"/>
    <n v="5"/>
    <x v="0"/>
    <n v="-0.63634080000000004"/>
    <x v="71"/>
    <x v="1"/>
    <x v="1"/>
    <n v="3000"/>
    <n v="3000"/>
    <x v="22"/>
    <x v="22"/>
    <x v="3"/>
    <x v="3"/>
    <x v="0"/>
  </r>
  <r>
    <n v="4181"/>
    <x v="3"/>
    <s v="31-40 years"/>
    <n v="38"/>
    <x v="0"/>
    <x v="0"/>
    <x v="1"/>
    <s v="Normal"/>
    <n v="-0.81237789999999999"/>
    <x v="7"/>
    <x v="1"/>
    <n v="-0.38382620000000001"/>
    <n v="4"/>
    <s v="Normal"/>
    <n v="-0.72356116999999998"/>
    <n v="4.6666664999999998"/>
    <n v="5"/>
    <x v="0"/>
    <n v="-0.63992179999999999"/>
    <x v="410"/>
    <x v="1"/>
    <x v="1"/>
    <n v="4166.6665000000003"/>
    <n v="4167"/>
    <x v="24"/>
    <x v="24"/>
    <x v="3"/>
    <x v="3"/>
    <x v="0"/>
  </r>
  <r>
    <n v="4182"/>
    <x v="3"/>
    <s v="31-40 years"/>
    <n v="40"/>
    <x v="0"/>
    <x v="4"/>
    <x v="2"/>
    <s v="Normal"/>
    <n v="-0.20924408999999999"/>
    <x v="7"/>
    <x v="1"/>
    <n v="-0.38382620000000001"/>
    <n v="4"/>
    <s v="Normal"/>
    <n v="-0.72356116999999998"/>
    <n v="6.6666664999999998"/>
    <n v="7"/>
    <x v="0"/>
    <n v="-0.43887716999999998"/>
    <x v="483"/>
    <x v="0"/>
    <x v="0"/>
    <n v="3000"/>
    <n v="3000"/>
    <x v="22"/>
    <x v="22"/>
    <x v="3"/>
    <x v="3"/>
    <x v="0"/>
  </r>
  <r>
    <n v="4183"/>
    <x v="3"/>
    <s v="41-50 years"/>
    <n v="47"/>
    <x v="0"/>
    <x v="0"/>
    <x v="7"/>
    <s v="Moderate"/>
    <n v="0.19284514999999999"/>
    <x v="8"/>
    <x v="1"/>
    <n v="-0.18916494"/>
    <n v="8"/>
    <s v="Normal"/>
    <n v="-0.33828637"/>
    <n v="10"/>
    <n v="10"/>
    <x v="0"/>
    <n v="-0.111535385"/>
    <x v="484"/>
    <x v="0"/>
    <x v="0"/>
    <n v="2500"/>
    <n v="2500"/>
    <x v="12"/>
    <x v="12"/>
    <x v="4"/>
    <x v="4"/>
    <x v="0"/>
  </r>
  <r>
    <n v="4184"/>
    <x v="3"/>
    <s v="41-50 years"/>
    <n v="43"/>
    <x v="0"/>
    <x v="0"/>
    <x v="3"/>
    <s v="Normal"/>
    <n v="-8.1994660000000007E-3"/>
    <x v="1"/>
    <x v="1"/>
    <n v="-0.77314866000000004"/>
    <n v="10"/>
    <s v="Normal"/>
    <n v="-0.14564899000000001"/>
    <n v="8"/>
    <n v="8"/>
    <x v="0"/>
    <n v="-0.30899903000000001"/>
    <x v="485"/>
    <x v="0"/>
    <x v="0"/>
    <n v="4166.6665000000003"/>
    <n v="4167"/>
    <x v="24"/>
    <x v="24"/>
    <x v="3"/>
    <x v="3"/>
    <x v="0"/>
  </r>
  <r>
    <n v="4185"/>
    <x v="3"/>
    <s v="51-60 years"/>
    <n v="58"/>
    <x v="0"/>
    <x v="6"/>
    <x v="11"/>
    <s v="Moderate"/>
    <n v="0.99702360000000001"/>
    <x v="8"/>
    <x v="1"/>
    <n v="-0.18916494"/>
    <n v="8"/>
    <s v="Normal"/>
    <n v="-0.33828637"/>
    <n v="12.666667"/>
    <n v="13"/>
    <x v="1"/>
    <n v="0.15652409"/>
    <x v="464"/>
    <x v="0"/>
    <x v="0"/>
    <n v="10000"/>
    <n v="10000"/>
    <x v="26"/>
    <x v="26"/>
    <x v="5"/>
    <x v="5"/>
    <x v="2"/>
  </r>
  <r>
    <n v="4186"/>
    <x v="3"/>
    <s v="41-50 years"/>
    <n v="41"/>
    <x v="0"/>
    <x v="0"/>
    <x v="5"/>
    <s v="Moderate"/>
    <n v="0.39388975999999998"/>
    <x v="5"/>
    <x v="1"/>
    <n v="-0.57848745999999995"/>
    <n v="10"/>
    <s v="Normal"/>
    <n v="-0.14564899000000001"/>
    <n v="10"/>
    <n v="10"/>
    <x v="0"/>
    <n v="-0.11008223"/>
    <x v="486"/>
    <x v="0"/>
    <x v="0"/>
    <n v="5000"/>
    <n v="5000"/>
    <x v="2"/>
    <x v="2"/>
    <x v="1"/>
    <x v="1"/>
    <x v="1"/>
  </r>
  <r>
    <n v="4187"/>
    <x v="3"/>
    <s v="21-30 years"/>
    <n v="26"/>
    <x v="1"/>
    <x v="1"/>
    <x v="4"/>
    <s v="Normal"/>
    <n v="-0.61133329999999997"/>
    <x v="2"/>
    <x v="1"/>
    <n v="-0.9678099"/>
    <n v="0"/>
    <s v="Normal"/>
    <n v="-1.1088359000000001"/>
    <n v="2"/>
    <n v="2"/>
    <x v="0"/>
    <n v="-0.89599304999999996"/>
    <x v="452"/>
    <x v="1"/>
    <x v="1"/>
    <n v="3000"/>
    <n v="3000"/>
    <x v="22"/>
    <x v="22"/>
    <x v="3"/>
    <x v="3"/>
    <x v="0"/>
  </r>
  <r>
    <n v="4188"/>
    <x v="3"/>
    <s v="21-30 years"/>
    <n v="28"/>
    <x v="1"/>
    <x v="3"/>
    <x v="1"/>
    <s v="Normal"/>
    <n v="-0.81237789999999999"/>
    <x v="2"/>
    <x v="1"/>
    <n v="-0.9678099"/>
    <n v="0"/>
    <s v="Normal"/>
    <n v="-1.1088359000000001"/>
    <n v="1.3333333999999999"/>
    <n v="1"/>
    <x v="0"/>
    <n v="-0.96300790000000003"/>
    <x v="17"/>
    <x v="1"/>
    <x v="1"/>
    <n v="3600"/>
    <n v="3600"/>
    <x v="31"/>
    <x v="31"/>
    <x v="3"/>
    <x v="3"/>
    <x v="0"/>
  </r>
  <r>
    <n v="4189"/>
    <x v="3"/>
    <s v="31-40 years"/>
    <n v="31"/>
    <x v="1"/>
    <x v="1"/>
    <x v="1"/>
    <s v="Normal"/>
    <n v="-0.81237789999999999"/>
    <x v="2"/>
    <x v="1"/>
    <n v="-0.9678099"/>
    <n v="0"/>
    <s v="Normal"/>
    <n v="-1.1088359000000001"/>
    <n v="1.3333333999999999"/>
    <n v="1"/>
    <x v="0"/>
    <n v="-0.96300790000000003"/>
    <x v="17"/>
    <x v="1"/>
    <x v="1"/>
    <n v="4000"/>
    <n v="4000"/>
    <x v="7"/>
    <x v="7"/>
    <x v="3"/>
    <x v="3"/>
    <x v="0"/>
  </r>
  <r>
    <n v="4190"/>
    <x v="3"/>
    <s v="31-40 years"/>
    <n v="40"/>
    <x v="1"/>
    <x v="1"/>
    <x v="4"/>
    <s v="Normal"/>
    <n v="-0.61133329999999997"/>
    <x v="2"/>
    <x v="1"/>
    <n v="-0.9678099"/>
    <n v="2"/>
    <s v="Normal"/>
    <n v="-0.91619854999999994"/>
    <n v="2.6666666999999999"/>
    <n v="3"/>
    <x v="0"/>
    <n v="-0.83178059999999998"/>
    <x v="13"/>
    <x v="1"/>
    <x v="1"/>
    <n v="5000"/>
    <n v="5000"/>
    <x v="2"/>
    <x v="2"/>
    <x v="1"/>
    <x v="1"/>
    <x v="1"/>
  </r>
  <r>
    <n v="4191"/>
    <x v="3"/>
    <s v="21-30 years"/>
    <n v="29"/>
    <x v="1"/>
    <x v="3"/>
    <x v="2"/>
    <s v="Normal"/>
    <n v="-0.20924408999999999"/>
    <x v="1"/>
    <x v="1"/>
    <n v="-0.77314866000000004"/>
    <n v="4"/>
    <s v="Normal"/>
    <n v="-0.72356116999999998"/>
    <n v="5.3333335000000002"/>
    <n v="5"/>
    <x v="0"/>
    <n v="-0.56865129999999997"/>
    <x v="42"/>
    <x v="0"/>
    <x v="0"/>
    <n v="4000"/>
    <n v="4000"/>
    <x v="7"/>
    <x v="7"/>
    <x v="3"/>
    <x v="3"/>
    <x v="0"/>
  </r>
  <r>
    <n v="4192"/>
    <x v="3"/>
    <s v="31-40 years"/>
    <n v="40"/>
    <x v="1"/>
    <x v="1"/>
    <x v="5"/>
    <s v="Moderate"/>
    <n v="0.39388975999999998"/>
    <x v="7"/>
    <x v="1"/>
    <n v="-0.38382620000000001"/>
    <n v="8"/>
    <s v="Normal"/>
    <n v="-0.33828637"/>
    <n v="10"/>
    <n v="10"/>
    <x v="0"/>
    <n v="-0.10940760400000001"/>
    <x v="487"/>
    <x v="0"/>
    <x v="0"/>
    <n v="8333.3330000000005"/>
    <n v="8333"/>
    <x v="20"/>
    <x v="20"/>
    <x v="5"/>
    <x v="5"/>
    <x v="2"/>
  </r>
  <r>
    <n v="4193"/>
    <x v="3"/>
    <s v="21-30 years"/>
    <n v="28"/>
    <x v="1"/>
    <x v="1"/>
    <x v="7"/>
    <s v="Moderate"/>
    <n v="0.19284514999999999"/>
    <x v="0"/>
    <x v="0"/>
    <n v="5.496318E-3"/>
    <n v="10"/>
    <s v="Normal"/>
    <n v="-0.14564899000000001"/>
    <n v="11.333333"/>
    <n v="11"/>
    <x v="1"/>
    <n v="1.7564159999999999E-2"/>
    <x v="296"/>
    <x v="0"/>
    <x v="0"/>
    <n v="5000"/>
    <n v="5000"/>
    <x v="2"/>
    <x v="2"/>
    <x v="1"/>
    <x v="1"/>
    <x v="1"/>
  </r>
  <r>
    <n v="4194"/>
    <x v="3"/>
    <s v="31-40 years"/>
    <n v="39"/>
    <x v="1"/>
    <x v="1"/>
    <x v="0"/>
    <s v="Normal"/>
    <n v="-0.41028870000000001"/>
    <x v="2"/>
    <x v="1"/>
    <n v="-0.9678099"/>
    <n v="4"/>
    <s v="Normal"/>
    <n v="-0.72356116999999998"/>
    <n v="4"/>
    <n v="4"/>
    <x v="0"/>
    <n v="-0.70055323999999997"/>
    <x v="60"/>
    <x v="1"/>
    <x v="1"/>
    <n v="4000"/>
    <n v="4000"/>
    <x v="7"/>
    <x v="7"/>
    <x v="3"/>
    <x v="3"/>
    <x v="0"/>
  </r>
  <r>
    <n v="4195"/>
    <x v="3"/>
    <s v="31-40 years"/>
    <n v="36"/>
    <x v="1"/>
    <x v="3"/>
    <x v="4"/>
    <s v="Normal"/>
    <n v="-0.61133329999999997"/>
    <x v="8"/>
    <x v="1"/>
    <n v="-0.18916494"/>
    <n v="2"/>
    <s v="Normal"/>
    <n v="-0.91619854999999994"/>
    <n v="5.3333335000000002"/>
    <n v="5"/>
    <x v="0"/>
    <n v="-0.57223225"/>
    <x v="264"/>
    <x v="0"/>
    <x v="0"/>
    <n v="8750"/>
    <n v="8750"/>
    <x v="57"/>
    <x v="57"/>
    <x v="5"/>
    <x v="5"/>
    <x v="2"/>
  </r>
  <r>
    <n v="4196"/>
    <x v="3"/>
    <s v="31-40 years"/>
    <n v="40"/>
    <x v="1"/>
    <x v="0"/>
    <x v="4"/>
    <s v="Normal"/>
    <n v="-0.61133329999999997"/>
    <x v="1"/>
    <x v="1"/>
    <n v="-0.77314866000000004"/>
    <n v="2"/>
    <s v="Normal"/>
    <n v="-0.91619854999999994"/>
    <n v="3.3333333000000001"/>
    <n v="3"/>
    <x v="0"/>
    <n v="-0.76689350000000001"/>
    <x v="59"/>
    <x v="1"/>
    <x v="1"/>
    <n v="7500"/>
    <n v="7500"/>
    <x v="13"/>
    <x v="13"/>
    <x v="5"/>
    <x v="5"/>
    <x v="2"/>
  </r>
  <r>
    <n v="4197"/>
    <x v="3"/>
    <s v="21-30 years"/>
    <n v="25"/>
    <x v="1"/>
    <x v="3"/>
    <x v="0"/>
    <s v="Normal"/>
    <n v="-0.41028870000000001"/>
    <x v="5"/>
    <x v="1"/>
    <n v="-0.57848745999999995"/>
    <n v="0"/>
    <s v="Normal"/>
    <n v="-1.1088359000000001"/>
    <n v="4"/>
    <n v="4"/>
    <x v="0"/>
    <n v="-0.69920400000000005"/>
    <x v="22"/>
    <x v="1"/>
    <x v="1"/>
    <n v="10000"/>
    <n v="10000"/>
    <x v="26"/>
    <x v="26"/>
    <x v="5"/>
    <x v="5"/>
    <x v="2"/>
  </r>
  <r>
    <n v="4198"/>
    <x v="3"/>
    <s v="31-40 years"/>
    <n v="38"/>
    <x v="0"/>
    <x v="0"/>
    <x v="2"/>
    <s v="Normal"/>
    <n v="-0.20924408999999999"/>
    <x v="8"/>
    <x v="1"/>
    <n v="-0.18916494"/>
    <n v="6"/>
    <s v="Normal"/>
    <n v="-0.53092379999999995"/>
    <n v="8"/>
    <n v="8"/>
    <x v="0"/>
    <n v="-0.30977761999999998"/>
    <x v="428"/>
    <x v="0"/>
    <x v="0"/>
    <n v="6000"/>
    <n v="6000"/>
    <x v="6"/>
    <x v="6"/>
    <x v="2"/>
    <x v="2"/>
    <x v="2"/>
  </r>
  <r>
    <n v="4199"/>
    <x v="3"/>
    <s v="21-30 years"/>
    <n v="30"/>
    <x v="0"/>
    <x v="3"/>
    <x v="8"/>
    <s v="Normal"/>
    <n v="-1.0134224999999999"/>
    <x v="10"/>
    <x v="1"/>
    <n v="-1.1624711999999999"/>
    <n v="0"/>
    <s v="Normal"/>
    <n v="-1.1088359000000001"/>
    <n v="0"/>
    <n v="0"/>
    <x v="0"/>
    <n v="-1.0949099"/>
    <x v="72"/>
    <x v="1"/>
    <x v="1"/>
    <n v="3600"/>
    <n v="3600"/>
    <x v="31"/>
    <x v="31"/>
    <x v="3"/>
    <x v="3"/>
    <x v="0"/>
  </r>
  <r>
    <n v="4200"/>
    <x v="3"/>
    <s v="31-40 years"/>
    <n v="35"/>
    <x v="0"/>
    <x v="3"/>
    <x v="2"/>
    <s v="Normal"/>
    <n v="-0.20924408999999999"/>
    <x v="3"/>
    <x v="0"/>
    <n v="0.39481880000000003"/>
    <n v="4"/>
    <s v="Normal"/>
    <n v="-0.72356116999999998"/>
    <n v="9.3333329999999997"/>
    <n v="9"/>
    <x v="0"/>
    <n v="-0.17932881000000001"/>
    <x v="488"/>
    <x v="0"/>
    <x v="0"/>
    <n v="2000"/>
    <n v="2000"/>
    <x v="11"/>
    <x v="11"/>
    <x v="4"/>
    <x v="4"/>
    <x v="0"/>
  </r>
  <r>
    <n v="4201"/>
    <x v="3"/>
    <s v="31-40 years"/>
    <n v="34"/>
    <x v="0"/>
    <x v="3"/>
    <x v="4"/>
    <s v="Normal"/>
    <n v="-0.61133329999999997"/>
    <x v="3"/>
    <x v="0"/>
    <n v="0.39481880000000003"/>
    <n v="14"/>
    <s v="Moderate"/>
    <n v="0.23962580999999999"/>
    <n v="11.333333"/>
    <n v="11"/>
    <x v="1"/>
    <n v="7.7037709999999999E-3"/>
    <x v="489"/>
    <x v="0"/>
    <x v="0"/>
    <n v="3750"/>
    <n v="3750"/>
    <x v="15"/>
    <x v="15"/>
    <x v="3"/>
    <x v="3"/>
    <x v="0"/>
  </r>
  <r>
    <n v="4202"/>
    <x v="3"/>
    <s v="21-30 years"/>
    <n v="27"/>
    <x v="1"/>
    <x v="1"/>
    <x v="3"/>
    <s v="Normal"/>
    <n v="-8.1994660000000007E-3"/>
    <x v="4"/>
    <x v="0"/>
    <n v="0.20015757000000001"/>
    <n v="12"/>
    <s v="Moderate"/>
    <n v="4.6988415999999998E-2"/>
    <n v="12"/>
    <n v="12"/>
    <x v="1"/>
    <n v="7.9648839999999999E-2"/>
    <x v="309"/>
    <x v="0"/>
    <x v="0"/>
    <n v="2000"/>
    <n v="2000"/>
    <x v="11"/>
    <x v="11"/>
    <x v="4"/>
    <x v="4"/>
    <x v="0"/>
  </r>
  <r>
    <n v="4203"/>
    <x v="3"/>
    <s v="21-30 years"/>
    <n v="30"/>
    <x v="1"/>
    <x v="1"/>
    <x v="4"/>
    <s v="Normal"/>
    <n v="-0.61133329999999997"/>
    <x v="5"/>
    <x v="1"/>
    <n v="-0.57848745999999995"/>
    <n v="0"/>
    <s v="Normal"/>
    <n v="-1.1088359000000001"/>
    <n v="3.3333333000000001"/>
    <n v="3"/>
    <x v="0"/>
    <n v="-0.76621890000000004"/>
    <x v="45"/>
    <x v="1"/>
    <x v="1"/>
    <n v="3500"/>
    <n v="3500"/>
    <x v="39"/>
    <x v="39"/>
    <x v="3"/>
    <x v="3"/>
    <x v="0"/>
  </r>
  <r>
    <n v="5001"/>
    <x v="4"/>
    <s v="51-60 years"/>
    <n v="55"/>
    <x v="1"/>
    <x v="1"/>
    <x v="0"/>
    <s v="Normal"/>
    <n v="-0.41028870000000001"/>
    <x v="1"/>
    <x v="1"/>
    <n v="-0.77314866000000004"/>
    <n v="8"/>
    <s v="Normal"/>
    <n v="-0.33828637"/>
    <n v="6"/>
    <n v="6"/>
    <x v="0"/>
    <n v="-0.50724124999999998"/>
    <x v="462"/>
    <x v="0"/>
    <x v="0"/>
    <n v="6666.6665000000003"/>
    <n v="6667"/>
    <x v="21"/>
    <x v="21"/>
    <x v="2"/>
    <x v="2"/>
    <x v="2"/>
  </r>
  <r>
    <n v="5002"/>
    <x v="4"/>
    <s v="41-50 years"/>
    <n v="46"/>
    <x v="1"/>
    <x v="0"/>
    <x v="0"/>
    <s v="Normal"/>
    <n v="-0.41028870000000001"/>
    <x v="0"/>
    <x v="0"/>
    <n v="5.496318E-3"/>
    <n v="8"/>
    <s v="Normal"/>
    <n v="-0.33828637"/>
    <n v="8.6666670000000003"/>
    <n v="9"/>
    <x v="0"/>
    <n v="-0.24769290999999999"/>
    <x v="0"/>
    <x v="0"/>
    <x v="0"/>
    <n v="20000"/>
    <n v="20000"/>
    <x v="56"/>
    <x v="56"/>
    <x v="5"/>
    <x v="5"/>
    <x v="2"/>
  </r>
  <r>
    <n v="5003"/>
    <x v="4"/>
    <s v="41-50 years"/>
    <n v="45"/>
    <x v="1"/>
    <x v="0"/>
    <x v="7"/>
    <s v="Moderate"/>
    <n v="0.19284514999999999"/>
    <x v="8"/>
    <x v="1"/>
    <n v="-0.18916494"/>
    <n v="6"/>
    <s v="Normal"/>
    <n v="-0.53092379999999995"/>
    <n v="9.3333329999999997"/>
    <n v="9"/>
    <x v="0"/>
    <n v="-0.17574786000000001"/>
    <x v="477"/>
    <x v="0"/>
    <x v="0"/>
    <n v="13333.333000000001"/>
    <n v="13333"/>
    <x v="76"/>
    <x v="76"/>
    <x v="5"/>
    <x v="5"/>
    <x v="2"/>
  </r>
  <r>
    <n v="5004"/>
    <x v="4"/>
    <s v="41-50 years"/>
    <n v="43"/>
    <x v="1"/>
    <x v="1"/>
    <x v="8"/>
    <s v="Normal"/>
    <n v="-1.0134224999999999"/>
    <x v="1"/>
    <x v="1"/>
    <n v="-0.77314866000000004"/>
    <n v="0"/>
    <s v="Normal"/>
    <n v="-1.1088359000000001"/>
    <n v="1.3333333999999999"/>
    <n v="1"/>
    <x v="0"/>
    <n v="-0.96513570000000004"/>
    <x v="340"/>
    <x v="1"/>
    <x v="1"/>
    <n v="10000"/>
    <n v="10000"/>
    <x v="26"/>
    <x v="26"/>
    <x v="5"/>
    <x v="5"/>
    <x v="2"/>
  </r>
  <r>
    <n v="5005"/>
    <x v="4"/>
    <s v="41-50 years"/>
    <n v="45"/>
    <x v="1"/>
    <x v="0"/>
    <x v="0"/>
    <s v="Normal"/>
    <n v="-0.41028870000000001"/>
    <x v="5"/>
    <x v="1"/>
    <n v="-0.57848745999999995"/>
    <n v="10"/>
    <s v="Normal"/>
    <n v="-0.14564899000000001"/>
    <n v="7.3333335000000002"/>
    <n v="7"/>
    <x v="0"/>
    <n v="-0.37814170000000003"/>
    <x v="374"/>
    <x v="0"/>
    <x v="0"/>
    <n v="6250"/>
    <n v="6250"/>
    <x v="27"/>
    <x v="27"/>
    <x v="2"/>
    <x v="2"/>
    <x v="2"/>
  </r>
  <r>
    <n v="5006"/>
    <x v="4"/>
    <s v="41-50 years"/>
    <n v="41"/>
    <x v="1"/>
    <x v="3"/>
    <x v="8"/>
    <s v="Normal"/>
    <n v="-1.0134224999999999"/>
    <x v="2"/>
    <x v="1"/>
    <n v="-0.9678099"/>
    <n v="2"/>
    <s v="Normal"/>
    <n v="-0.91619854999999994"/>
    <n v="1.3333333999999999"/>
    <n v="1"/>
    <x v="0"/>
    <n v="-0.96581030000000001"/>
    <x v="409"/>
    <x v="1"/>
    <x v="1"/>
    <n v="6250"/>
    <n v="6250"/>
    <x v="27"/>
    <x v="27"/>
    <x v="2"/>
    <x v="2"/>
    <x v="2"/>
  </r>
  <r>
    <n v="5007"/>
    <x v="4"/>
    <s v="31-40 years"/>
    <n v="40"/>
    <x v="0"/>
    <x v="0"/>
    <x v="1"/>
    <s v="Normal"/>
    <n v="-0.81237789999999999"/>
    <x v="2"/>
    <x v="1"/>
    <n v="-0.9678099"/>
    <n v="0"/>
    <s v="Normal"/>
    <n v="-1.1088359000000001"/>
    <n v="1.3333333999999999"/>
    <n v="1"/>
    <x v="0"/>
    <n v="-0.96300790000000003"/>
    <x v="17"/>
    <x v="1"/>
    <x v="1"/>
    <n v="3333.3332999999998"/>
    <n v="3333"/>
    <x v="10"/>
    <x v="10"/>
    <x v="3"/>
    <x v="3"/>
    <x v="0"/>
  </r>
  <r>
    <n v="5008"/>
    <x v="4"/>
    <s v="41-50 years"/>
    <n v="48"/>
    <x v="0"/>
    <x v="3"/>
    <x v="1"/>
    <s v="Normal"/>
    <n v="-0.81237789999999999"/>
    <x v="10"/>
    <x v="1"/>
    <n v="-1.1624711999999999"/>
    <n v="2"/>
    <s v="Normal"/>
    <n v="-0.91619854999999994"/>
    <n v="1.3333333999999999"/>
    <n v="1"/>
    <x v="0"/>
    <n v="-0.96368253000000004"/>
    <x v="416"/>
    <x v="1"/>
    <x v="1"/>
    <n v="3333.3332999999998"/>
    <n v="3333"/>
    <x v="10"/>
    <x v="10"/>
    <x v="3"/>
    <x v="3"/>
    <x v="0"/>
  </r>
  <r>
    <n v="5009"/>
    <x v="4"/>
    <s v="51-60 years"/>
    <n v="52"/>
    <x v="0"/>
    <x v="0"/>
    <x v="8"/>
    <s v="Normal"/>
    <n v="-1.0134224999999999"/>
    <x v="1"/>
    <x v="1"/>
    <n v="-0.77314866000000004"/>
    <n v="0"/>
    <s v="Normal"/>
    <n v="-1.1088359000000001"/>
    <n v="1.3333333999999999"/>
    <n v="1"/>
    <x v="0"/>
    <n v="-0.96513570000000004"/>
    <x v="340"/>
    <x v="1"/>
    <x v="1"/>
    <n v="7333.3334999999997"/>
    <n v="7333"/>
    <x v="54"/>
    <x v="54"/>
    <x v="2"/>
    <x v="2"/>
    <x v="2"/>
  </r>
  <r>
    <n v="5010"/>
    <x v="4"/>
    <s v="31-40 years"/>
    <n v="31"/>
    <x v="0"/>
    <x v="0"/>
    <x v="8"/>
    <s v="Normal"/>
    <n v="-1.0134224999999999"/>
    <x v="10"/>
    <x v="1"/>
    <n v="-1.1624711999999999"/>
    <n v="10"/>
    <s v="Normal"/>
    <n v="-0.14564899000000001"/>
    <n v="3.3333333000000001"/>
    <n v="3"/>
    <x v="0"/>
    <n v="-0.77384759999999997"/>
    <x v="415"/>
    <x v="1"/>
    <x v="1"/>
    <n v="5000"/>
    <n v="5000"/>
    <x v="2"/>
    <x v="2"/>
    <x v="1"/>
    <x v="1"/>
    <x v="1"/>
  </r>
  <r>
    <n v="5011"/>
    <x v="4"/>
    <s v="41-50 years"/>
    <n v="48"/>
    <x v="0"/>
    <x v="0"/>
    <x v="4"/>
    <s v="Normal"/>
    <n v="-0.61133329999999997"/>
    <x v="2"/>
    <x v="1"/>
    <n v="-0.9678099"/>
    <n v="0"/>
    <s v="Normal"/>
    <n v="-1.1088359000000001"/>
    <n v="2"/>
    <n v="2"/>
    <x v="0"/>
    <n v="-0.89599304999999996"/>
    <x v="452"/>
    <x v="1"/>
    <x v="1"/>
    <n v="13333.333000000001"/>
    <n v="13333"/>
    <x v="76"/>
    <x v="76"/>
    <x v="5"/>
    <x v="5"/>
    <x v="2"/>
  </r>
  <r>
    <n v="5012"/>
    <x v="4"/>
    <s v="31-40 years"/>
    <n v="38"/>
    <x v="1"/>
    <x v="1"/>
    <x v="2"/>
    <s v="Normal"/>
    <n v="-0.20924408999999999"/>
    <x v="12"/>
    <x v="2"/>
    <n v="1.1734637999999999"/>
    <n v="30"/>
    <s v="Severe"/>
    <n v="1.7807249999999999"/>
    <n v="20.666665999999999"/>
    <n v="21"/>
    <x v="2"/>
    <n v="0.91498159999999995"/>
    <x v="490"/>
    <x v="2"/>
    <x v="2"/>
    <n v="0"/>
    <n v="0"/>
    <x v="82"/>
    <x v="82"/>
    <x v="0"/>
    <x v="0"/>
    <x v="0"/>
  </r>
  <r>
    <n v="5013"/>
    <x v="4"/>
    <s v="41-50 years"/>
    <n v="48"/>
    <x v="0"/>
    <x v="0"/>
    <x v="8"/>
    <s v="Normal"/>
    <n v="-1.0134224999999999"/>
    <x v="10"/>
    <x v="1"/>
    <n v="-1.1624711999999999"/>
    <n v="2"/>
    <s v="Normal"/>
    <n v="-0.91619854999999994"/>
    <n v="0.66666669999999995"/>
    <n v="1"/>
    <x v="0"/>
    <n v="-1.0306972999999999"/>
    <x v="68"/>
    <x v="1"/>
    <x v="1"/>
    <n v="9000"/>
    <n v="9000"/>
    <x v="61"/>
    <x v="61"/>
    <x v="5"/>
    <x v="5"/>
    <x v="2"/>
  </r>
  <r>
    <n v="5014"/>
    <x v="4"/>
    <s v="41-50 years"/>
    <n v="48"/>
    <x v="0"/>
    <x v="3"/>
    <x v="8"/>
    <s v="Normal"/>
    <n v="-1.0134224999999999"/>
    <x v="2"/>
    <x v="1"/>
    <n v="-0.9678099"/>
    <n v="0"/>
    <s v="Normal"/>
    <n v="-1.1088359000000001"/>
    <n v="0.66666669999999995"/>
    <n v="1"/>
    <x v="0"/>
    <n v="-1.0300227"/>
    <x v="411"/>
    <x v="1"/>
    <x v="1"/>
    <n v="4285.7143999999998"/>
    <n v="4286"/>
    <x v="53"/>
    <x v="53"/>
    <x v="3"/>
    <x v="3"/>
    <x v="0"/>
  </r>
  <r>
    <n v="5015"/>
    <x v="4"/>
    <s v="51-60 years"/>
    <n v="52"/>
    <x v="0"/>
    <x v="0"/>
    <x v="8"/>
    <s v="Normal"/>
    <n v="-1.0134224999999999"/>
    <x v="10"/>
    <x v="1"/>
    <n v="-1.1624711999999999"/>
    <n v="0"/>
    <s v="Normal"/>
    <n v="-1.1088359000000001"/>
    <n v="0"/>
    <n v="0"/>
    <x v="0"/>
    <n v="-1.0949099"/>
    <x v="72"/>
    <x v="1"/>
    <x v="1"/>
    <n v="3750"/>
    <n v="3750"/>
    <x v="15"/>
    <x v="15"/>
    <x v="3"/>
    <x v="3"/>
    <x v="0"/>
  </r>
  <r>
    <n v="5016"/>
    <x v="4"/>
    <s v="31-40 years"/>
    <n v="32"/>
    <x v="0"/>
    <x v="2"/>
    <x v="8"/>
    <s v="Normal"/>
    <n v="-1.0134224999999999"/>
    <x v="10"/>
    <x v="1"/>
    <n v="-1.1624711999999999"/>
    <n v="0"/>
    <s v="Normal"/>
    <n v="-1.1088359000000001"/>
    <n v="0"/>
    <n v="0"/>
    <x v="0"/>
    <n v="-1.0949099"/>
    <x v="72"/>
    <x v="1"/>
    <x v="1"/>
    <n v="1750"/>
    <n v="1750"/>
    <x v="9"/>
    <x v="9"/>
    <x v="0"/>
    <x v="0"/>
    <x v="0"/>
  </r>
  <r>
    <n v="5017"/>
    <x v="4"/>
    <s v="41-50 years"/>
    <n v="49"/>
    <x v="0"/>
    <x v="0"/>
    <x v="2"/>
    <s v="Normal"/>
    <n v="-0.20924408999999999"/>
    <x v="8"/>
    <x v="1"/>
    <n v="-0.18916494"/>
    <n v="14"/>
    <s v="Moderate"/>
    <n v="0.23962580999999999"/>
    <n v="10.666667"/>
    <n v="11"/>
    <x v="1"/>
    <n v="-5.2927736000000003E-2"/>
    <x v="491"/>
    <x v="0"/>
    <x v="0"/>
    <n v="6250"/>
    <n v="6250"/>
    <x v="27"/>
    <x v="27"/>
    <x v="2"/>
    <x v="2"/>
    <x v="2"/>
  </r>
  <r>
    <n v="5018"/>
    <x v="4"/>
    <s v="31-40 years"/>
    <n v="31"/>
    <x v="0"/>
    <x v="3"/>
    <x v="8"/>
    <s v="Normal"/>
    <n v="-1.0134224999999999"/>
    <x v="10"/>
    <x v="1"/>
    <n v="-1.1624711999999999"/>
    <n v="0"/>
    <s v="Normal"/>
    <n v="-1.1088359000000001"/>
    <n v="0"/>
    <n v="0"/>
    <x v="0"/>
    <n v="-1.0949099"/>
    <x v="72"/>
    <x v="1"/>
    <x v="1"/>
    <n v="2000"/>
    <n v="2000"/>
    <x v="11"/>
    <x v="11"/>
    <x v="4"/>
    <x v="4"/>
    <x v="0"/>
  </r>
  <r>
    <n v="5019"/>
    <x v="4"/>
    <s v="31-40 years"/>
    <n v="35"/>
    <x v="0"/>
    <x v="0"/>
    <x v="8"/>
    <s v="Normal"/>
    <n v="-1.0134224999999999"/>
    <x v="10"/>
    <x v="1"/>
    <n v="-1.1624711999999999"/>
    <n v="0"/>
    <s v="Normal"/>
    <n v="-1.1088359000000001"/>
    <n v="0"/>
    <n v="0"/>
    <x v="0"/>
    <n v="-1.0949099"/>
    <x v="72"/>
    <x v="1"/>
    <x v="1"/>
    <n v="5666.6665000000003"/>
    <n v="5667"/>
    <x v="83"/>
    <x v="83"/>
    <x v="1"/>
    <x v="1"/>
    <x v="1"/>
  </r>
  <r>
    <n v="5020"/>
    <x v="4"/>
    <s v="41-50 years"/>
    <n v="41"/>
    <x v="1"/>
    <x v="1"/>
    <x v="8"/>
    <s v="Normal"/>
    <n v="-1.0134224999999999"/>
    <x v="1"/>
    <x v="1"/>
    <n v="-0.77314866000000004"/>
    <n v="10"/>
    <s v="Normal"/>
    <n v="-0.14564899000000001"/>
    <n v="4.6666664999999998"/>
    <n v="5"/>
    <x v="0"/>
    <n v="-0.64407336999999998"/>
    <x v="492"/>
    <x v="1"/>
    <x v="1"/>
    <n v="8333.3330000000005"/>
    <n v="8333"/>
    <x v="20"/>
    <x v="20"/>
    <x v="5"/>
    <x v="5"/>
    <x v="2"/>
  </r>
  <r>
    <n v="5021"/>
    <x v="4"/>
    <s v="51-60 years"/>
    <n v="51"/>
    <x v="0"/>
    <x v="0"/>
    <x v="8"/>
    <s v="Normal"/>
    <n v="-1.0134224999999999"/>
    <x v="10"/>
    <x v="1"/>
    <n v="-1.1624711999999999"/>
    <n v="0"/>
    <s v="Normal"/>
    <n v="-1.1088359000000001"/>
    <n v="0"/>
    <n v="0"/>
    <x v="0"/>
    <n v="-1.0949099"/>
    <x v="72"/>
    <x v="1"/>
    <x v="1"/>
    <n v="11666.666999999999"/>
    <n v="11667"/>
    <x v="25"/>
    <x v="25"/>
    <x v="5"/>
    <x v="5"/>
    <x v="2"/>
  </r>
  <r>
    <n v="5022"/>
    <x v="4"/>
    <s v="51-60 years"/>
    <n v="51"/>
    <x v="0"/>
    <x v="0"/>
    <x v="3"/>
    <s v="Normal"/>
    <n v="-8.1994660000000007E-3"/>
    <x v="17"/>
    <x v="0"/>
    <n v="0.78414130000000004"/>
    <n v="22"/>
    <s v="Severe"/>
    <n v="1.0101753"/>
    <n v="17.333334000000001"/>
    <n v="17"/>
    <x v="1"/>
    <n v="0.59537240000000002"/>
    <x v="493"/>
    <x v="2"/>
    <x v="2"/>
    <n v="20000"/>
    <n v="20000"/>
    <x v="56"/>
    <x v="56"/>
    <x v="5"/>
    <x v="5"/>
    <x v="2"/>
  </r>
  <r>
    <n v="5023"/>
    <x v="4"/>
    <s v="41-50 years"/>
    <n v="49"/>
    <x v="1"/>
    <x v="3"/>
    <x v="8"/>
    <s v="Normal"/>
    <n v="-1.0134224999999999"/>
    <x v="10"/>
    <x v="1"/>
    <n v="-1.1624711999999999"/>
    <n v="2"/>
    <s v="Normal"/>
    <n v="-0.91619854999999994"/>
    <n v="0.66666669999999995"/>
    <n v="1"/>
    <x v="0"/>
    <n v="-1.0306972999999999"/>
    <x v="68"/>
    <x v="1"/>
    <x v="1"/>
    <n v="5000"/>
    <n v="5000"/>
    <x v="2"/>
    <x v="2"/>
    <x v="1"/>
    <x v="1"/>
    <x v="1"/>
  </r>
  <r>
    <n v="5024"/>
    <x v="4"/>
    <s v="51-60 years"/>
    <n v="55"/>
    <x v="1"/>
    <x v="1"/>
    <x v="1"/>
    <s v="Normal"/>
    <n v="-0.81237789999999999"/>
    <x v="10"/>
    <x v="1"/>
    <n v="-1.1624711999999999"/>
    <n v="2"/>
    <s v="Normal"/>
    <n v="-0.91619854999999994"/>
    <n v="1.3333333999999999"/>
    <n v="1"/>
    <x v="0"/>
    <n v="-0.96368253000000004"/>
    <x v="416"/>
    <x v="1"/>
    <x v="1"/>
    <n v="7500"/>
    <n v="7500"/>
    <x v="13"/>
    <x v="13"/>
    <x v="5"/>
    <x v="5"/>
    <x v="2"/>
  </r>
  <r>
    <n v="5025"/>
    <x v="4"/>
    <s v="21-30 years"/>
    <n v="30"/>
    <x v="0"/>
    <x v="3"/>
    <x v="8"/>
    <s v="Normal"/>
    <n v="-1.0134224999999999"/>
    <x v="2"/>
    <x v="1"/>
    <n v="-0.9678099"/>
    <n v="0"/>
    <s v="Normal"/>
    <n v="-1.1088359000000001"/>
    <n v="0.66666669999999995"/>
    <n v="1"/>
    <x v="0"/>
    <n v="-1.0300227"/>
    <x v="411"/>
    <x v="1"/>
    <x v="1"/>
    <n v="4400"/>
    <n v="4400"/>
    <x v="59"/>
    <x v="59"/>
    <x v="3"/>
    <x v="3"/>
    <x v="0"/>
  </r>
  <r>
    <n v="5026"/>
    <x v="4"/>
    <s v="21-30 years"/>
    <n v="28"/>
    <x v="0"/>
    <x v="3"/>
    <x v="8"/>
    <s v="Normal"/>
    <n v="-1.0134224999999999"/>
    <x v="10"/>
    <x v="1"/>
    <n v="-1.1624711999999999"/>
    <n v="0"/>
    <s v="Normal"/>
    <n v="-1.1088359000000001"/>
    <n v="0"/>
    <n v="0"/>
    <x v="0"/>
    <n v="-1.0949099"/>
    <x v="72"/>
    <x v="1"/>
    <x v="1"/>
    <n v="5500"/>
    <n v="5500"/>
    <x v="47"/>
    <x v="47"/>
    <x v="1"/>
    <x v="1"/>
    <x v="1"/>
  </r>
  <r>
    <n v="5027"/>
    <x v="4"/>
    <s v="31-40 years"/>
    <n v="32"/>
    <x v="1"/>
    <x v="3"/>
    <x v="8"/>
    <s v="Normal"/>
    <n v="-1.0134224999999999"/>
    <x v="10"/>
    <x v="1"/>
    <n v="-1.1624711999999999"/>
    <n v="0"/>
    <s v="Normal"/>
    <n v="-1.1088359000000001"/>
    <n v="0"/>
    <n v="0"/>
    <x v="0"/>
    <n v="-1.0949099"/>
    <x v="72"/>
    <x v="1"/>
    <x v="1"/>
    <n v="10000"/>
    <n v="10000"/>
    <x v="26"/>
    <x v="26"/>
    <x v="5"/>
    <x v="5"/>
    <x v="2"/>
  </r>
  <r>
    <n v="5028"/>
    <x v="4"/>
    <s v="21-30 years"/>
    <n v="25"/>
    <x v="1"/>
    <x v="2"/>
    <x v="8"/>
    <s v="Normal"/>
    <n v="-1.0134224999999999"/>
    <x v="10"/>
    <x v="1"/>
    <n v="-1.1624711999999999"/>
    <n v="0"/>
    <s v="Normal"/>
    <n v="-1.1088359000000001"/>
    <n v="0"/>
    <n v="0"/>
    <x v="0"/>
    <n v="-1.0949099"/>
    <x v="72"/>
    <x v="1"/>
    <x v="1"/>
    <n v="4000"/>
    <n v="4000"/>
    <x v="7"/>
    <x v="7"/>
    <x v="3"/>
    <x v="3"/>
    <x v="0"/>
  </r>
  <r>
    <n v="5029"/>
    <x v="4"/>
    <s v="41-50 years"/>
    <n v="49"/>
    <x v="1"/>
    <x v="1"/>
    <x v="1"/>
    <s v="Normal"/>
    <n v="-0.81237789999999999"/>
    <x v="5"/>
    <x v="1"/>
    <n v="-0.57848745999999995"/>
    <n v="20"/>
    <s v="Moderate"/>
    <n v="0.81753799999999999"/>
    <n v="9.3333329999999997"/>
    <n v="9"/>
    <x v="0"/>
    <n v="-0.19110911999999999"/>
    <x v="494"/>
    <x v="0"/>
    <x v="0"/>
    <n v="10000"/>
    <n v="10000"/>
    <x v="26"/>
    <x v="26"/>
    <x v="5"/>
    <x v="5"/>
    <x v="2"/>
  </r>
  <r>
    <n v="5030"/>
    <x v="4"/>
    <s v="41-50 years"/>
    <n v="46"/>
    <x v="1"/>
    <x v="0"/>
    <x v="8"/>
    <s v="Normal"/>
    <n v="-1.0134224999999999"/>
    <x v="10"/>
    <x v="1"/>
    <n v="-1.1624711999999999"/>
    <n v="0"/>
    <s v="Normal"/>
    <n v="-1.1088359000000001"/>
    <n v="0"/>
    <n v="0"/>
    <x v="0"/>
    <n v="-1.0949099"/>
    <x v="72"/>
    <x v="1"/>
    <x v="1"/>
    <n v="10000"/>
    <n v="10000"/>
    <x v="26"/>
    <x v="26"/>
    <x v="5"/>
    <x v="5"/>
    <x v="2"/>
  </r>
  <r>
    <n v="5031"/>
    <x v="4"/>
    <s v="31-40 years"/>
    <n v="33"/>
    <x v="0"/>
    <x v="0"/>
    <x v="8"/>
    <s v="Normal"/>
    <n v="-1.0134224999999999"/>
    <x v="10"/>
    <x v="1"/>
    <n v="-1.1624711999999999"/>
    <n v="0"/>
    <s v="Normal"/>
    <n v="-1.1088359000000001"/>
    <n v="0"/>
    <n v="0"/>
    <x v="0"/>
    <n v="-1.0949099"/>
    <x v="72"/>
    <x v="1"/>
    <x v="1"/>
    <n v="3750"/>
    <n v="3750"/>
    <x v="15"/>
    <x v="15"/>
    <x v="3"/>
    <x v="3"/>
    <x v="0"/>
  </r>
  <r>
    <n v="5032"/>
    <x v="4"/>
    <s v="31-40 years"/>
    <n v="32"/>
    <x v="1"/>
    <x v="3"/>
    <x v="8"/>
    <s v="Normal"/>
    <n v="-1.0134224999999999"/>
    <x v="10"/>
    <x v="1"/>
    <n v="-1.1624711999999999"/>
    <n v="0"/>
    <s v="Normal"/>
    <n v="-1.1088359000000001"/>
    <n v="0"/>
    <n v="0"/>
    <x v="0"/>
    <n v="-1.0949099"/>
    <x v="72"/>
    <x v="1"/>
    <x v="1"/>
    <n v="2500"/>
    <n v="2500"/>
    <x v="12"/>
    <x v="12"/>
    <x v="4"/>
    <x v="4"/>
    <x v="0"/>
  </r>
  <r>
    <n v="5033"/>
    <x v="4"/>
    <s v="31-40 years"/>
    <n v="31"/>
    <x v="1"/>
    <x v="1"/>
    <x v="4"/>
    <s v="Normal"/>
    <n v="-0.61133329999999997"/>
    <x v="8"/>
    <x v="1"/>
    <n v="-0.18916494"/>
    <n v="14"/>
    <s v="Moderate"/>
    <n v="0.23962580999999999"/>
    <n v="9.3333329999999997"/>
    <n v="9"/>
    <x v="0"/>
    <n v="-0.18695748000000001"/>
    <x v="241"/>
    <x v="0"/>
    <x v="0"/>
    <n v="5000"/>
    <n v="5000"/>
    <x v="2"/>
    <x v="2"/>
    <x v="1"/>
    <x v="1"/>
    <x v="1"/>
  </r>
  <r>
    <n v="5034"/>
    <x v="4"/>
    <s v="41-50 years"/>
    <n v="42"/>
    <x v="0"/>
    <x v="0"/>
    <x v="8"/>
    <s v="Normal"/>
    <n v="-1.0134224999999999"/>
    <x v="10"/>
    <x v="1"/>
    <n v="-1.1624711999999999"/>
    <n v="0"/>
    <s v="Normal"/>
    <n v="-1.1088359000000001"/>
    <n v="0"/>
    <n v="0"/>
    <x v="0"/>
    <n v="-1.0949099"/>
    <x v="72"/>
    <x v="1"/>
    <x v="1"/>
    <n v="3000"/>
    <n v="3000"/>
    <x v="22"/>
    <x v="22"/>
    <x v="3"/>
    <x v="3"/>
    <x v="0"/>
  </r>
  <r>
    <n v="5035"/>
    <x v="4"/>
    <s v="21-30 years"/>
    <n v="28"/>
    <x v="1"/>
    <x v="3"/>
    <x v="13"/>
    <s v="Severe"/>
    <n v="1.3991127999999999"/>
    <x v="12"/>
    <x v="2"/>
    <n v="1.1734637999999999"/>
    <n v="32"/>
    <s v="Extremely Severe"/>
    <n v="1.9733623"/>
    <n v="26.666665999999999"/>
    <n v="27"/>
    <x v="2"/>
    <n v="1.5153129999999999"/>
    <x v="112"/>
    <x v="3"/>
    <x v="3"/>
    <n v="5000"/>
    <n v="5000"/>
    <x v="2"/>
    <x v="2"/>
    <x v="1"/>
    <x v="1"/>
    <x v="1"/>
  </r>
  <r>
    <n v="5036"/>
    <x v="4"/>
    <s v="21-30 years"/>
    <n v="28"/>
    <x v="1"/>
    <x v="3"/>
    <x v="12"/>
    <s v="Moderate"/>
    <n v="0.79597896000000001"/>
    <x v="17"/>
    <x v="0"/>
    <n v="0.78414130000000004"/>
    <n v="8"/>
    <s v="Normal"/>
    <n v="-0.33828637"/>
    <n v="15.333333"/>
    <n v="15"/>
    <x v="1"/>
    <n v="0.41394462999999998"/>
    <x v="495"/>
    <x v="2"/>
    <x v="2"/>
    <n v="13333.333000000001"/>
    <n v="13333"/>
    <x v="76"/>
    <x v="76"/>
    <x v="5"/>
    <x v="5"/>
    <x v="2"/>
  </r>
  <r>
    <n v="5037"/>
    <x v="4"/>
    <s v="21-30 years"/>
    <n v="29"/>
    <x v="1"/>
    <x v="0"/>
    <x v="8"/>
    <s v="Normal"/>
    <n v="-1.0134224999999999"/>
    <x v="10"/>
    <x v="1"/>
    <n v="-1.1624711999999999"/>
    <n v="0"/>
    <s v="Normal"/>
    <n v="-1.1088359000000001"/>
    <n v="0"/>
    <n v="0"/>
    <x v="0"/>
    <n v="-1.0949099"/>
    <x v="72"/>
    <x v="1"/>
    <x v="1"/>
    <n v="6250"/>
    <n v="6250"/>
    <x v="27"/>
    <x v="27"/>
    <x v="2"/>
    <x v="2"/>
    <x v="2"/>
  </r>
  <r>
    <n v="5038"/>
    <x v="4"/>
    <s v="21-30 years"/>
    <n v="30"/>
    <x v="1"/>
    <x v="5"/>
    <x v="8"/>
    <s v="Normal"/>
    <n v="-1.0134224999999999"/>
    <x v="3"/>
    <x v="0"/>
    <n v="0.39481880000000003"/>
    <n v="24"/>
    <s v="Severe"/>
    <n v="1.2028128"/>
    <n v="13.333333"/>
    <n v="13"/>
    <x v="1"/>
    <n v="0.19473637999999999"/>
    <x v="496"/>
    <x v="0"/>
    <x v="0"/>
    <n v="30000"/>
    <n v="30000"/>
    <x v="84"/>
    <x v="84"/>
    <x v="5"/>
    <x v="5"/>
    <x v="2"/>
  </r>
  <r>
    <n v="5039"/>
    <x v="4"/>
    <s v="21-30 years"/>
    <n v="29"/>
    <x v="0"/>
    <x v="3"/>
    <x v="2"/>
    <s v="Normal"/>
    <n v="-0.20924408999999999"/>
    <x v="7"/>
    <x v="1"/>
    <n v="-0.38382620000000001"/>
    <n v="10"/>
    <s v="Normal"/>
    <n v="-0.14564899000000001"/>
    <n v="8.6666670000000003"/>
    <n v="9"/>
    <x v="0"/>
    <n v="-0.24623975000000001"/>
    <x v="28"/>
    <x v="0"/>
    <x v="0"/>
    <n v="5333.3334999999997"/>
    <n v="5333"/>
    <x v="85"/>
    <x v="85"/>
    <x v="1"/>
    <x v="1"/>
    <x v="1"/>
  </r>
  <r>
    <n v="5040"/>
    <x v="4"/>
    <s v="21-30 years"/>
    <n v="29"/>
    <x v="1"/>
    <x v="3"/>
    <x v="0"/>
    <s v="Normal"/>
    <n v="-0.41028870000000001"/>
    <x v="1"/>
    <x v="1"/>
    <n v="-0.77314866000000004"/>
    <n v="0"/>
    <s v="Normal"/>
    <n v="-1.1088359000000001"/>
    <n v="3.3333333000000001"/>
    <n v="3"/>
    <x v="0"/>
    <n v="-0.76409110000000002"/>
    <x v="48"/>
    <x v="1"/>
    <x v="1"/>
    <n v="7500"/>
    <n v="7500"/>
    <x v="13"/>
    <x v="13"/>
    <x v="5"/>
    <x v="5"/>
    <x v="2"/>
  </r>
  <r>
    <n v="5041"/>
    <x v="4"/>
    <s v="21-30 years"/>
    <n v="28"/>
    <x v="1"/>
    <x v="3"/>
    <x v="3"/>
    <s v="Normal"/>
    <n v="-8.1994660000000007E-3"/>
    <x v="17"/>
    <x v="0"/>
    <n v="0.78414130000000004"/>
    <n v="10"/>
    <s v="Normal"/>
    <n v="-0.14564899000000001"/>
    <n v="13.333333"/>
    <n v="13"/>
    <x v="1"/>
    <n v="0.21009760999999999"/>
    <x v="497"/>
    <x v="0"/>
    <x v="0"/>
    <n v="11666.666999999999"/>
    <n v="11667"/>
    <x v="25"/>
    <x v="25"/>
    <x v="5"/>
    <x v="5"/>
    <x v="2"/>
  </r>
  <r>
    <n v="5042"/>
    <x v="4"/>
    <s v="21-30 years"/>
    <n v="29"/>
    <x v="1"/>
    <x v="3"/>
    <x v="2"/>
    <s v="Normal"/>
    <n v="-0.20924408999999999"/>
    <x v="5"/>
    <x v="1"/>
    <n v="-0.57848745999999995"/>
    <n v="4"/>
    <s v="Normal"/>
    <n v="-0.72356116999999998"/>
    <n v="6"/>
    <n v="6"/>
    <x v="0"/>
    <n v="-0.5037642"/>
    <x v="65"/>
    <x v="0"/>
    <x v="0"/>
    <n v="7500"/>
    <n v="7500"/>
    <x v="13"/>
    <x v="13"/>
    <x v="5"/>
    <x v="5"/>
    <x v="2"/>
  </r>
  <r>
    <n v="5043"/>
    <x v="4"/>
    <s v="21-30 years"/>
    <n v="28"/>
    <x v="1"/>
    <x v="3"/>
    <x v="8"/>
    <s v="Normal"/>
    <n v="-1.0134224999999999"/>
    <x v="8"/>
    <x v="1"/>
    <n v="-0.18916494"/>
    <n v="12"/>
    <s v="Moderate"/>
    <n v="4.6988415999999998E-2"/>
    <n v="7.3333335000000002"/>
    <n v="7"/>
    <x v="0"/>
    <n v="-0.38519966999999999"/>
    <x v="498"/>
    <x v="0"/>
    <x v="0"/>
    <n v="7500"/>
    <n v="7500"/>
    <x v="13"/>
    <x v="13"/>
    <x v="5"/>
    <x v="5"/>
    <x v="2"/>
  </r>
  <r>
    <n v="5044"/>
    <x v="4"/>
    <s v="21-30 years"/>
    <n v="25"/>
    <x v="1"/>
    <x v="3"/>
    <x v="1"/>
    <s v="Normal"/>
    <n v="-0.81237789999999999"/>
    <x v="7"/>
    <x v="1"/>
    <n v="-0.38382620000000001"/>
    <n v="8"/>
    <s v="Normal"/>
    <n v="-0.33828637"/>
    <n v="6"/>
    <n v="6"/>
    <x v="0"/>
    <n v="-0.51149683999999995"/>
    <x v="375"/>
    <x v="0"/>
    <x v="0"/>
    <n v="6666.6665000000003"/>
    <n v="6667"/>
    <x v="21"/>
    <x v="21"/>
    <x v="2"/>
    <x v="2"/>
    <x v="2"/>
  </r>
  <r>
    <n v="5045"/>
    <x v="4"/>
    <s v="21-30 years"/>
    <n v="29"/>
    <x v="0"/>
    <x v="0"/>
    <x v="8"/>
    <s v="Normal"/>
    <n v="-1.0134224999999999"/>
    <x v="5"/>
    <x v="1"/>
    <n v="-0.57848745999999995"/>
    <n v="4"/>
    <s v="Normal"/>
    <n v="-0.72356116999999998"/>
    <n v="3.3333333000000001"/>
    <n v="3"/>
    <x v="0"/>
    <n v="-0.7718237"/>
    <x v="347"/>
    <x v="1"/>
    <x v="1"/>
    <n v="7500"/>
    <n v="7500"/>
    <x v="13"/>
    <x v="13"/>
    <x v="5"/>
    <x v="5"/>
    <x v="2"/>
  </r>
  <r>
    <n v="5046"/>
    <x v="4"/>
    <s v="21-30 years"/>
    <n v="25"/>
    <x v="1"/>
    <x v="0"/>
    <x v="8"/>
    <s v="Normal"/>
    <n v="-1.0134224999999999"/>
    <x v="7"/>
    <x v="1"/>
    <n v="-0.38382620000000001"/>
    <n v="20"/>
    <s v="Moderate"/>
    <n v="0.81753799999999999"/>
    <n v="9.3333329999999997"/>
    <n v="9"/>
    <x v="0"/>
    <n v="-0.19323688999999999"/>
    <x v="499"/>
    <x v="0"/>
    <x v="0"/>
    <n v="6666.6665000000003"/>
    <n v="6667"/>
    <x v="21"/>
    <x v="21"/>
    <x v="2"/>
    <x v="2"/>
    <x v="2"/>
  </r>
  <r>
    <n v="5047"/>
    <x v="4"/>
    <s v="21-30 years"/>
    <n v="28"/>
    <x v="1"/>
    <x v="3"/>
    <x v="8"/>
    <s v="Normal"/>
    <n v="-1.0134224999999999"/>
    <x v="5"/>
    <x v="1"/>
    <n v="-0.57848745999999995"/>
    <n v="4"/>
    <s v="Normal"/>
    <n v="-0.72356116999999998"/>
    <n v="3.3333333000000001"/>
    <n v="3"/>
    <x v="0"/>
    <n v="-0.7718237"/>
    <x v="347"/>
    <x v="1"/>
    <x v="1"/>
    <n v="15000"/>
    <n v="15000"/>
    <x v="46"/>
    <x v="46"/>
    <x v="5"/>
    <x v="5"/>
    <x v="2"/>
  </r>
  <r>
    <n v="5048"/>
    <x v="4"/>
    <s v="21-30 years"/>
    <n v="28"/>
    <x v="1"/>
    <x v="3"/>
    <x v="8"/>
    <s v="Normal"/>
    <n v="-1.0134224999999999"/>
    <x v="10"/>
    <x v="1"/>
    <n v="-1.1624711999999999"/>
    <n v="6"/>
    <s v="Normal"/>
    <n v="-0.53092379999999995"/>
    <n v="2"/>
    <n v="2"/>
    <x v="0"/>
    <n v="-0.90227246000000005"/>
    <x v="500"/>
    <x v="1"/>
    <x v="1"/>
    <n v="35000"/>
    <n v="35000"/>
    <x v="86"/>
    <x v="86"/>
    <x v="5"/>
    <x v="5"/>
    <x v="2"/>
  </r>
  <r>
    <n v="5049"/>
    <x v="4"/>
    <s v="31-40 years"/>
    <n v="33"/>
    <x v="1"/>
    <x v="3"/>
    <x v="0"/>
    <s v="Normal"/>
    <n v="-0.41028870000000001"/>
    <x v="9"/>
    <x v="2"/>
    <n v="0.97880255999999999"/>
    <n v="12"/>
    <s v="Moderate"/>
    <n v="4.6988415999999998E-2"/>
    <n v="13.333333"/>
    <n v="13"/>
    <x v="1"/>
    <n v="0.20516743000000001"/>
    <x v="501"/>
    <x v="0"/>
    <x v="0"/>
    <n v="16666.666000000001"/>
    <n v="16667"/>
    <x v="87"/>
    <x v="87"/>
    <x v="5"/>
    <x v="5"/>
    <x v="2"/>
  </r>
  <r>
    <n v="5050"/>
    <x v="4"/>
    <s v="31-40 years"/>
    <n v="40"/>
    <x v="1"/>
    <x v="2"/>
    <x v="3"/>
    <s v="Normal"/>
    <n v="-8.1994660000000007E-3"/>
    <x v="0"/>
    <x v="0"/>
    <n v="5.496318E-3"/>
    <n v="12"/>
    <s v="Moderate"/>
    <n v="4.6988415999999998E-2"/>
    <n v="11.333333"/>
    <n v="11"/>
    <x v="1"/>
    <n v="1.4761755999999999E-2"/>
    <x v="502"/>
    <x v="0"/>
    <x v="0"/>
    <n v="0"/>
    <n v="0"/>
    <x v="82"/>
    <x v="82"/>
    <x v="0"/>
    <x v="0"/>
    <x v="0"/>
  </r>
  <r>
    <n v="5051"/>
    <x v="4"/>
    <s v="51-60 years"/>
    <n v="51"/>
    <x v="1"/>
    <x v="1"/>
    <x v="1"/>
    <s v="Normal"/>
    <n v="-0.81237789999999999"/>
    <x v="1"/>
    <x v="1"/>
    <n v="-0.77314866000000004"/>
    <n v="2"/>
    <s v="Normal"/>
    <n v="-0.91619854999999994"/>
    <n v="2.6666666999999999"/>
    <n v="3"/>
    <x v="0"/>
    <n v="-0.83390839999999999"/>
    <x v="1"/>
    <x v="1"/>
    <x v="1"/>
    <n v="11666.666999999999"/>
    <n v="11667"/>
    <x v="25"/>
    <x v="25"/>
    <x v="5"/>
    <x v="5"/>
    <x v="2"/>
  </r>
  <r>
    <n v="5052"/>
    <x v="4"/>
    <s v="21-30 years"/>
    <n v="26"/>
    <x v="1"/>
    <x v="1"/>
    <x v="4"/>
    <s v="Normal"/>
    <n v="-0.61133329999999997"/>
    <x v="12"/>
    <x v="2"/>
    <n v="1.1734637999999999"/>
    <n v="12"/>
    <s v="Moderate"/>
    <n v="4.6988415999999998E-2"/>
    <n v="13.333333"/>
    <n v="13"/>
    <x v="1"/>
    <n v="0.20303964999999999"/>
    <x v="503"/>
    <x v="0"/>
    <x v="0"/>
    <n v="15000"/>
    <n v="15000"/>
    <x v="46"/>
    <x v="46"/>
    <x v="5"/>
    <x v="5"/>
    <x v="2"/>
  </r>
  <r>
    <n v="5053"/>
    <x v="4"/>
    <s v="21-30 years"/>
    <n v="29"/>
    <x v="0"/>
    <x v="3"/>
    <x v="8"/>
    <s v="Normal"/>
    <n v="-1.0134224999999999"/>
    <x v="10"/>
    <x v="1"/>
    <n v="-1.1624711999999999"/>
    <n v="2"/>
    <s v="Normal"/>
    <n v="-0.91619854999999994"/>
    <n v="0.66666669999999995"/>
    <n v="1"/>
    <x v="0"/>
    <n v="-1.0306972999999999"/>
    <x v="68"/>
    <x v="1"/>
    <x v="1"/>
    <n v="4000"/>
    <n v="4000"/>
    <x v="7"/>
    <x v="7"/>
    <x v="3"/>
    <x v="3"/>
    <x v="0"/>
  </r>
  <r>
    <n v="5054"/>
    <x v="4"/>
    <s v="21-30 years"/>
    <n v="28"/>
    <x v="0"/>
    <x v="3"/>
    <x v="1"/>
    <s v="Normal"/>
    <n v="-0.81237789999999999"/>
    <x v="10"/>
    <x v="1"/>
    <n v="-1.1624711999999999"/>
    <n v="2"/>
    <s v="Normal"/>
    <n v="-0.91619854999999994"/>
    <n v="1.3333333999999999"/>
    <n v="1"/>
    <x v="0"/>
    <n v="-0.96368253000000004"/>
    <x v="416"/>
    <x v="1"/>
    <x v="1"/>
    <n v="3750"/>
    <n v="3750"/>
    <x v="15"/>
    <x v="15"/>
    <x v="3"/>
    <x v="3"/>
    <x v="0"/>
  </r>
  <r>
    <n v="5055"/>
    <x v="4"/>
    <s v="21-30 years"/>
    <n v="30"/>
    <x v="0"/>
    <x v="3"/>
    <x v="1"/>
    <s v="Normal"/>
    <n v="-0.81237789999999999"/>
    <x v="2"/>
    <x v="1"/>
    <n v="-0.9678099"/>
    <n v="6"/>
    <s v="Normal"/>
    <n v="-0.53092379999999995"/>
    <n v="3.3333333000000001"/>
    <n v="3"/>
    <x v="0"/>
    <n v="-0.77037054000000005"/>
    <x v="57"/>
    <x v="1"/>
    <x v="1"/>
    <n v="3750"/>
    <n v="3750"/>
    <x v="15"/>
    <x v="15"/>
    <x v="3"/>
    <x v="3"/>
    <x v="0"/>
  </r>
  <r>
    <n v="5056"/>
    <x v="4"/>
    <s v="41-50 years"/>
    <n v="46"/>
    <x v="0"/>
    <x v="0"/>
    <x v="2"/>
    <s v="Normal"/>
    <n v="-0.20924408999999999"/>
    <x v="7"/>
    <x v="1"/>
    <n v="-0.38382620000000001"/>
    <n v="14"/>
    <s v="Moderate"/>
    <n v="0.23962580999999999"/>
    <n v="10"/>
    <n v="10"/>
    <x v="0"/>
    <n v="-0.117814824"/>
    <x v="504"/>
    <x v="0"/>
    <x v="0"/>
    <n v="16666.666000000001"/>
    <n v="16667"/>
    <x v="87"/>
    <x v="87"/>
    <x v="5"/>
    <x v="5"/>
    <x v="2"/>
  </r>
  <r>
    <n v="5057"/>
    <x v="4"/>
    <s v="51-60 years"/>
    <n v="53"/>
    <x v="0"/>
    <x v="3"/>
    <x v="8"/>
    <s v="Normal"/>
    <n v="-1.0134224999999999"/>
    <x v="3"/>
    <x v="0"/>
    <n v="0.39481880000000003"/>
    <n v="2"/>
    <s v="Normal"/>
    <n v="-0.91619854999999994"/>
    <n v="6"/>
    <n v="6"/>
    <x v="0"/>
    <n v="-0.51160072999999995"/>
    <x v="505"/>
    <x v="0"/>
    <x v="0"/>
    <n v="66666.664000000004"/>
    <n v="66667"/>
    <x v="88"/>
    <x v="88"/>
    <x v="5"/>
    <x v="5"/>
    <x v="2"/>
  </r>
  <r>
    <n v="5058"/>
    <x v="4"/>
    <s v="21-30 years"/>
    <n v="28"/>
    <x v="0"/>
    <x v="3"/>
    <x v="8"/>
    <s v="Normal"/>
    <n v="-1.0134224999999999"/>
    <x v="8"/>
    <x v="1"/>
    <n v="-0.18916494"/>
    <n v="6"/>
    <s v="Normal"/>
    <n v="-0.53092379999999995"/>
    <n v="5.3333335000000002"/>
    <n v="5"/>
    <x v="0"/>
    <n v="-0.57783704999999996"/>
    <x v="506"/>
    <x v="0"/>
    <x v="0"/>
    <n v="11666.666999999999"/>
    <n v="11667"/>
    <x v="25"/>
    <x v="25"/>
    <x v="5"/>
    <x v="5"/>
    <x v="2"/>
  </r>
  <r>
    <n v="5059"/>
    <x v="4"/>
    <s v="41-50 years"/>
    <n v="48"/>
    <x v="0"/>
    <x v="3"/>
    <x v="4"/>
    <s v="Normal"/>
    <n v="-0.61133329999999997"/>
    <x v="10"/>
    <x v="1"/>
    <n v="-1.1624711999999999"/>
    <n v="8"/>
    <s v="Normal"/>
    <n v="-0.33828637"/>
    <n v="4"/>
    <n v="4"/>
    <x v="0"/>
    <n v="-0.7040303"/>
    <x v="507"/>
    <x v="1"/>
    <x v="1"/>
    <n v="50000"/>
    <n v="50000"/>
    <x v="89"/>
    <x v="89"/>
    <x v="5"/>
    <x v="5"/>
    <x v="2"/>
  </r>
  <r>
    <n v="5060"/>
    <x v="4"/>
    <s v="31-40 years"/>
    <n v="31"/>
    <x v="1"/>
    <x v="2"/>
    <x v="1"/>
    <s v="Normal"/>
    <n v="-0.81237789999999999"/>
    <x v="2"/>
    <x v="1"/>
    <n v="-0.9678099"/>
    <n v="0"/>
    <s v="Normal"/>
    <n v="-1.1088359000000001"/>
    <n v="1.3333333999999999"/>
    <n v="1"/>
    <x v="0"/>
    <n v="-0.96300790000000003"/>
    <x v="17"/>
    <x v="1"/>
    <x v="1"/>
    <n v="10000"/>
    <n v="10000"/>
    <x v="26"/>
    <x v="26"/>
    <x v="5"/>
    <x v="5"/>
    <x v="2"/>
  </r>
  <r>
    <n v="5061"/>
    <x v="4"/>
    <s v="51-60 years"/>
    <n v="56"/>
    <x v="0"/>
    <x v="3"/>
    <x v="8"/>
    <s v="Normal"/>
    <n v="-1.0134224999999999"/>
    <x v="5"/>
    <x v="1"/>
    <n v="-0.57848745999999995"/>
    <n v="8"/>
    <s v="Normal"/>
    <n v="-0.33828637"/>
    <n v="4.6666664999999998"/>
    <n v="5"/>
    <x v="0"/>
    <n v="-0.64339875999999996"/>
    <x v="508"/>
    <x v="1"/>
    <x v="1"/>
    <n v="10000"/>
    <n v="10000"/>
    <x v="26"/>
    <x v="26"/>
    <x v="5"/>
    <x v="5"/>
    <x v="2"/>
  </r>
  <r>
    <n v="5062"/>
    <x v="4"/>
    <s v="51-60 years"/>
    <n v="56"/>
    <x v="0"/>
    <x v="3"/>
    <x v="8"/>
    <s v="Normal"/>
    <n v="-1.0134224999999999"/>
    <x v="1"/>
    <x v="1"/>
    <n v="-0.77314866000000004"/>
    <n v="0"/>
    <s v="Normal"/>
    <n v="-1.1088359000000001"/>
    <n v="1.3333333999999999"/>
    <n v="1"/>
    <x v="0"/>
    <n v="-0.96513570000000004"/>
    <x v="340"/>
    <x v="1"/>
    <x v="1"/>
    <n v="12000"/>
    <n v="12000"/>
    <x v="90"/>
    <x v="90"/>
    <x v="5"/>
    <x v="5"/>
    <x v="2"/>
  </r>
  <r>
    <n v="5063"/>
    <x v="4"/>
    <s v="51-60 years"/>
    <n v="56"/>
    <x v="0"/>
    <x v="3"/>
    <x v="8"/>
    <s v="Normal"/>
    <n v="-1.0134224999999999"/>
    <x v="2"/>
    <x v="1"/>
    <n v="-0.9678099"/>
    <n v="4"/>
    <s v="Normal"/>
    <n v="-0.72356116999999998"/>
    <n v="2"/>
    <n v="2"/>
    <x v="0"/>
    <n v="-0.90159785999999997"/>
    <x v="408"/>
    <x v="1"/>
    <x v="1"/>
    <n v="14000"/>
    <n v="14000"/>
    <x v="91"/>
    <x v="91"/>
    <x v="5"/>
    <x v="5"/>
    <x v="2"/>
  </r>
  <r>
    <n v="5064"/>
    <x v="4"/>
    <s v="31-40 years"/>
    <n v="34"/>
    <x v="0"/>
    <x v="0"/>
    <x v="1"/>
    <s v="Normal"/>
    <n v="-0.81237789999999999"/>
    <x v="5"/>
    <x v="1"/>
    <n v="-0.57848745999999995"/>
    <n v="2"/>
    <s v="Normal"/>
    <n v="-0.91619854999999994"/>
    <n v="3.3333333000000001"/>
    <n v="3"/>
    <x v="0"/>
    <n v="-0.76902132999999995"/>
    <x v="46"/>
    <x v="1"/>
    <x v="1"/>
    <n v="100000"/>
    <n v="100000"/>
    <x v="92"/>
    <x v="92"/>
    <x v="5"/>
    <x v="5"/>
    <x v="2"/>
  </r>
  <r>
    <n v="5065"/>
    <x v="4"/>
    <s v="31-40 years"/>
    <n v="34"/>
    <x v="0"/>
    <x v="3"/>
    <x v="8"/>
    <s v="Normal"/>
    <n v="-1.0134224999999999"/>
    <x v="10"/>
    <x v="1"/>
    <n v="-1.1624711999999999"/>
    <n v="0"/>
    <s v="Normal"/>
    <n v="-1.1088359000000001"/>
    <n v="0"/>
    <n v="0"/>
    <x v="0"/>
    <n v="-1.0949099"/>
    <x v="72"/>
    <x v="1"/>
    <x v="1"/>
    <n v="7000"/>
    <n v="7000"/>
    <x v="29"/>
    <x v="29"/>
    <x v="2"/>
    <x v="2"/>
    <x v="2"/>
  </r>
  <r>
    <n v="5066"/>
    <x v="4"/>
    <s v="51-60 years"/>
    <n v="52"/>
    <x v="1"/>
    <x v="0"/>
    <x v="8"/>
    <s v="Normal"/>
    <n v="-1.0134224999999999"/>
    <x v="5"/>
    <x v="1"/>
    <n v="-0.57848745999999995"/>
    <n v="4"/>
    <s v="Normal"/>
    <n v="-0.72356116999999998"/>
    <n v="3.3333333000000001"/>
    <n v="3"/>
    <x v="0"/>
    <n v="-0.7718237"/>
    <x v="347"/>
    <x v="1"/>
    <x v="1"/>
    <n v="26666.666000000001"/>
    <n v="26667"/>
    <x v="93"/>
    <x v="93"/>
    <x v="5"/>
    <x v="5"/>
    <x v="2"/>
  </r>
  <r>
    <n v="5067"/>
    <x v="4"/>
    <s v="31-40 years"/>
    <n v="37"/>
    <x v="1"/>
    <x v="3"/>
    <x v="0"/>
    <s v="Normal"/>
    <n v="-0.41028870000000001"/>
    <x v="1"/>
    <x v="1"/>
    <n v="-0.77314866000000004"/>
    <n v="6"/>
    <s v="Normal"/>
    <n v="-0.53092379999999995"/>
    <n v="5.3333335000000002"/>
    <n v="5"/>
    <x v="0"/>
    <n v="-0.57145369999999995"/>
    <x v="179"/>
    <x v="0"/>
    <x v="0"/>
    <n v="0"/>
    <n v="0"/>
    <x v="82"/>
    <x v="82"/>
    <x v="0"/>
    <x v="0"/>
    <x v="0"/>
  </r>
  <r>
    <n v="5068"/>
    <x v="4"/>
    <s v="41-50 years"/>
    <n v="47"/>
    <x v="1"/>
    <x v="3"/>
    <x v="1"/>
    <s v="Normal"/>
    <n v="-0.81237789999999999"/>
    <x v="1"/>
    <x v="1"/>
    <n v="-0.77314866000000004"/>
    <n v="10"/>
    <s v="Normal"/>
    <n v="-0.14564899000000001"/>
    <n v="5.3333335000000002"/>
    <n v="5"/>
    <x v="0"/>
    <n v="-0.57705854999999995"/>
    <x v="509"/>
    <x v="0"/>
    <x v="0"/>
    <n v="0"/>
    <n v="0"/>
    <x v="82"/>
    <x v="82"/>
    <x v="0"/>
    <x v="0"/>
    <x v="0"/>
  </r>
  <r>
    <n v="5069"/>
    <x v="4"/>
    <s v="21-30 years"/>
    <n v="27"/>
    <x v="0"/>
    <x v="0"/>
    <x v="1"/>
    <s v="Normal"/>
    <n v="-0.81237789999999999"/>
    <x v="4"/>
    <x v="0"/>
    <n v="0.20015757000000001"/>
    <n v="8"/>
    <s v="Normal"/>
    <n v="-0.33828637"/>
    <n v="8"/>
    <n v="8"/>
    <x v="0"/>
    <n v="-0.31683558000000001"/>
    <x v="510"/>
    <x v="0"/>
    <x v="0"/>
    <n v="7500"/>
    <n v="7500"/>
    <x v="13"/>
    <x v="13"/>
    <x v="5"/>
    <x v="5"/>
    <x v="2"/>
  </r>
  <r>
    <n v="5070"/>
    <x v="4"/>
    <s v="41-50 years"/>
    <n v="42"/>
    <x v="0"/>
    <x v="0"/>
    <x v="8"/>
    <s v="Normal"/>
    <n v="-1.0134224999999999"/>
    <x v="10"/>
    <x v="1"/>
    <n v="-1.1624711999999999"/>
    <n v="0"/>
    <s v="Normal"/>
    <n v="-1.1088359000000001"/>
    <n v="0"/>
    <n v="0"/>
    <x v="0"/>
    <n v="-1.0949099"/>
    <x v="72"/>
    <x v="1"/>
    <x v="1"/>
    <n v="3000"/>
    <n v="3000"/>
    <x v="22"/>
    <x v="22"/>
    <x v="3"/>
    <x v="3"/>
    <x v="0"/>
  </r>
  <r>
    <n v="5071"/>
    <x v="4"/>
    <s v="51-60 years"/>
    <n v="55"/>
    <x v="0"/>
    <x v="3"/>
    <x v="8"/>
    <s v="Normal"/>
    <n v="-1.0134224999999999"/>
    <x v="10"/>
    <x v="1"/>
    <n v="-1.1624711999999999"/>
    <n v="0"/>
    <s v="Normal"/>
    <n v="-1.1088359000000001"/>
    <n v="0"/>
    <n v="0"/>
    <x v="0"/>
    <n v="-1.0949099"/>
    <x v="72"/>
    <x v="1"/>
    <x v="1"/>
    <n v="9000"/>
    <n v="9000"/>
    <x v="61"/>
    <x v="61"/>
    <x v="5"/>
    <x v="5"/>
    <x v="2"/>
  </r>
  <r>
    <n v="5072"/>
    <x v="4"/>
    <s v="41-50 years"/>
    <n v="48"/>
    <x v="1"/>
    <x v="1"/>
    <x v="6"/>
    <s v="Moderate"/>
    <n v="0.59493434000000001"/>
    <x v="4"/>
    <x v="0"/>
    <n v="0.20015757000000001"/>
    <n v="22"/>
    <s v="Severe"/>
    <n v="1.0101753"/>
    <n v="17.333334000000001"/>
    <n v="17"/>
    <x v="1"/>
    <n v="0.60175573999999998"/>
    <x v="511"/>
    <x v="2"/>
    <x v="2"/>
    <n v="3333.3332999999998"/>
    <n v="3333"/>
    <x v="10"/>
    <x v="10"/>
    <x v="3"/>
    <x v="3"/>
    <x v="0"/>
  </r>
  <r>
    <n v="5073"/>
    <x v="4"/>
    <s v="51-60 years"/>
    <n v="53"/>
    <x v="0"/>
    <x v="3"/>
    <x v="8"/>
    <s v="Normal"/>
    <n v="-1.0134224999999999"/>
    <x v="2"/>
    <x v="1"/>
    <n v="-0.9678099"/>
    <n v="0"/>
    <s v="Normal"/>
    <n v="-1.1088359000000001"/>
    <n v="0.66666669999999995"/>
    <n v="1"/>
    <x v="0"/>
    <n v="-1.0300227"/>
    <x v="411"/>
    <x v="1"/>
    <x v="1"/>
    <n v="6250"/>
    <n v="6250"/>
    <x v="27"/>
    <x v="27"/>
    <x v="2"/>
    <x v="2"/>
    <x v="2"/>
  </r>
  <r>
    <n v="5074"/>
    <x v="4"/>
    <s v="31-40 years"/>
    <n v="32"/>
    <x v="1"/>
    <x v="1"/>
    <x v="8"/>
    <s v="Normal"/>
    <n v="-1.0134224999999999"/>
    <x v="2"/>
    <x v="1"/>
    <n v="-0.9678099"/>
    <n v="2"/>
    <s v="Normal"/>
    <n v="-0.91619854999999994"/>
    <n v="1.3333333999999999"/>
    <n v="1"/>
    <x v="0"/>
    <n v="-0.96581030000000001"/>
    <x v="409"/>
    <x v="1"/>
    <x v="1"/>
    <n v="8750"/>
    <n v="8750"/>
    <x v="57"/>
    <x v="57"/>
    <x v="5"/>
    <x v="5"/>
    <x v="2"/>
  </r>
  <r>
    <n v="5075"/>
    <x v="4"/>
    <s v="31-40 years"/>
    <n v="35"/>
    <x v="1"/>
    <x v="1"/>
    <x v="8"/>
    <s v="Normal"/>
    <n v="-1.0134224999999999"/>
    <x v="10"/>
    <x v="1"/>
    <n v="-1.1624711999999999"/>
    <n v="0"/>
    <s v="Normal"/>
    <n v="-1.1088359000000001"/>
    <n v="0"/>
    <n v="0"/>
    <x v="0"/>
    <n v="-1.0949099"/>
    <x v="72"/>
    <x v="1"/>
    <x v="1"/>
    <n v="5666.6665000000003"/>
    <n v="5667"/>
    <x v="83"/>
    <x v="83"/>
    <x v="1"/>
    <x v="1"/>
    <x v="1"/>
  </r>
  <r>
    <n v="5076"/>
    <x v="4"/>
    <s v="31-40 years"/>
    <n v="40"/>
    <x v="1"/>
    <x v="1"/>
    <x v="1"/>
    <s v="Normal"/>
    <n v="-0.81237789999999999"/>
    <x v="10"/>
    <x v="1"/>
    <n v="-1.1624711999999999"/>
    <n v="2"/>
    <s v="Normal"/>
    <n v="-0.91619854999999994"/>
    <n v="1.3333333999999999"/>
    <n v="1"/>
    <x v="0"/>
    <n v="-0.96368253000000004"/>
    <x v="416"/>
    <x v="1"/>
    <x v="1"/>
    <n v="7500"/>
    <n v="7500"/>
    <x v="13"/>
    <x v="13"/>
    <x v="5"/>
    <x v="5"/>
    <x v="2"/>
  </r>
  <r>
    <n v="5077"/>
    <x v="4"/>
    <s v="31-40 years"/>
    <n v="35"/>
    <x v="1"/>
    <x v="1"/>
    <x v="8"/>
    <s v="Normal"/>
    <n v="-1.0134224999999999"/>
    <x v="10"/>
    <x v="1"/>
    <n v="-1.1624711999999999"/>
    <n v="0"/>
    <s v="Normal"/>
    <n v="-1.1088359000000001"/>
    <n v="0"/>
    <n v="0"/>
    <x v="0"/>
    <n v="-1.0949099"/>
    <x v="72"/>
    <x v="1"/>
    <x v="1"/>
    <n v="6000"/>
    <n v="6000"/>
    <x v="6"/>
    <x v="6"/>
    <x v="2"/>
    <x v="2"/>
    <x v="2"/>
  </r>
  <r>
    <n v="5078"/>
    <x v="4"/>
    <s v="31-40 years"/>
    <n v="38"/>
    <x v="1"/>
    <x v="1"/>
    <x v="1"/>
    <s v="Normal"/>
    <n v="-0.81237789999999999"/>
    <x v="10"/>
    <x v="1"/>
    <n v="-1.1624711999999999"/>
    <n v="2"/>
    <s v="Normal"/>
    <n v="-0.91619854999999994"/>
    <n v="1.3333333999999999"/>
    <n v="1"/>
    <x v="0"/>
    <n v="-0.96368253000000004"/>
    <x v="416"/>
    <x v="1"/>
    <x v="1"/>
    <n v="2200"/>
    <n v="2200"/>
    <x v="94"/>
    <x v="94"/>
    <x v="4"/>
    <x v="4"/>
    <x v="0"/>
  </r>
  <r>
    <n v="5079"/>
    <x v="4"/>
    <s v="21-30 years"/>
    <n v="28"/>
    <x v="1"/>
    <x v="3"/>
    <x v="2"/>
    <s v="Normal"/>
    <n v="-0.20924408999999999"/>
    <x v="3"/>
    <x v="0"/>
    <n v="0.39481880000000003"/>
    <n v="26"/>
    <s v="Severe"/>
    <n v="1.3954502"/>
    <n v="16.666665999999999"/>
    <n v="17"/>
    <x v="1"/>
    <n v="0.52700829999999999"/>
    <x v="512"/>
    <x v="2"/>
    <x v="2"/>
    <n v="6250"/>
    <n v="6250"/>
    <x v="27"/>
    <x v="27"/>
    <x v="2"/>
    <x v="2"/>
    <x v="2"/>
  </r>
  <r>
    <n v="5080"/>
    <x v="4"/>
    <s v="21-30 years"/>
    <n v="28"/>
    <x v="0"/>
    <x v="3"/>
    <x v="8"/>
    <s v="Normal"/>
    <n v="-1.0134224999999999"/>
    <x v="10"/>
    <x v="1"/>
    <n v="-1.1624711999999999"/>
    <n v="0"/>
    <s v="Normal"/>
    <n v="-1.1088359000000001"/>
    <n v="0"/>
    <n v="0"/>
    <x v="0"/>
    <n v="-1.0949099"/>
    <x v="72"/>
    <x v="1"/>
    <x v="1"/>
    <n v="6666.6665000000003"/>
    <n v="6667"/>
    <x v="21"/>
    <x v="21"/>
    <x v="2"/>
    <x v="2"/>
    <x v="2"/>
  </r>
  <r>
    <n v="5081"/>
    <x v="4"/>
    <s v="21-30 years"/>
    <n v="27"/>
    <x v="0"/>
    <x v="3"/>
    <x v="4"/>
    <s v="Normal"/>
    <n v="-0.61133329999999997"/>
    <x v="10"/>
    <x v="1"/>
    <n v="-1.1624711999999999"/>
    <n v="2"/>
    <s v="Normal"/>
    <n v="-0.91619854999999994"/>
    <n v="2"/>
    <n v="2"/>
    <x v="0"/>
    <n v="-0.89666765999999998"/>
    <x v="454"/>
    <x v="1"/>
    <x v="1"/>
    <n v="11666.666999999999"/>
    <n v="11667"/>
    <x v="25"/>
    <x v="25"/>
    <x v="5"/>
    <x v="5"/>
    <x v="2"/>
  </r>
  <r>
    <n v="5082"/>
    <x v="4"/>
    <s v="21-30 years"/>
    <n v="28"/>
    <x v="0"/>
    <x v="3"/>
    <x v="8"/>
    <s v="Normal"/>
    <n v="-1.0134224999999999"/>
    <x v="10"/>
    <x v="1"/>
    <n v="-1.1624711999999999"/>
    <n v="0"/>
    <s v="Normal"/>
    <n v="-1.1088359000000001"/>
    <n v="0"/>
    <n v="0"/>
    <x v="0"/>
    <n v="-1.0949099"/>
    <x v="72"/>
    <x v="1"/>
    <x v="1"/>
    <n v="16666.666000000001"/>
    <n v="16667"/>
    <x v="87"/>
    <x v="87"/>
    <x v="5"/>
    <x v="5"/>
    <x v="2"/>
  </r>
  <r>
    <n v="5083"/>
    <x v="4"/>
    <s v="21-30 years"/>
    <n v="28"/>
    <x v="1"/>
    <x v="3"/>
    <x v="1"/>
    <s v="Normal"/>
    <n v="-0.81237789999999999"/>
    <x v="2"/>
    <x v="1"/>
    <n v="-0.9678099"/>
    <n v="0"/>
    <s v="Normal"/>
    <n v="-1.1088359000000001"/>
    <n v="1.3333333999999999"/>
    <n v="1"/>
    <x v="0"/>
    <n v="-0.96300790000000003"/>
    <x v="17"/>
    <x v="1"/>
    <x v="1"/>
    <n v="4000"/>
    <n v="4000"/>
    <x v="7"/>
    <x v="7"/>
    <x v="3"/>
    <x v="3"/>
    <x v="0"/>
  </r>
  <r>
    <n v="5084"/>
    <x v="4"/>
    <s v="21-30 years"/>
    <n v="29"/>
    <x v="1"/>
    <x v="0"/>
    <x v="3"/>
    <s v="Normal"/>
    <n v="-8.1994660000000007E-3"/>
    <x v="8"/>
    <x v="1"/>
    <n v="-0.18916494"/>
    <n v="4"/>
    <s v="Normal"/>
    <n v="-0.72356116999999998"/>
    <n v="8"/>
    <n v="8"/>
    <x v="0"/>
    <n v="-0.3069752"/>
    <x v="268"/>
    <x v="0"/>
    <x v="0"/>
    <n v="8750"/>
    <n v="8750"/>
    <x v="57"/>
    <x v="57"/>
    <x v="5"/>
    <x v="5"/>
    <x v="2"/>
  </r>
  <r>
    <n v="5085"/>
    <x v="4"/>
    <s v="31-40 years"/>
    <n v="32"/>
    <x v="1"/>
    <x v="0"/>
    <x v="8"/>
    <s v="Normal"/>
    <n v="-1.0134224999999999"/>
    <x v="10"/>
    <x v="1"/>
    <n v="-1.1624711999999999"/>
    <n v="0"/>
    <s v="Normal"/>
    <n v="-1.1088359000000001"/>
    <n v="0"/>
    <n v="0"/>
    <x v="0"/>
    <n v="-1.0949099"/>
    <x v="72"/>
    <x v="1"/>
    <x v="1"/>
    <n v="6250"/>
    <n v="6250"/>
    <x v="27"/>
    <x v="27"/>
    <x v="2"/>
    <x v="2"/>
    <x v="2"/>
  </r>
  <r>
    <n v="5086"/>
    <x v="4"/>
    <s v="31-40 years"/>
    <n v="32"/>
    <x v="0"/>
    <x v="3"/>
    <x v="8"/>
    <s v="Normal"/>
    <n v="-1.0134224999999999"/>
    <x v="2"/>
    <x v="1"/>
    <n v="-0.9678099"/>
    <n v="0"/>
    <s v="Normal"/>
    <n v="-1.1088359000000001"/>
    <n v="0.66666669999999995"/>
    <n v="1"/>
    <x v="0"/>
    <n v="-1.0300227"/>
    <x v="411"/>
    <x v="1"/>
    <x v="1"/>
    <n v="17500"/>
    <n v="17500"/>
    <x v="95"/>
    <x v="95"/>
    <x v="5"/>
    <x v="5"/>
    <x v="2"/>
  </r>
  <r>
    <n v="5087"/>
    <x v="4"/>
    <s v="31-40 years"/>
    <n v="34"/>
    <x v="1"/>
    <x v="1"/>
    <x v="0"/>
    <s v="Normal"/>
    <n v="-0.41028870000000001"/>
    <x v="1"/>
    <x v="1"/>
    <n v="-0.77314866000000004"/>
    <n v="4"/>
    <s v="Normal"/>
    <n v="-0.72356116999999998"/>
    <n v="4.6666664999999998"/>
    <n v="5"/>
    <x v="0"/>
    <n v="-0.63566619999999996"/>
    <x v="34"/>
    <x v="1"/>
    <x v="1"/>
    <n v="3750"/>
    <n v="3750"/>
    <x v="15"/>
    <x v="15"/>
    <x v="3"/>
    <x v="3"/>
    <x v="0"/>
  </r>
  <r>
    <n v="5088"/>
    <x v="4"/>
    <s v="31-40 years"/>
    <n v="31"/>
    <x v="1"/>
    <x v="1"/>
    <x v="8"/>
    <s v="Normal"/>
    <n v="-1.0134224999999999"/>
    <x v="4"/>
    <x v="0"/>
    <n v="0.20015757000000001"/>
    <n v="10"/>
    <s v="Normal"/>
    <n v="-0.14564899000000001"/>
    <n v="8"/>
    <n v="8"/>
    <x v="0"/>
    <n v="-0.31963795"/>
    <x v="355"/>
    <x v="0"/>
    <x v="0"/>
    <n v="0"/>
    <n v="0"/>
    <x v="82"/>
    <x v="82"/>
    <x v="0"/>
    <x v="0"/>
    <x v="0"/>
  </r>
  <r>
    <n v="5089"/>
    <x v="4"/>
    <s v="21-30 years"/>
    <n v="28"/>
    <x v="0"/>
    <x v="3"/>
    <x v="8"/>
    <s v="Normal"/>
    <n v="-1.0134224999999999"/>
    <x v="10"/>
    <x v="1"/>
    <n v="-1.1624711999999999"/>
    <n v="2"/>
    <s v="Normal"/>
    <n v="-0.91619854999999994"/>
    <n v="0.66666669999999995"/>
    <n v="1"/>
    <x v="0"/>
    <n v="-1.0306972999999999"/>
    <x v="68"/>
    <x v="1"/>
    <x v="1"/>
    <n v="6666.6665000000003"/>
    <n v="6667"/>
    <x v="21"/>
    <x v="21"/>
    <x v="2"/>
    <x v="2"/>
    <x v="2"/>
  </r>
  <r>
    <n v="5090"/>
    <x v="4"/>
    <s v="31-40 years"/>
    <n v="31"/>
    <x v="0"/>
    <x v="3"/>
    <x v="8"/>
    <s v="Normal"/>
    <n v="-1.0134224999999999"/>
    <x v="10"/>
    <x v="1"/>
    <n v="-1.1624711999999999"/>
    <n v="2"/>
    <s v="Normal"/>
    <n v="-0.91619854999999994"/>
    <n v="0.66666669999999995"/>
    <n v="1"/>
    <x v="0"/>
    <n v="-1.0306972999999999"/>
    <x v="68"/>
    <x v="1"/>
    <x v="1"/>
    <n v="12000"/>
    <n v="12000"/>
    <x v="90"/>
    <x v="90"/>
    <x v="5"/>
    <x v="5"/>
    <x v="2"/>
  </r>
  <r>
    <n v="5091"/>
    <x v="4"/>
    <s v="21-30 years"/>
    <n v="25"/>
    <x v="1"/>
    <x v="3"/>
    <x v="2"/>
    <s v="Normal"/>
    <n v="-0.20924408999999999"/>
    <x v="12"/>
    <x v="2"/>
    <n v="1.1734637999999999"/>
    <n v="4"/>
    <s v="Normal"/>
    <n v="-0.72356116999999998"/>
    <n v="12"/>
    <n v="12"/>
    <x v="1"/>
    <n v="8.0219520000000002E-2"/>
    <x v="513"/>
    <x v="0"/>
    <x v="0"/>
    <n v="3333.3332999999998"/>
    <n v="3333"/>
    <x v="10"/>
    <x v="10"/>
    <x v="3"/>
    <x v="3"/>
    <x v="0"/>
  </r>
  <r>
    <n v="5092"/>
    <x v="4"/>
    <s v="51-60 years"/>
    <n v="51"/>
    <x v="0"/>
    <x v="0"/>
    <x v="4"/>
    <s v="Normal"/>
    <n v="-0.61133329999999997"/>
    <x v="1"/>
    <x v="1"/>
    <n v="-0.77314866000000004"/>
    <n v="12"/>
    <s v="Moderate"/>
    <n v="4.6988415999999998E-2"/>
    <n v="6.6666664999999998"/>
    <n v="7"/>
    <x v="0"/>
    <n v="-0.44583117999999999"/>
    <x v="514"/>
    <x v="0"/>
    <x v="0"/>
    <n v="3000"/>
    <n v="3000"/>
    <x v="22"/>
    <x v="22"/>
    <x v="3"/>
    <x v="3"/>
    <x v="0"/>
  </r>
  <r>
    <n v="5093"/>
    <x v="4"/>
    <s v="31-40 years"/>
    <n v="34"/>
    <x v="0"/>
    <x v="0"/>
    <x v="8"/>
    <s v="Normal"/>
    <n v="-1.0134224999999999"/>
    <x v="2"/>
    <x v="1"/>
    <n v="-0.9678099"/>
    <n v="2"/>
    <s v="Normal"/>
    <n v="-0.91619854999999994"/>
    <n v="1.3333333999999999"/>
    <n v="1"/>
    <x v="0"/>
    <n v="-0.96581030000000001"/>
    <x v="409"/>
    <x v="1"/>
    <x v="1"/>
    <n v="3000"/>
    <n v="3000"/>
    <x v="22"/>
    <x v="22"/>
    <x v="3"/>
    <x v="3"/>
    <x v="0"/>
  </r>
  <r>
    <n v="5094"/>
    <x v="4"/>
    <s v="41-50 years"/>
    <n v="42"/>
    <x v="1"/>
    <x v="1"/>
    <x v="8"/>
    <s v="Normal"/>
    <n v="-1.0134224999999999"/>
    <x v="10"/>
    <x v="1"/>
    <n v="-1.1624711999999999"/>
    <n v="0"/>
    <s v="Normal"/>
    <n v="-1.1088359000000001"/>
    <n v="0"/>
    <n v="0"/>
    <x v="0"/>
    <n v="-1.0949099"/>
    <x v="72"/>
    <x v="1"/>
    <x v="1"/>
    <n v="6666.6665000000003"/>
    <n v="6667"/>
    <x v="21"/>
    <x v="21"/>
    <x v="2"/>
    <x v="2"/>
    <x v="2"/>
  </r>
  <r>
    <n v="5095"/>
    <x v="4"/>
    <s v="21-30 years"/>
    <n v="27"/>
    <x v="1"/>
    <x v="3"/>
    <x v="8"/>
    <s v="Normal"/>
    <n v="-1.0134224999999999"/>
    <x v="10"/>
    <x v="1"/>
    <n v="-1.1624711999999999"/>
    <n v="0"/>
    <s v="Normal"/>
    <n v="-1.1088359000000001"/>
    <n v="0"/>
    <n v="0"/>
    <x v="0"/>
    <n v="-1.0949099"/>
    <x v="72"/>
    <x v="1"/>
    <x v="1"/>
    <n v="7500"/>
    <n v="7500"/>
    <x v="13"/>
    <x v="13"/>
    <x v="5"/>
    <x v="5"/>
    <x v="2"/>
  </r>
  <r>
    <n v="5096"/>
    <x v="4"/>
    <s v="31-40 years"/>
    <n v="36"/>
    <x v="1"/>
    <x v="1"/>
    <x v="8"/>
    <s v="Normal"/>
    <n v="-1.0134224999999999"/>
    <x v="10"/>
    <x v="1"/>
    <n v="-1.1624711999999999"/>
    <n v="0"/>
    <s v="Normal"/>
    <n v="-1.1088359000000001"/>
    <n v="0"/>
    <n v="0"/>
    <x v="0"/>
    <n v="-1.0949099"/>
    <x v="72"/>
    <x v="1"/>
    <x v="1"/>
    <n v="8333.3330000000005"/>
    <n v="8333"/>
    <x v="20"/>
    <x v="20"/>
    <x v="5"/>
    <x v="5"/>
    <x v="2"/>
  </r>
  <r>
    <n v="5097"/>
    <x v="4"/>
    <s v="31-40 years"/>
    <n v="34"/>
    <x v="0"/>
    <x v="0"/>
    <x v="4"/>
    <s v="Normal"/>
    <n v="-0.61133329999999997"/>
    <x v="10"/>
    <x v="1"/>
    <n v="-1.1624711999999999"/>
    <n v="8"/>
    <s v="Normal"/>
    <n v="-0.33828637"/>
    <n v="4"/>
    <n v="4"/>
    <x v="0"/>
    <n v="-0.7040303"/>
    <x v="507"/>
    <x v="1"/>
    <x v="1"/>
    <n v="3000"/>
    <n v="3000"/>
    <x v="22"/>
    <x v="22"/>
    <x v="3"/>
    <x v="3"/>
    <x v="0"/>
  </r>
  <r>
    <n v="5098"/>
    <x v="4"/>
    <s v="31-40 years"/>
    <n v="40"/>
    <x v="1"/>
    <x v="1"/>
    <x v="8"/>
    <s v="Normal"/>
    <n v="-1.0134224999999999"/>
    <x v="10"/>
    <x v="1"/>
    <n v="-1.1624711999999999"/>
    <n v="0"/>
    <s v="Normal"/>
    <n v="-1.1088359000000001"/>
    <n v="0"/>
    <n v="0"/>
    <x v="0"/>
    <n v="-1.0949099"/>
    <x v="72"/>
    <x v="1"/>
    <x v="1"/>
    <n v="7500"/>
    <n v="7500"/>
    <x v="13"/>
    <x v="13"/>
    <x v="5"/>
    <x v="5"/>
    <x v="2"/>
  </r>
  <r>
    <n v="5099"/>
    <x v="4"/>
    <s v="41-50 years"/>
    <n v="47"/>
    <x v="0"/>
    <x v="0"/>
    <x v="1"/>
    <s v="Normal"/>
    <n v="-0.81237789999999999"/>
    <x v="10"/>
    <x v="1"/>
    <n v="-1.1624711999999999"/>
    <n v="0"/>
    <s v="Normal"/>
    <n v="-1.1088359000000001"/>
    <n v="0.66666669999999995"/>
    <n v="1"/>
    <x v="0"/>
    <n v="-1.027895"/>
    <x v="425"/>
    <x v="1"/>
    <x v="1"/>
    <n v="6666.6665000000003"/>
    <n v="6667"/>
    <x v="21"/>
    <x v="21"/>
    <x v="2"/>
    <x v="2"/>
    <x v="2"/>
  </r>
  <r>
    <n v="5100"/>
    <x v="4"/>
    <s v="31-40 years"/>
    <n v="34"/>
    <x v="1"/>
    <x v="0"/>
    <x v="8"/>
    <s v="Normal"/>
    <n v="-1.0134224999999999"/>
    <x v="4"/>
    <x v="0"/>
    <n v="0.20015757000000001"/>
    <n v="10"/>
    <s v="Normal"/>
    <n v="-0.14564899000000001"/>
    <n v="8"/>
    <n v="8"/>
    <x v="0"/>
    <n v="-0.31963795"/>
    <x v="355"/>
    <x v="0"/>
    <x v="0"/>
    <n v="8333.3330000000005"/>
    <n v="8333"/>
    <x v="20"/>
    <x v="20"/>
    <x v="5"/>
    <x v="5"/>
    <x v="2"/>
  </r>
  <r>
    <n v="5101"/>
    <x v="4"/>
    <s v="41-50 years"/>
    <n v="42"/>
    <x v="1"/>
    <x v="1"/>
    <x v="0"/>
    <s v="Normal"/>
    <n v="-0.41028870000000001"/>
    <x v="7"/>
    <x v="1"/>
    <n v="-0.38382620000000001"/>
    <n v="8"/>
    <s v="Normal"/>
    <n v="-0.33828637"/>
    <n v="7.3333335000000002"/>
    <n v="7"/>
    <x v="0"/>
    <n v="-0.3774671"/>
    <x v="32"/>
    <x v="0"/>
    <x v="0"/>
    <n v="6666.6665000000003"/>
    <n v="6667"/>
    <x v="21"/>
    <x v="21"/>
    <x v="2"/>
    <x v="2"/>
    <x v="2"/>
  </r>
  <r>
    <n v="5102"/>
    <x v="4"/>
    <s v="51-60 years"/>
    <n v="53"/>
    <x v="1"/>
    <x v="3"/>
    <x v="8"/>
    <s v="Normal"/>
    <n v="-1.0134224999999999"/>
    <x v="2"/>
    <x v="1"/>
    <n v="-0.9678099"/>
    <n v="6"/>
    <s v="Normal"/>
    <n v="-0.53092379999999995"/>
    <n v="2.6666666999999999"/>
    <n v="3"/>
    <x v="0"/>
    <n v="-0.83738539999999995"/>
    <x v="515"/>
    <x v="1"/>
    <x v="1"/>
    <n v="12857.143"/>
    <n v="12857"/>
    <x v="96"/>
    <x v="96"/>
    <x v="5"/>
    <x v="5"/>
    <x v="2"/>
  </r>
  <r>
    <n v="5103"/>
    <x v="4"/>
    <s v="41-50 years"/>
    <n v="49"/>
    <x v="0"/>
    <x v="3"/>
    <x v="4"/>
    <s v="Normal"/>
    <n v="-0.61133329999999997"/>
    <x v="7"/>
    <x v="1"/>
    <n v="-0.38382620000000001"/>
    <n v="6"/>
    <s v="Normal"/>
    <n v="-0.53092379999999995"/>
    <n v="6"/>
    <n v="6"/>
    <x v="0"/>
    <n v="-0.50869439999999999"/>
    <x v="175"/>
    <x v="0"/>
    <x v="0"/>
    <n v="3000"/>
    <n v="3000"/>
    <x v="22"/>
    <x v="22"/>
    <x v="3"/>
    <x v="3"/>
    <x v="0"/>
  </r>
  <r>
    <n v="5104"/>
    <x v="4"/>
    <s v="21-30 years"/>
    <n v="29"/>
    <x v="0"/>
    <x v="3"/>
    <x v="8"/>
    <s v="Normal"/>
    <n v="-1.0134224999999999"/>
    <x v="2"/>
    <x v="1"/>
    <n v="-0.9678099"/>
    <n v="4"/>
    <s v="Normal"/>
    <n v="-0.72356116999999998"/>
    <n v="2"/>
    <n v="2"/>
    <x v="0"/>
    <n v="-0.90159785999999997"/>
    <x v="408"/>
    <x v="1"/>
    <x v="1"/>
    <n v="5500"/>
    <n v="5500"/>
    <x v="47"/>
    <x v="47"/>
    <x v="1"/>
    <x v="1"/>
    <x v="1"/>
  </r>
  <r>
    <n v="5105"/>
    <x v="4"/>
    <s v="21-30 years"/>
    <n v="25"/>
    <x v="1"/>
    <x v="1"/>
    <x v="1"/>
    <s v="Normal"/>
    <n v="-0.81237789999999999"/>
    <x v="4"/>
    <x v="0"/>
    <n v="0.20015757000000001"/>
    <n v="12"/>
    <s v="Moderate"/>
    <n v="4.6988415999999998E-2"/>
    <n v="9.3333329999999997"/>
    <n v="9"/>
    <x v="0"/>
    <n v="-0.18841065000000001"/>
    <x v="516"/>
    <x v="0"/>
    <x v="0"/>
    <n v="0"/>
    <n v="0"/>
    <x v="82"/>
    <x v="82"/>
    <x v="0"/>
    <x v="0"/>
    <x v="0"/>
  </r>
  <r>
    <n v="5106"/>
    <x v="4"/>
    <s v="41-50 years"/>
    <n v="49"/>
    <x v="1"/>
    <x v="1"/>
    <x v="1"/>
    <s v="Normal"/>
    <n v="-0.81237789999999999"/>
    <x v="10"/>
    <x v="1"/>
    <n v="-1.1624711999999999"/>
    <n v="0"/>
    <s v="Normal"/>
    <n v="-1.1088359000000001"/>
    <n v="0.66666669999999995"/>
    <n v="1"/>
    <x v="0"/>
    <n v="-1.027895"/>
    <x v="425"/>
    <x v="1"/>
    <x v="1"/>
    <n v="7500"/>
    <n v="7500"/>
    <x v="13"/>
    <x v="13"/>
    <x v="5"/>
    <x v="5"/>
    <x v="2"/>
  </r>
  <r>
    <n v="5107"/>
    <x v="4"/>
    <s v="41-50 years"/>
    <n v="45"/>
    <x v="0"/>
    <x v="0"/>
    <x v="4"/>
    <s v="Normal"/>
    <n v="-0.61133329999999997"/>
    <x v="12"/>
    <x v="2"/>
    <n v="1.1734637999999999"/>
    <n v="14"/>
    <s v="Moderate"/>
    <n v="0.23962580999999999"/>
    <n v="14"/>
    <n v="14"/>
    <x v="1"/>
    <n v="0.26725211999999998"/>
    <x v="517"/>
    <x v="0"/>
    <x v="0"/>
    <n v="0"/>
    <n v="0"/>
    <x v="82"/>
    <x v="82"/>
    <x v="0"/>
    <x v="0"/>
    <x v="0"/>
  </r>
  <r>
    <n v="5108"/>
    <x v="4"/>
    <s v="51-60 years"/>
    <n v="52"/>
    <x v="1"/>
    <x v="1"/>
    <x v="8"/>
    <s v="Normal"/>
    <n v="-1.0134224999999999"/>
    <x v="10"/>
    <x v="1"/>
    <n v="-1.1624711999999999"/>
    <n v="2"/>
    <s v="Normal"/>
    <n v="-0.91619854999999994"/>
    <n v="0.66666669999999995"/>
    <n v="1"/>
    <x v="0"/>
    <n v="-1.0306972999999999"/>
    <x v="68"/>
    <x v="1"/>
    <x v="1"/>
    <n v="0"/>
    <n v="0"/>
    <x v="82"/>
    <x v="82"/>
    <x v="0"/>
    <x v="0"/>
    <x v="0"/>
  </r>
  <r>
    <n v="5109"/>
    <x v="4"/>
    <s v="41-50 years"/>
    <n v="45"/>
    <x v="1"/>
    <x v="3"/>
    <x v="8"/>
    <s v="Normal"/>
    <n v="-1.0134224999999999"/>
    <x v="10"/>
    <x v="1"/>
    <n v="-1.1624711999999999"/>
    <n v="0"/>
    <s v="Normal"/>
    <n v="-1.1088359000000001"/>
    <n v="0"/>
    <n v="0"/>
    <x v="0"/>
    <n v="-1.0949099"/>
    <x v="72"/>
    <x v="1"/>
    <x v="1"/>
    <n v="11666.666999999999"/>
    <n v="11667"/>
    <x v="25"/>
    <x v="25"/>
    <x v="5"/>
    <x v="5"/>
    <x v="2"/>
  </r>
  <r>
    <n v="5110"/>
    <x v="4"/>
    <s v="41-50 years"/>
    <n v="47"/>
    <x v="1"/>
    <x v="1"/>
    <x v="1"/>
    <s v="Normal"/>
    <n v="-0.81237789999999999"/>
    <x v="0"/>
    <x v="0"/>
    <n v="5.496318E-3"/>
    <n v="6"/>
    <s v="Normal"/>
    <n v="-0.53092379999999995"/>
    <n v="6.6666664999999998"/>
    <n v="7"/>
    <x v="0"/>
    <n v="-0.44593513000000001"/>
    <x v="518"/>
    <x v="0"/>
    <x v="0"/>
    <n v="13333.333000000001"/>
    <n v="13333"/>
    <x v="76"/>
    <x v="76"/>
    <x v="5"/>
    <x v="5"/>
    <x v="2"/>
  </r>
  <r>
    <n v="5111"/>
    <x v="4"/>
    <s v="41-50 years"/>
    <n v="49"/>
    <x v="1"/>
    <x v="3"/>
    <x v="4"/>
    <s v="Normal"/>
    <n v="-0.61133329999999997"/>
    <x v="1"/>
    <x v="1"/>
    <n v="-0.77314866000000004"/>
    <n v="2"/>
    <s v="Normal"/>
    <n v="-0.91619854999999994"/>
    <n v="3.3333333000000001"/>
    <n v="3"/>
    <x v="0"/>
    <n v="-0.76689350000000001"/>
    <x v="59"/>
    <x v="1"/>
    <x v="1"/>
    <n v="9000"/>
    <n v="9000"/>
    <x v="61"/>
    <x v="61"/>
    <x v="5"/>
    <x v="5"/>
    <x v="2"/>
  </r>
  <r>
    <n v="5112"/>
    <x v="4"/>
    <s v="51-60 years"/>
    <n v="51"/>
    <x v="1"/>
    <x v="1"/>
    <x v="8"/>
    <s v="Normal"/>
    <n v="-1.0134224999999999"/>
    <x v="10"/>
    <x v="1"/>
    <n v="-1.1624711999999999"/>
    <n v="4"/>
    <s v="Normal"/>
    <n v="-0.72356116999999998"/>
    <n v="1.3333333999999999"/>
    <n v="1"/>
    <x v="0"/>
    <n v="-0.96648495999999995"/>
    <x v="397"/>
    <x v="1"/>
    <x v="1"/>
    <n v="5714.2856000000002"/>
    <n v="5714"/>
    <x v="97"/>
    <x v="97"/>
    <x v="1"/>
    <x v="1"/>
    <x v="1"/>
  </r>
  <r>
    <n v="5113"/>
    <x v="4"/>
    <s v="31-40 years"/>
    <n v="35"/>
    <x v="1"/>
    <x v="1"/>
    <x v="1"/>
    <s v="Normal"/>
    <n v="-0.81237789999999999"/>
    <x v="0"/>
    <x v="0"/>
    <n v="5.496318E-3"/>
    <n v="10"/>
    <s v="Normal"/>
    <n v="-0.14564899000000001"/>
    <n v="8"/>
    <n v="8"/>
    <x v="0"/>
    <n v="-0.31751020000000002"/>
    <x v="519"/>
    <x v="0"/>
    <x v="0"/>
    <n v="5714.2856000000002"/>
    <n v="5714"/>
    <x v="97"/>
    <x v="97"/>
    <x v="1"/>
    <x v="1"/>
    <x v="1"/>
  </r>
  <r>
    <n v="5114"/>
    <x v="4"/>
    <s v="41-50 years"/>
    <n v="42"/>
    <x v="1"/>
    <x v="1"/>
    <x v="8"/>
    <s v="Normal"/>
    <n v="-1.0134224999999999"/>
    <x v="10"/>
    <x v="1"/>
    <n v="-1.1624711999999999"/>
    <n v="0"/>
    <s v="Normal"/>
    <n v="-1.1088359000000001"/>
    <n v="0"/>
    <n v="0"/>
    <x v="0"/>
    <n v="-1.0949099"/>
    <x v="72"/>
    <x v="1"/>
    <x v="1"/>
    <n v="25000"/>
    <n v="25000"/>
    <x v="80"/>
    <x v="80"/>
    <x v="5"/>
    <x v="5"/>
    <x v="2"/>
  </r>
  <r>
    <n v="5115"/>
    <x v="4"/>
    <s v="41-50 years"/>
    <n v="42"/>
    <x v="1"/>
    <x v="1"/>
    <x v="8"/>
    <s v="Normal"/>
    <n v="-1.0134224999999999"/>
    <x v="10"/>
    <x v="1"/>
    <n v="-1.1624711999999999"/>
    <n v="0"/>
    <s v="Normal"/>
    <n v="-1.1088359000000001"/>
    <n v="0"/>
    <n v="0"/>
    <x v="0"/>
    <n v="-1.0949099"/>
    <x v="72"/>
    <x v="1"/>
    <x v="1"/>
    <n v="0"/>
    <n v="0"/>
    <x v="82"/>
    <x v="82"/>
    <x v="0"/>
    <x v="0"/>
    <x v="0"/>
  </r>
  <r>
    <n v="5116"/>
    <x v="4"/>
    <s v="21-30 years"/>
    <n v="25"/>
    <x v="0"/>
    <x v="5"/>
    <x v="4"/>
    <s v="Normal"/>
    <n v="-0.61133329999999997"/>
    <x v="17"/>
    <x v="0"/>
    <n v="0.78414130000000004"/>
    <n v="20"/>
    <s v="Moderate"/>
    <n v="0.81753799999999999"/>
    <n v="14.666667"/>
    <n v="15"/>
    <x v="1"/>
    <n v="0.33011534999999997"/>
    <x v="520"/>
    <x v="0"/>
    <x v="0"/>
    <n v="0"/>
    <n v="0"/>
    <x v="82"/>
    <x v="82"/>
    <x v="0"/>
    <x v="0"/>
    <x v="0"/>
  </r>
  <r>
    <n v="5117"/>
    <x v="4"/>
    <s v="21-30 years"/>
    <n v="25"/>
    <x v="0"/>
    <x v="3"/>
    <x v="8"/>
    <s v="Normal"/>
    <n v="-1.0134224999999999"/>
    <x v="3"/>
    <x v="0"/>
    <n v="0.39481880000000003"/>
    <n v="18"/>
    <s v="Moderate"/>
    <n v="0.62490060000000003"/>
    <n v="11.333333"/>
    <n v="11"/>
    <x v="1"/>
    <n v="2.0989680000000001E-3"/>
    <x v="521"/>
    <x v="0"/>
    <x v="0"/>
    <n v="9000"/>
    <n v="9000"/>
    <x v="61"/>
    <x v="61"/>
    <x v="5"/>
    <x v="5"/>
    <x v="2"/>
  </r>
  <r>
    <n v="5118"/>
    <x v="4"/>
    <s v="21-30 years"/>
    <n v="28"/>
    <x v="0"/>
    <x v="3"/>
    <x v="1"/>
    <s v="Normal"/>
    <n v="-0.81237789999999999"/>
    <x v="1"/>
    <x v="1"/>
    <n v="-0.77314866000000004"/>
    <n v="12"/>
    <s v="Moderate"/>
    <n v="4.6988415999999998E-2"/>
    <n v="6"/>
    <n v="6"/>
    <x v="0"/>
    <n v="-0.51284605000000005"/>
    <x v="522"/>
    <x v="0"/>
    <x v="0"/>
    <n v="5000"/>
    <n v="5000"/>
    <x v="2"/>
    <x v="2"/>
    <x v="1"/>
    <x v="1"/>
    <x v="1"/>
  </r>
  <r>
    <n v="5119"/>
    <x v="4"/>
    <s v="21-30 years"/>
    <n v="30"/>
    <x v="0"/>
    <x v="0"/>
    <x v="1"/>
    <s v="Normal"/>
    <n v="-0.81237789999999999"/>
    <x v="10"/>
    <x v="1"/>
    <n v="-1.1624711999999999"/>
    <n v="0"/>
    <s v="Normal"/>
    <n v="-1.1088359000000001"/>
    <n v="0.66666669999999995"/>
    <n v="1"/>
    <x v="0"/>
    <n v="-1.027895"/>
    <x v="425"/>
    <x v="1"/>
    <x v="1"/>
    <n v="6250"/>
    <n v="6250"/>
    <x v="27"/>
    <x v="27"/>
    <x v="2"/>
    <x v="2"/>
    <x v="2"/>
  </r>
  <r>
    <n v="5120"/>
    <x v="4"/>
    <s v="31-40 years"/>
    <n v="36"/>
    <x v="1"/>
    <x v="1"/>
    <x v="1"/>
    <s v="Normal"/>
    <n v="-0.81237789999999999"/>
    <x v="5"/>
    <x v="1"/>
    <n v="-0.57848745999999995"/>
    <n v="4"/>
    <s v="Normal"/>
    <n v="-0.72356116999999998"/>
    <n v="4"/>
    <n v="4"/>
    <x v="0"/>
    <n v="-0.70480883000000005"/>
    <x v="19"/>
    <x v="1"/>
    <x v="1"/>
    <n v="12000"/>
    <n v="12000"/>
    <x v="90"/>
    <x v="90"/>
    <x v="5"/>
    <x v="5"/>
    <x v="2"/>
  </r>
  <r>
    <n v="5121"/>
    <x v="4"/>
    <s v="51-60 years"/>
    <n v="57"/>
    <x v="1"/>
    <x v="3"/>
    <x v="8"/>
    <s v="Normal"/>
    <n v="-1.0134224999999999"/>
    <x v="10"/>
    <x v="1"/>
    <n v="-1.1624711999999999"/>
    <n v="0"/>
    <s v="Normal"/>
    <n v="-1.1088359000000001"/>
    <n v="0"/>
    <n v="0"/>
    <x v="0"/>
    <n v="-1.0949099"/>
    <x v="72"/>
    <x v="1"/>
    <x v="1"/>
    <n v="16666.666000000001"/>
    <n v="16667"/>
    <x v="87"/>
    <x v="87"/>
    <x v="5"/>
    <x v="5"/>
    <x v="2"/>
  </r>
  <r>
    <n v="5122"/>
    <x v="4"/>
    <s v="31-40 years"/>
    <n v="33"/>
    <x v="1"/>
    <x v="1"/>
    <x v="8"/>
    <s v="Normal"/>
    <n v="-1.0134224999999999"/>
    <x v="10"/>
    <x v="1"/>
    <n v="-1.1624711999999999"/>
    <n v="0"/>
    <s v="Normal"/>
    <n v="-1.1088359000000001"/>
    <n v="0"/>
    <n v="0"/>
    <x v="0"/>
    <n v="-1.0949099"/>
    <x v="72"/>
    <x v="1"/>
    <x v="1"/>
    <n v="15000"/>
    <n v="15000"/>
    <x v="46"/>
    <x v="46"/>
    <x v="5"/>
    <x v="5"/>
    <x v="2"/>
  </r>
  <r>
    <n v="5123"/>
    <x v="4"/>
    <s v="31-40 years"/>
    <n v="39"/>
    <x v="1"/>
    <x v="1"/>
    <x v="8"/>
    <s v="Normal"/>
    <n v="-1.0134224999999999"/>
    <x v="10"/>
    <x v="1"/>
    <n v="-1.1624711999999999"/>
    <n v="0"/>
    <s v="Normal"/>
    <n v="-1.1088359000000001"/>
    <n v="0"/>
    <n v="0"/>
    <x v="0"/>
    <n v="-1.0949099"/>
    <x v="72"/>
    <x v="1"/>
    <x v="1"/>
    <n v="6666.6665000000003"/>
    <n v="6667"/>
    <x v="21"/>
    <x v="21"/>
    <x v="2"/>
    <x v="2"/>
    <x v="2"/>
  </r>
  <r>
    <n v="5124"/>
    <x v="4"/>
    <s v="51-60 years"/>
    <n v="56"/>
    <x v="1"/>
    <x v="2"/>
    <x v="8"/>
    <s v="Normal"/>
    <n v="-1.0134224999999999"/>
    <x v="10"/>
    <x v="1"/>
    <n v="-1.1624711999999999"/>
    <n v="0"/>
    <s v="Normal"/>
    <n v="-1.1088359000000001"/>
    <n v="0"/>
    <n v="0"/>
    <x v="0"/>
    <n v="-1.0949099"/>
    <x v="72"/>
    <x v="1"/>
    <x v="1"/>
    <n v="5666.6665000000003"/>
    <n v="5667"/>
    <x v="83"/>
    <x v="83"/>
    <x v="1"/>
    <x v="1"/>
    <x v="1"/>
  </r>
  <r>
    <n v="5125"/>
    <x v="4"/>
    <s v="21-30 years"/>
    <n v="30"/>
    <x v="0"/>
    <x v="3"/>
    <x v="8"/>
    <s v="Normal"/>
    <n v="-1.0134224999999999"/>
    <x v="2"/>
    <x v="1"/>
    <n v="-0.9678099"/>
    <n v="2"/>
    <s v="Normal"/>
    <n v="-0.91619854999999994"/>
    <n v="1.3333333999999999"/>
    <n v="1"/>
    <x v="0"/>
    <n v="-0.96581030000000001"/>
    <x v="409"/>
    <x v="1"/>
    <x v="1"/>
    <n v="2857.1428000000001"/>
    <n v="2857"/>
    <x v="77"/>
    <x v="77"/>
    <x v="4"/>
    <x v="4"/>
    <x v="0"/>
  </r>
  <r>
    <n v="5126"/>
    <x v="4"/>
    <s v="31-40 years"/>
    <n v="37"/>
    <x v="1"/>
    <x v="0"/>
    <x v="8"/>
    <s v="Normal"/>
    <n v="-1.0134224999999999"/>
    <x v="2"/>
    <x v="1"/>
    <n v="-0.9678099"/>
    <n v="2"/>
    <s v="Normal"/>
    <n v="-0.91619854999999994"/>
    <n v="1.3333333999999999"/>
    <n v="1"/>
    <x v="0"/>
    <n v="-0.96581030000000001"/>
    <x v="409"/>
    <x v="1"/>
    <x v="1"/>
    <n v="6666.6665000000003"/>
    <n v="6667"/>
    <x v="21"/>
    <x v="21"/>
    <x v="2"/>
    <x v="2"/>
    <x v="2"/>
  </r>
  <r>
    <n v="5127"/>
    <x v="4"/>
    <s v="31-40 years"/>
    <n v="31"/>
    <x v="1"/>
    <x v="1"/>
    <x v="0"/>
    <s v="Normal"/>
    <n v="-0.41028870000000001"/>
    <x v="0"/>
    <x v="0"/>
    <n v="5.496318E-3"/>
    <n v="10"/>
    <s v="Normal"/>
    <n v="-0.14564899000000001"/>
    <n v="9.3333329999999997"/>
    <n v="9"/>
    <x v="0"/>
    <n v="-0.18348046000000001"/>
    <x v="523"/>
    <x v="0"/>
    <x v="0"/>
    <n v="5666.6665000000003"/>
    <n v="5667"/>
    <x v="83"/>
    <x v="83"/>
    <x v="1"/>
    <x v="1"/>
    <x v="1"/>
  </r>
  <r>
    <n v="5128"/>
    <x v="4"/>
    <s v="41-50 years"/>
    <n v="44"/>
    <x v="0"/>
    <x v="3"/>
    <x v="8"/>
    <s v="Normal"/>
    <n v="-1.0134224999999999"/>
    <x v="10"/>
    <x v="1"/>
    <n v="-1.1624711999999999"/>
    <n v="0"/>
    <s v="Normal"/>
    <n v="-1.1088359000000001"/>
    <n v="0"/>
    <n v="0"/>
    <x v="0"/>
    <n v="-1.0949099"/>
    <x v="72"/>
    <x v="1"/>
    <x v="1"/>
    <n v="10000"/>
    <n v="10000"/>
    <x v="26"/>
    <x v="26"/>
    <x v="5"/>
    <x v="5"/>
    <x v="2"/>
  </r>
  <r>
    <n v="5129"/>
    <x v="4"/>
    <s v="21-30 years"/>
    <n v="25"/>
    <x v="1"/>
    <x v="5"/>
    <x v="0"/>
    <s v="Normal"/>
    <n v="-0.41028870000000001"/>
    <x v="4"/>
    <x v="0"/>
    <n v="0.20015757000000001"/>
    <n v="22"/>
    <s v="Severe"/>
    <n v="1.0101753"/>
    <n v="14"/>
    <n v="14"/>
    <x v="1"/>
    <n v="0.26668140000000001"/>
    <x v="524"/>
    <x v="0"/>
    <x v="0"/>
    <n v="4000"/>
    <n v="4000"/>
    <x v="7"/>
    <x v="7"/>
    <x v="3"/>
    <x v="3"/>
    <x v="0"/>
  </r>
  <r>
    <n v="5130"/>
    <x v="4"/>
    <s v="31-40 years"/>
    <n v="34"/>
    <x v="0"/>
    <x v="3"/>
    <x v="3"/>
    <s v="Normal"/>
    <n v="-8.1994660000000007E-3"/>
    <x v="10"/>
    <x v="1"/>
    <n v="-1.1624711999999999"/>
    <n v="12"/>
    <s v="Moderate"/>
    <n v="4.6988415999999998E-2"/>
    <n v="7.3333335000000002"/>
    <n v="7"/>
    <x v="0"/>
    <n v="-0.37456074"/>
    <x v="525"/>
    <x v="0"/>
    <x v="0"/>
    <n v="20000"/>
    <n v="20000"/>
    <x v="56"/>
    <x v="56"/>
    <x v="5"/>
    <x v="5"/>
    <x v="2"/>
  </r>
  <r>
    <n v="5131"/>
    <x v="4"/>
    <s v="21-30 years"/>
    <n v="27"/>
    <x v="1"/>
    <x v="3"/>
    <x v="8"/>
    <s v="Normal"/>
    <n v="-1.0134224999999999"/>
    <x v="10"/>
    <x v="1"/>
    <n v="-1.1624711999999999"/>
    <n v="2"/>
    <s v="Normal"/>
    <n v="-0.91619854999999994"/>
    <n v="0.66666669999999995"/>
    <n v="1"/>
    <x v="0"/>
    <n v="-1.0306972999999999"/>
    <x v="68"/>
    <x v="1"/>
    <x v="1"/>
    <n v="10000"/>
    <n v="10000"/>
    <x v="26"/>
    <x v="26"/>
    <x v="5"/>
    <x v="5"/>
    <x v="2"/>
  </r>
  <r>
    <n v="5132"/>
    <x v="4"/>
    <s v="31-40 years"/>
    <n v="33"/>
    <x v="0"/>
    <x v="0"/>
    <x v="8"/>
    <s v="Normal"/>
    <n v="-1.0134224999999999"/>
    <x v="4"/>
    <x v="0"/>
    <n v="0.20015757000000001"/>
    <n v="0"/>
    <s v="Normal"/>
    <n v="-1.1088359000000001"/>
    <n v="4.6666664999999998"/>
    <n v="5"/>
    <x v="0"/>
    <n v="-0.6407003"/>
    <x v="526"/>
    <x v="1"/>
    <x v="1"/>
    <n v="2142.8571999999999"/>
    <n v="2143"/>
    <x v="98"/>
    <x v="98"/>
    <x v="4"/>
    <x v="4"/>
    <x v="0"/>
  </r>
  <r>
    <n v="5133"/>
    <x v="4"/>
    <s v="31-40 years"/>
    <n v="37"/>
    <x v="0"/>
    <x v="0"/>
    <x v="8"/>
    <s v="Normal"/>
    <n v="-1.0134224999999999"/>
    <x v="2"/>
    <x v="1"/>
    <n v="-0.9678099"/>
    <n v="8"/>
    <s v="Normal"/>
    <n v="-0.33828637"/>
    <n v="3.3333333000000001"/>
    <n v="3"/>
    <x v="0"/>
    <n v="-0.77317290000000005"/>
    <x v="527"/>
    <x v="1"/>
    <x v="1"/>
    <n v="2500"/>
    <n v="2500"/>
    <x v="12"/>
    <x v="12"/>
    <x v="4"/>
    <x v="4"/>
    <x v="0"/>
  </r>
  <r>
    <n v="5134"/>
    <x v="4"/>
    <s v="31-40 years"/>
    <n v="33"/>
    <x v="0"/>
    <x v="3"/>
    <x v="4"/>
    <s v="Normal"/>
    <n v="-0.61133329999999997"/>
    <x v="0"/>
    <x v="0"/>
    <n v="5.496318E-3"/>
    <n v="10"/>
    <s v="Normal"/>
    <n v="-0.14564899000000001"/>
    <n v="8.6666670000000003"/>
    <n v="9"/>
    <x v="0"/>
    <n v="-0.25049529999999998"/>
    <x v="528"/>
    <x v="0"/>
    <x v="0"/>
    <n v="3800"/>
    <n v="3800"/>
    <x v="60"/>
    <x v="60"/>
    <x v="3"/>
    <x v="3"/>
    <x v="0"/>
  </r>
  <r>
    <n v="5135"/>
    <x v="4"/>
    <s v="31-40 years"/>
    <n v="37"/>
    <x v="0"/>
    <x v="3"/>
    <x v="8"/>
    <s v="Normal"/>
    <n v="-1.0134224999999999"/>
    <x v="10"/>
    <x v="1"/>
    <n v="-1.1624711999999999"/>
    <n v="0"/>
    <s v="Normal"/>
    <n v="-1.1088359000000001"/>
    <n v="0"/>
    <n v="0"/>
    <x v="0"/>
    <n v="-1.0949099"/>
    <x v="72"/>
    <x v="1"/>
    <x v="1"/>
    <n v="2500"/>
    <n v="2500"/>
    <x v="12"/>
    <x v="12"/>
    <x v="4"/>
    <x v="4"/>
    <x v="0"/>
  </r>
  <r>
    <n v="5136"/>
    <x v="4"/>
    <s v="31-40 years"/>
    <n v="38"/>
    <x v="0"/>
    <x v="3"/>
    <x v="4"/>
    <s v="Normal"/>
    <n v="-0.61133329999999997"/>
    <x v="7"/>
    <x v="1"/>
    <n v="-0.38382620000000001"/>
    <n v="0"/>
    <s v="Normal"/>
    <n v="-1.1088359000000001"/>
    <n v="4"/>
    <n v="4"/>
    <x v="0"/>
    <n v="-0.70133179999999995"/>
    <x v="40"/>
    <x v="1"/>
    <x v="1"/>
    <n v="6250"/>
    <n v="6250"/>
    <x v="27"/>
    <x v="27"/>
    <x v="2"/>
    <x v="2"/>
    <x v="2"/>
  </r>
  <r>
    <n v="5137"/>
    <x v="4"/>
    <s v="41-50 years"/>
    <n v="44"/>
    <x v="1"/>
    <x v="1"/>
    <x v="4"/>
    <s v="Normal"/>
    <n v="-0.61133329999999997"/>
    <x v="16"/>
    <x v="3"/>
    <n v="2.1467700000000001"/>
    <n v="32"/>
    <s v="Extremely Severe"/>
    <n v="1.9733623"/>
    <n v="23.333334000000001"/>
    <n v="23"/>
    <x v="2"/>
    <n v="1.1695997"/>
    <x v="529"/>
    <x v="2"/>
    <x v="2"/>
    <n v="13333.333000000001"/>
    <n v="13333"/>
    <x v="76"/>
    <x v="76"/>
    <x v="5"/>
    <x v="5"/>
    <x v="2"/>
  </r>
  <r>
    <n v="5138"/>
    <x v="4"/>
    <s v="21-30 years"/>
    <n v="26"/>
    <x v="1"/>
    <x v="5"/>
    <x v="8"/>
    <s v="Normal"/>
    <n v="-1.0134224999999999"/>
    <x v="5"/>
    <x v="1"/>
    <n v="-0.57848745999999995"/>
    <n v="2"/>
    <s v="Normal"/>
    <n v="-0.91619854999999994"/>
    <n v="2.6666666999999999"/>
    <n v="3"/>
    <x v="0"/>
    <n v="-0.83603614999999998"/>
    <x v="338"/>
    <x v="1"/>
    <x v="1"/>
    <n v="3000"/>
    <n v="3000"/>
    <x v="22"/>
    <x v="22"/>
    <x v="3"/>
    <x v="3"/>
    <x v="0"/>
  </r>
  <r>
    <n v="5139"/>
    <x v="4"/>
    <s v="51-60 years"/>
    <n v="53"/>
    <x v="0"/>
    <x v="3"/>
    <x v="1"/>
    <s v="Normal"/>
    <n v="-0.81237789999999999"/>
    <x v="2"/>
    <x v="1"/>
    <n v="-0.9678099"/>
    <n v="2"/>
    <s v="Normal"/>
    <n v="-0.91619854999999994"/>
    <n v="2"/>
    <n v="2"/>
    <x v="0"/>
    <n v="-0.89879549999999997"/>
    <x v="2"/>
    <x v="1"/>
    <x v="1"/>
    <n v="16250"/>
    <n v="16250"/>
    <x v="99"/>
    <x v="99"/>
    <x v="5"/>
    <x v="5"/>
    <x v="2"/>
  </r>
  <r>
    <n v="5140"/>
    <x v="4"/>
    <s v="51-60 years"/>
    <n v="52"/>
    <x v="1"/>
    <x v="1"/>
    <x v="3"/>
    <s v="Normal"/>
    <n v="-8.1994660000000007E-3"/>
    <x v="6"/>
    <x v="0"/>
    <n v="0.58948003999999998"/>
    <n v="14"/>
    <s v="Moderate"/>
    <n v="0.23962580999999999"/>
    <n v="14"/>
    <n v="14"/>
    <x v="1"/>
    <n v="0.27363547999999999"/>
    <x v="530"/>
    <x v="0"/>
    <x v="0"/>
    <n v="5000"/>
    <n v="5000"/>
    <x v="2"/>
    <x v="2"/>
    <x v="1"/>
    <x v="1"/>
    <x v="1"/>
  </r>
  <r>
    <n v="5141"/>
    <x v="4"/>
    <s v="51-60 years"/>
    <n v="52"/>
    <x v="1"/>
    <x v="3"/>
    <x v="8"/>
    <s v="Normal"/>
    <n v="-1.0134224999999999"/>
    <x v="10"/>
    <x v="1"/>
    <n v="-1.1624711999999999"/>
    <n v="0"/>
    <s v="Normal"/>
    <n v="-1.1088359000000001"/>
    <n v="0"/>
    <n v="0"/>
    <x v="0"/>
    <n v="-1.0949099"/>
    <x v="72"/>
    <x v="1"/>
    <x v="1"/>
    <n v="20000"/>
    <n v="20000"/>
    <x v="56"/>
    <x v="56"/>
    <x v="5"/>
    <x v="5"/>
    <x v="2"/>
  </r>
  <r>
    <n v="5142"/>
    <x v="4"/>
    <s v="41-50 years"/>
    <n v="50"/>
    <x v="0"/>
    <x v="3"/>
    <x v="4"/>
    <s v="Normal"/>
    <n v="-0.61133329999999997"/>
    <x v="1"/>
    <x v="1"/>
    <n v="-0.77314866000000004"/>
    <n v="6"/>
    <s v="Normal"/>
    <n v="-0.53092379999999995"/>
    <n v="4.6666664999999998"/>
    <n v="5"/>
    <x v="0"/>
    <n v="-0.63846855999999996"/>
    <x v="75"/>
    <x v="1"/>
    <x v="1"/>
    <n v="6000"/>
    <n v="6000"/>
    <x v="6"/>
    <x v="6"/>
    <x v="2"/>
    <x v="2"/>
    <x v="2"/>
  </r>
  <r>
    <n v="5143"/>
    <x v="4"/>
    <s v="51-60 years"/>
    <n v="57"/>
    <x v="1"/>
    <x v="4"/>
    <x v="8"/>
    <s v="Normal"/>
    <n v="-1.0134224999999999"/>
    <x v="10"/>
    <x v="1"/>
    <n v="-1.1624711999999999"/>
    <n v="0"/>
    <s v="Normal"/>
    <n v="-1.1088359000000001"/>
    <n v="0"/>
    <n v="0"/>
    <x v="0"/>
    <n v="-1.0949099"/>
    <x v="72"/>
    <x v="1"/>
    <x v="1"/>
    <n v="12500"/>
    <n v="12500"/>
    <x v="49"/>
    <x v="49"/>
    <x v="5"/>
    <x v="5"/>
    <x v="2"/>
  </r>
  <r>
    <n v="5144"/>
    <x v="4"/>
    <s v="41-50 years"/>
    <n v="47"/>
    <x v="0"/>
    <x v="3"/>
    <x v="1"/>
    <s v="Normal"/>
    <n v="-0.81237789999999999"/>
    <x v="10"/>
    <x v="1"/>
    <n v="-1.1624711999999999"/>
    <n v="10"/>
    <s v="Normal"/>
    <n v="-0.14564899000000001"/>
    <n v="4"/>
    <n v="4"/>
    <x v="0"/>
    <n v="-0.70683269999999998"/>
    <x v="531"/>
    <x v="1"/>
    <x v="1"/>
    <n v="4166.6665000000003"/>
    <n v="4167"/>
    <x v="24"/>
    <x v="24"/>
    <x v="3"/>
    <x v="3"/>
    <x v="0"/>
  </r>
  <r>
    <n v="5145"/>
    <x v="4"/>
    <s v="51-60 years"/>
    <n v="51"/>
    <x v="0"/>
    <x v="3"/>
    <x v="8"/>
    <s v="Normal"/>
    <n v="-1.0134224999999999"/>
    <x v="2"/>
    <x v="1"/>
    <n v="-0.9678099"/>
    <n v="2"/>
    <s v="Normal"/>
    <n v="-0.91619854999999994"/>
    <n v="1.3333333999999999"/>
    <n v="1"/>
    <x v="0"/>
    <n v="-0.96581030000000001"/>
    <x v="409"/>
    <x v="1"/>
    <x v="1"/>
    <n v="2000"/>
    <n v="2000"/>
    <x v="11"/>
    <x v="11"/>
    <x v="4"/>
    <x v="4"/>
    <x v="0"/>
  </r>
  <r>
    <n v="5146"/>
    <x v="4"/>
    <s v="51-60 years"/>
    <n v="57"/>
    <x v="1"/>
    <x v="0"/>
    <x v="8"/>
    <s v="Normal"/>
    <n v="-1.0134224999999999"/>
    <x v="5"/>
    <x v="1"/>
    <n v="-0.57848745999999995"/>
    <n v="8"/>
    <s v="Normal"/>
    <n v="-0.33828637"/>
    <n v="4.6666664999999998"/>
    <n v="5"/>
    <x v="0"/>
    <n v="-0.64339875999999996"/>
    <x v="508"/>
    <x v="1"/>
    <x v="1"/>
    <n v="65000"/>
    <n v="65000"/>
    <x v="100"/>
    <x v="100"/>
    <x v="5"/>
    <x v="5"/>
    <x v="2"/>
  </r>
  <r>
    <n v="5147"/>
    <x v="4"/>
    <s v="51-60 years"/>
    <n v="54"/>
    <x v="1"/>
    <x v="3"/>
    <x v="8"/>
    <s v="Normal"/>
    <n v="-1.0134224999999999"/>
    <x v="2"/>
    <x v="1"/>
    <n v="-0.9678099"/>
    <n v="6"/>
    <s v="Normal"/>
    <n v="-0.53092379999999995"/>
    <n v="2.6666666999999999"/>
    <n v="3"/>
    <x v="0"/>
    <n v="-0.83738539999999995"/>
    <x v="515"/>
    <x v="1"/>
    <x v="1"/>
    <n v="23333.333999999999"/>
    <n v="23333"/>
    <x v="101"/>
    <x v="101"/>
    <x v="5"/>
    <x v="5"/>
    <x v="2"/>
  </r>
  <r>
    <n v="5148"/>
    <x v="4"/>
    <s v="41-50 years"/>
    <n v="46"/>
    <x v="0"/>
    <x v="3"/>
    <x v="8"/>
    <s v="Normal"/>
    <n v="-1.0134224999999999"/>
    <x v="10"/>
    <x v="1"/>
    <n v="-1.1624711999999999"/>
    <n v="0"/>
    <s v="Normal"/>
    <n v="-1.1088359000000001"/>
    <n v="0"/>
    <n v="0"/>
    <x v="0"/>
    <n v="-1.0949099"/>
    <x v="72"/>
    <x v="1"/>
    <x v="1"/>
    <n v="23333.333999999999"/>
    <n v="23333"/>
    <x v="101"/>
    <x v="101"/>
    <x v="5"/>
    <x v="5"/>
    <x v="2"/>
  </r>
  <r>
    <n v="5149"/>
    <x v="4"/>
    <s v="31-40 years"/>
    <n v="40"/>
    <x v="0"/>
    <x v="0"/>
    <x v="8"/>
    <s v="Normal"/>
    <n v="-1.0134224999999999"/>
    <x v="10"/>
    <x v="1"/>
    <n v="-1.1624711999999999"/>
    <n v="0"/>
    <s v="Normal"/>
    <n v="-1.1088359000000001"/>
    <n v="0"/>
    <n v="0"/>
    <x v="0"/>
    <n v="-1.0949099"/>
    <x v="72"/>
    <x v="1"/>
    <x v="1"/>
    <n v="2500"/>
    <n v="2500"/>
    <x v="12"/>
    <x v="12"/>
    <x v="4"/>
    <x v="4"/>
    <x v="0"/>
  </r>
  <r>
    <n v="5150"/>
    <x v="4"/>
    <s v="31-40 years"/>
    <n v="38"/>
    <x v="0"/>
    <x v="0"/>
    <x v="0"/>
    <s v="Normal"/>
    <n v="-0.41028870000000001"/>
    <x v="5"/>
    <x v="1"/>
    <n v="-0.57848745999999995"/>
    <n v="10"/>
    <s v="Normal"/>
    <n v="-0.14564899000000001"/>
    <n v="7.3333335000000002"/>
    <n v="7"/>
    <x v="0"/>
    <n v="-0.37814170000000003"/>
    <x v="374"/>
    <x v="0"/>
    <x v="0"/>
    <n v="4000"/>
    <n v="4000"/>
    <x v="7"/>
    <x v="7"/>
    <x v="3"/>
    <x v="3"/>
    <x v="0"/>
  </r>
  <r>
    <n v="5151"/>
    <x v="4"/>
    <s v="51-60 years"/>
    <n v="55"/>
    <x v="0"/>
    <x v="0"/>
    <x v="7"/>
    <s v="Moderate"/>
    <n v="0.19284514999999999"/>
    <x v="0"/>
    <x v="0"/>
    <n v="5.496318E-3"/>
    <n v="14"/>
    <s v="Moderate"/>
    <n v="0.23962580999999999"/>
    <n v="12.666667"/>
    <n v="13"/>
    <x v="1"/>
    <n v="0.14598908999999999"/>
    <x v="532"/>
    <x v="0"/>
    <x v="0"/>
    <n v="4000"/>
    <n v="4000"/>
    <x v="7"/>
    <x v="7"/>
    <x v="3"/>
    <x v="3"/>
    <x v="0"/>
  </r>
  <r>
    <n v="5152"/>
    <x v="4"/>
    <s v="31-40 years"/>
    <n v="40"/>
    <x v="1"/>
    <x v="0"/>
    <x v="4"/>
    <s v="Normal"/>
    <n v="-0.61133329999999997"/>
    <x v="5"/>
    <x v="1"/>
    <n v="-0.57848745999999995"/>
    <n v="22"/>
    <s v="Severe"/>
    <n v="1.0101753"/>
    <n v="10.666667"/>
    <n v="11"/>
    <x v="1"/>
    <n v="-5.9881806000000003E-2"/>
    <x v="533"/>
    <x v="0"/>
    <x v="0"/>
    <n v="3333.3332999999998"/>
    <n v="3333"/>
    <x v="10"/>
    <x v="10"/>
    <x v="3"/>
    <x v="3"/>
    <x v="0"/>
  </r>
  <r>
    <n v="5153"/>
    <x v="4"/>
    <s v="31-40 years"/>
    <n v="36"/>
    <x v="1"/>
    <x v="1"/>
    <x v="1"/>
    <s v="Normal"/>
    <n v="-0.81237789999999999"/>
    <x v="1"/>
    <x v="1"/>
    <n v="-0.77314866000000004"/>
    <n v="2"/>
    <s v="Normal"/>
    <n v="-0.91619854999999994"/>
    <n v="2.6666666999999999"/>
    <n v="3"/>
    <x v="0"/>
    <n v="-0.83390839999999999"/>
    <x v="1"/>
    <x v="1"/>
    <x v="1"/>
    <n v="11666.666999999999"/>
    <n v="11667"/>
    <x v="25"/>
    <x v="25"/>
    <x v="5"/>
    <x v="5"/>
    <x v="2"/>
  </r>
  <r>
    <n v="5154"/>
    <x v="4"/>
    <s v="41-50 years"/>
    <n v="41"/>
    <x v="0"/>
    <x v="0"/>
    <x v="4"/>
    <s v="Normal"/>
    <n v="-0.61133329999999997"/>
    <x v="0"/>
    <x v="0"/>
    <n v="5.496318E-3"/>
    <n v="14"/>
    <s v="Moderate"/>
    <n v="0.23962580999999999"/>
    <n v="10"/>
    <n v="10"/>
    <x v="0"/>
    <n v="-0.122070394"/>
    <x v="240"/>
    <x v="0"/>
    <x v="0"/>
    <n v="4333.3334999999997"/>
    <n v="4333"/>
    <x v="70"/>
    <x v="70"/>
    <x v="3"/>
    <x v="3"/>
    <x v="0"/>
  </r>
  <r>
    <n v="5155"/>
    <x v="4"/>
    <s v="31-40 years"/>
    <n v="34"/>
    <x v="0"/>
    <x v="3"/>
    <x v="3"/>
    <s v="Normal"/>
    <n v="-8.1994660000000007E-3"/>
    <x v="14"/>
    <x v="2"/>
    <n v="1.5627863"/>
    <n v="26"/>
    <s v="Severe"/>
    <n v="1.3954502"/>
    <n v="21.333334000000001"/>
    <n v="21"/>
    <x v="2"/>
    <n v="0.98334569999999999"/>
    <x v="534"/>
    <x v="2"/>
    <x v="2"/>
    <n v="4285.7143999999998"/>
    <n v="4286"/>
    <x v="53"/>
    <x v="53"/>
    <x v="3"/>
    <x v="3"/>
    <x v="0"/>
  </r>
  <r>
    <n v="5156"/>
    <x v="4"/>
    <s v="41-50 years"/>
    <n v="48"/>
    <x v="0"/>
    <x v="0"/>
    <x v="1"/>
    <s v="Normal"/>
    <n v="-0.81237789999999999"/>
    <x v="2"/>
    <x v="1"/>
    <n v="-0.9678099"/>
    <n v="2"/>
    <s v="Normal"/>
    <n v="-0.91619854999999994"/>
    <n v="2"/>
    <n v="2"/>
    <x v="0"/>
    <n v="-0.89879549999999997"/>
    <x v="2"/>
    <x v="1"/>
    <x v="1"/>
    <n v="7500"/>
    <n v="7500"/>
    <x v="13"/>
    <x v="13"/>
    <x v="5"/>
    <x v="5"/>
    <x v="2"/>
  </r>
  <r>
    <n v="5157"/>
    <x v="4"/>
    <s v="31-40 years"/>
    <n v="35"/>
    <x v="0"/>
    <x v="3"/>
    <x v="8"/>
    <s v="Normal"/>
    <n v="-1.0134224999999999"/>
    <x v="10"/>
    <x v="1"/>
    <n v="-1.1624711999999999"/>
    <n v="0"/>
    <s v="Normal"/>
    <n v="-1.1088359000000001"/>
    <n v="0"/>
    <n v="0"/>
    <x v="0"/>
    <n v="-1.0949099"/>
    <x v="72"/>
    <x v="1"/>
    <x v="1"/>
    <n v="3571.4285"/>
    <n v="3571"/>
    <x v="102"/>
    <x v="102"/>
    <x v="3"/>
    <x v="3"/>
    <x v="0"/>
  </r>
  <r>
    <n v="5158"/>
    <x v="4"/>
    <s v="41-50 years"/>
    <n v="45"/>
    <x v="0"/>
    <x v="0"/>
    <x v="4"/>
    <s v="Normal"/>
    <n v="-0.61133329999999997"/>
    <x v="3"/>
    <x v="0"/>
    <n v="0.39481880000000003"/>
    <n v="18"/>
    <s v="Moderate"/>
    <n v="0.62490060000000003"/>
    <n v="12.666667"/>
    <n v="13"/>
    <x v="1"/>
    <n v="0.13612869999999999"/>
    <x v="535"/>
    <x v="0"/>
    <x v="0"/>
    <n v="17500"/>
    <n v="17500"/>
    <x v="95"/>
    <x v="95"/>
    <x v="5"/>
    <x v="5"/>
    <x v="2"/>
  </r>
  <r>
    <n v="5159"/>
    <x v="4"/>
    <s v="31-40 years"/>
    <n v="34"/>
    <x v="1"/>
    <x v="1"/>
    <x v="0"/>
    <s v="Normal"/>
    <n v="-0.41028870000000001"/>
    <x v="2"/>
    <x v="1"/>
    <n v="-0.9678099"/>
    <n v="0"/>
    <s v="Normal"/>
    <n v="-1.1088359000000001"/>
    <n v="2.6666666999999999"/>
    <n v="3"/>
    <x v="0"/>
    <n v="-0.8289782"/>
    <x v="84"/>
    <x v="1"/>
    <x v="1"/>
    <n v="7500"/>
    <n v="7500"/>
    <x v="13"/>
    <x v="13"/>
    <x v="5"/>
    <x v="5"/>
    <x v="2"/>
  </r>
  <r>
    <n v="5160"/>
    <x v="4"/>
    <s v="41-50 years"/>
    <n v="44"/>
    <x v="1"/>
    <x v="3"/>
    <x v="8"/>
    <s v="Normal"/>
    <n v="-1.0134224999999999"/>
    <x v="10"/>
    <x v="1"/>
    <n v="-1.1624711999999999"/>
    <n v="0"/>
    <s v="Normal"/>
    <n v="-1.1088359000000001"/>
    <n v="0"/>
    <n v="0"/>
    <x v="0"/>
    <n v="-1.0949099"/>
    <x v="72"/>
    <x v="1"/>
    <x v="1"/>
    <n v="15000"/>
    <n v="15000"/>
    <x v="46"/>
    <x v="46"/>
    <x v="5"/>
    <x v="5"/>
    <x v="2"/>
  </r>
  <r>
    <n v="5161"/>
    <x v="4"/>
    <s v="31-40 years"/>
    <n v="39"/>
    <x v="0"/>
    <x v="0"/>
    <x v="6"/>
    <s v="Moderate"/>
    <n v="0.59493434000000001"/>
    <x v="11"/>
    <x v="2"/>
    <n v="1.3681251000000001"/>
    <n v="22"/>
    <s v="Severe"/>
    <n v="1.0101753"/>
    <n v="21.333334000000001"/>
    <n v="21"/>
    <x v="2"/>
    <n v="0.99107825999999999"/>
    <x v="536"/>
    <x v="2"/>
    <x v="2"/>
    <n v="10000"/>
    <n v="10000"/>
    <x v="26"/>
    <x v="26"/>
    <x v="5"/>
    <x v="5"/>
    <x v="2"/>
  </r>
  <r>
    <n v="5162"/>
    <x v="4"/>
    <s v="31-40 years"/>
    <n v="38"/>
    <x v="0"/>
    <x v="0"/>
    <x v="2"/>
    <s v="Normal"/>
    <n v="-0.20924408999999999"/>
    <x v="8"/>
    <x v="1"/>
    <n v="-0.18916494"/>
    <n v="8"/>
    <s v="Normal"/>
    <n v="-0.33828637"/>
    <n v="8.6666670000000003"/>
    <n v="9"/>
    <x v="0"/>
    <n v="-0.24556512999999999"/>
    <x v="537"/>
    <x v="0"/>
    <x v="0"/>
    <n v="6666.6665000000003"/>
    <n v="6667"/>
    <x v="21"/>
    <x v="21"/>
    <x v="2"/>
    <x v="2"/>
    <x v="2"/>
  </r>
  <r>
    <n v="5163"/>
    <x v="4"/>
    <s v="31-40 years"/>
    <n v="39"/>
    <x v="0"/>
    <x v="3"/>
    <x v="8"/>
    <s v="Normal"/>
    <n v="-1.0134224999999999"/>
    <x v="10"/>
    <x v="1"/>
    <n v="-1.1624711999999999"/>
    <n v="0"/>
    <s v="Normal"/>
    <n v="-1.1088359000000001"/>
    <n v="0"/>
    <n v="0"/>
    <x v="0"/>
    <n v="-1.0949099"/>
    <x v="72"/>
    <x v="1"/>
    <x v="1"/>
    <n v="7333.3334999999997"/>
    <n v="7333"/>
    <x v="54"/>
    <x v="54"/>
    <x v="2"/>
    <x v="2"/>
    <x v="2"/>
  </r>
  <r>
    <n v="5164"/>
    <x v="4"/>
    <s v="41-50 years"/>
    <n v="46"/>
    <x v="0"/>
    <x v="0"/>
    <x v="8"/>
    <s v="Normal"/>
    <n v="-1.0134224999999999"/>
    <x v="2"/>
    <x v="1"/>
    <n v="-0.9678099"/>
    <n v="8"/>
    <s v="Normal"/>
    <n v="-0.33828637"/>
    <n v="3.3333333000000001"/>
    <n v="3"/>
    <x v="0"/>
    <n v="-0.77317290000000005"/>
    <x v="527"/>
    <x v="1"/>
    <x v="1"/>
    <n v="7000"/>
    <n v="7000"/>
    <x v="29"/>
    <x v="29"/>
    <x v="2"/>
    <x v="2"/>
    <x v="2"/>
  </r>
  <r>
    <n v="5166"/>
    <x v="4"/>
    <s v="41-50 years"/>
    <n v="44"/>
    <x v="0"/>
    <x v="0"/>
    <x v="1"/>
    <s v="Normal"/>
    <n v="-0.81237789999999999"/>
    <x v="1"/>
    <x v="1"/>
    <n v="-0.77314866000000004"/>
    <n v="6"/>
    <s v="Normal"/>
    <n v="-0.53092379999999995"/>
    <n v="4"/>
    <n v="4"/>
    <x v="0"/>
    <n v="-0.70548343999999996"/>
    <x v="66"/>
    <x v="1"/>
    <x v="1"/>
    <n v="5000"/>
    <n v="5000"/>
    <x v="2"/>
    <x v="2"/>
    <x v="1"/>
    <x v="1"/>
    <x v="1"/>
  </r>
  <r>
    <n v="5167"/>
    <x v="4"/>
    <s v="31-40 years"/>
    <n v="33"/>
    <x v="0"/>
    <x v="0"/>
    <x v="8"/>
    <s v="Normal"/>
    <n v="-1.0134224999999999"/>
    <x v="10"/>
    <x v="1"/>
    <n v="-1.1624711999999999"/>
    <n v="0"/>
    <s v="Normal"/>
    <n v="-1.1088359000000001"/>
    <n v="0"/>
    <n v="0"/>
    <x v="0"/>
    <n v="-1.0949099"/>
    <x v="72"/>
    <x v="1"/>
    <x v="1"/>
    <n v="10000"/>
    <n v="10000"/>
    <x v="26"/>
    <x v="26"/>
    <x v="5"/>
    <x v="5"/>
    <x v="2"/>
  </r>
  <r>
    <n v="5168"/>
    <x v="4"/>
    <s v="31-40 years"/>
    <n v="33"/>
    <x v="0"/>
    <x v="3"/>
    <x v="8"/>
    <s v="Normal"/>
    <n v="-1.0134224999999999"/>
    <x v="10"/>
    <x v="1"/>
    <n v="-1.1624711999999999"/>
    <n v="0"/>
    <s v="Normal"/>
    <n v="-1.1088359000000001"/>
    <n v="0"/>
    <n v="0"/>
    <x v="0"/>
    <n v="-1.0949099"/>
    <x v="72"/>
    <x v="1"/>
    <x v="1"/>
    <n v="4000"/>
    <n v="4000"/>
    <x v="7"/>
    <x v="7"/>
    <x v="3"/>
    <x v="3"/>
    <x v="0"/>
  </r>
  <r>
    <n v="5169"/>
    <x v="4"/>
    <s v="41-50 years"/>
    <n v="45"/>
    <x v="1"/>
    <x v="0"/>
    <x v="8"/>
    <s v="Normal"/>
    <n v="-1.0134224999999999"/>
    <x v="10"/>
    <x v="1"/>
    <n v="-1.1624711999999999"/>
    <n v="0"/>
    <s v="Normal"/>
    <n v="-1.1088359000000001"/>
    <n v="0"/>
    <n v="0"/>
    <x v="0"/>
    <n v="-1.0949099"/>
    <x v="72"/>
    <x v="1"/>
    <x v="1"/>
    <n v="15000"/>
    <n v="15000"/>
    <x v="46"/>
    <x v="46"/>
    <x v="5"/>
    <x v="5"/>
    <x v="2"/>
  </r>
  <r>
    <n v="5170"/>
    <x v="4"/>
    <s v="51-60 years"/>
    <n v="56"/>
    <x v="0"/>
    <x v="0"/>
    <x v="8"/>
    <s v="Normal"/>
    <n v="-1.0134224999999999"/>
    <x v="10"/>
    <x v="1"/>
    <n v="-1.1624711999999999"/>
    <n v="0"/>
    <s v="Normal"/>
    <n v="-1.1088359000000001"/>
    <n v="0"/>
    <n v="0"/>
    <x v="0"/>
    <n v="-1.0949099"/>
    <x v="72"/>
    <x v="1"/>
    <x v="1"/>
    <n v="15000"/>
    <n v="15000"/>
    <x v="46"/>
    <x v="46"/>
    <x v="5"/>
    <x v="5"/>
    <x v="2"/>
  </r>
  <r>
    <n v="5171"/>
    <x v="4"/>
    <s v="31-40 years"/>
    <n v="33"/>
    <x v="0"/>
    <x v="0"/>
    <x v="8"/>
    <s v="Normal"/>
    <n v="-1.0134224999999999"/>
    <x v="2"/>
    <x v="1"/>
    <n v="-0.9678099"/>
    <n v="4"/>
    <s v="Normal"/>
    <n v="-0.72356116999999998"/>
    <n v="2"/>
    <n v="2"/>
    <x v="0"/>
    <n v="-0.90159785999999997"/>
    <x v="408"/>
    <x v="1"/>
    <x v="1"/>
    <n v="2000"/>
    <n v="2000"/>
    <x v="11"/>
    <x v="11"/>
    <x v="4"/>
    <x v="4"/>
    <x v="0"/>
  </r>
  <r>
    <n v="5172"/>
    <x v="4"/>
    <s v="41-50 years"/>
    <n v="41"/>
    <x v="1"/>
    <x v="3"/>
    <x v="7"/>
    <s v="Moderate"/>
    <n v="0.19284514999999999"/>
    <x v="17"/>
    <x v="0"/>
    <n v="0.78414130000000004"/>
    <n v="14"/>
    <s v="Moderate"/>
    <n v="0.23962580999999999"/>
    <n v="15.333333"/>
    <n v="15"/>
    <x v="1"/>
    <n v="0.40553742999999998"/>
    <x v="538"/>
    <x v="2"/>
    <x v="2"/>
    <n v="3000"/>
    <n v="3000"/>
    <x v="22"/>
    <x v="22"/>
    <x v="3"/>
    <x v="3"/>
    <x v="0"/>
  </r>
  <r>
    <n v="5173"/>
    <x v="4"/>
    <s v="51-60 years"/>
    <n v="51"/>
    <x v="1"/>
    <x v="3"/>
    <x v="4"/>
    <s v="Normal"/>
    <n v="-0.61133329999999997"/>
    <x v="3"/>
    <x v="0"/>
    <n v="0.39481880000000003"/>
    <n v="40"/>
    <s v="Extremely Severe"/>
    <n v="2.7439119999999999"/>
    <n v="20"/>
    <n v="20"/>
    <x v="1"/>
    <n v="0.84246580000000004"/>
    <x v="539"/>
    <x v="2"/>
    <x v="2"/>
    <n v="15000"/>
    <n v="15000"/>
    <x v="46"/>
    <x v="46"/>
    <x v="5"/>
    <x v="5"/>
    <x v="2"/>
  </r>
  <r>
    <n v="5174"/>
    <x v="4"/>
    <s v="31-40 years"/>
    <n v="39"/>
    <x v="0"/>
    <x v="3"/>
    <x v="1"/>
    <s v="Normal"/>
    <n v="-0.81237789999999999"/>
    <x v="1"/>
    <x v="1"/>
    <n v="-0.77314866000000004"/>
    <n v="4"/>
    <s v="Normal"/>
    <n v="-0.72356116999999998"/>
    <n v="3.3333333000000001"/>
    <n v="3"/>
    <x v="0"/>
    <n v="-0.76969593999999997"/>
    <x v="52"/>
    <x v="1"/>
    <x v="1"/>
    <n v="27500"/>
    <n v="27500"/>
    <x v="103"/>
    <x v="103"/>
    <x v="5"/>
    <x v="5"/>
    <x v="2"/>
  </r>
  <r>
    <n v="5175"/>
    <x v="4"/>
    <s v="31-40 years"/>
    <n v="31"/>
    <x v="0"/>
    <x v="3"/>
    <x v="0"/>
    <s v="Normal"/>
    <n v="-0.41028870000000001"/>
    <x v="12"/>
    <x v="2"/>
    <n v="1.1734637999999999"/>
    <n v="28"/>
    <s v="Severe"/>
    <n v="1.5880875999999999"/>
    <n v="19.333334000000001"/>
    <n v="19"/>
    <x v="1"/>
    <n v="0.78375419999999996"/>
    <x v="540"/>
    <x v="2"/>
    <x v="2"/>
    <n v="15000"/>
    <n v="15000"/>
    <x v="46"/>
    <x v="46"/>
    <x v="5"/>
    <x v="5"/>
    <x v="2"/>
  </r>
  <r>
    <n v="5176"/>
    <x v="4"/>
    <s v="41-50 years"/>
    <n v="49"/>
    <x v="1"/>
    <x v="0"/>
    <x v="8"/>
    <s v="Normal"/>
    <n v="-1.0134224999999999"/>
    <x v="10"/>
    <x v="1"/>
    <n v="-1.1624711999999999"/>
    <n v="0"/>
    <s v="Normal"/>
    <n v="-1.1088359000000001"/>
    <n v="0"/>
    <n v="0"/>
    <x v="0"/>
    <n v="-1.0949099"/>
    <x v="72"/>
    <x v="1"/>
    <x v="1"/>
    <n v="6666.6665000000003"/>
    <n v="6667"/>
    <x v="21"/>
    <x v="21"/>
    <x v="2"/>
    <x v="2"/>
    <x v="2"/>
  </r>
  <r>
    <n v="5177"/>
    <x v="4"/>
    <s v="51-60 years"/>
    <n v="52"/>
    <x v="0"/>
    <x v="0"/>
    <x v="1"/>
    <s v="Normal"/>
    <n v="-0.81237789999999999"/>
    <x v="10"/>
    <x v="1"/>
    <n v="-1.1624711999999999"/>
    <n v="0"/>
    <s v="Normal"/>
    <n v="-1.1088359000000001"/>
    <n v="0.66666669999999995"/>
    <n v="1"/>
    <x v="0"/>
    <n v="-1.027895"/>
    <x v="425"/>
    <x v="1"/>
    <x v="1"/>
    <n v="3333.3332999999998"/>
    <n v="3333"/>
    <x v="10"/>
    <x v="10"/>
    <x v="3"/>
    <x v="3"/>
    <x v="0"/>
  </r>
  <r>
    <n v="5178"/>
    <x v="4"/>
    <s v="51-60 years"/>
    <n v="51"/>
    <x v="0"/>
    <x v="0"/>
    <x v="8"/>
    <s v="Normal"/>
    <n v="-1.0134224999999999"/>
    <x v="10"/>
    <x v="1"/>
    <n v="-1.1624711999999999"/>
    <n v="0"/>
    <s v="Normal"/>
    <n v="-1.1088359000000001"/>
    <n v="0"/>
    <n v="0"/>
    <x v="0"/>
    <n v="-1.0949099"/>
    <x v="72"/>
    <x v="1"/>
    <x v="1"/>
    <n v="13333.333000000001"/>
    <n v="13333"/>
    <x v="76"/>
    <x v="76"/>
    <x v="5"/>
    <x v="5"/>
    <x v="2"/>
  </r>
  <r>
    <n v="5179"/>
    <x v="4"/>
    <s v="41-50 years"/>
    <n v="48"/>
    <x v="0"/>
    <x v="3"/>
    <x v="1"/>
    <s v="Normal"/>
    <n v="-0.81237789999999999"/>
    <x v="2"/>
    <x v="1"/>
    <n v="-0.9678099"/>
    <n v="0"/>
    <s v="Normal"/>
    <n v="-1.1088359000000001"/>
    <n v="1.3333333999999999"/>
    <n v="1"/>
    <x v="0"/>
    <n v="-0.96300790000000003"/>
    <x v="17"/>
    <x v="1"/>
    <x v="1"/>
    <n v="11000"/>
    <n v="11000"/>
    <x v="104"/>
    <x v="104"/>
    <x v="5"/>
    <x v="5"/>
    <x v="2"/>
  </r>
  <r>
    <n v="5180"/>
    <x v="4"/>
    <s v="41-50 years"/>
    <n v="46"/>
    <x v="1"/>
    <x v="1"/>
    <x v="8"/>
    <s v="Normal"/>
    <n v="-1.0134224999999999"/>
    <x v="8"/>
    <x v="1"/>
    <n v="-0.18916494"/>
    <n v="4"/>
    <s v="Normal"/>
    <n v="-0.72356116999999998"/>
    <n v="4.6666664999999998"/>
    <n v="5"/>
    <x v="0"/>
    <n v="-0.64204954999999997"/>
    <x v="360"/>
    <x v="1"/>
    <x v="1"/>
    <n v="16666.666000000001"/>
    <n v="16667"/>
    <x v="87"/>
    <x v="87"/>
    <x v="5"/>
    <x v="5"/>
    <x v="2"/>
  </r>
  <r>
    <n v="5181"/>
    <x v="4"/>
    <s v="31-40 years"/>
    <n v="40"/>
    <x v="1"/>
    <x v="3"/>
    <x v="8"/>
    <s v="Normal"/>
    <n v="-1.0134224999999999"/>
    <x v="10"/>
    <x v="1"/>
    <n v="-1.1624711999999999"/>
    <n v="0"/>
    <s v="Normal"/>
    <n v="-1.1088359000000001"/>
    <n v="0"/>
    <n v="0"/>
    <x v="0"/>
    <n v="-1.0949099"/>
    <x v="72"/>
    <x v="1"/>
    <x v="1"/>
    <n v="12500"/>
    <n v="12500"/>
    <x v="49"/>
    <x v="49"/>
    <x v="5"/>
    <x v="5"/>
    <x v="2"/>
  </r>
  <r>
    <n v="5182"/>
    <x v="4"/>
    <s v="41-50 years"/>
    <n v="47"/>
    <x v="1"/>
    <x v="1"/>
    <x v="8"/>
    <s v="Normal"/>
    <n v="-1.0134224999999999"/>
    <x v="10"/>
    <x v="1"/>
    <n v="-1.1624711999999999"/>
    <n v="2"/>
    <s v="Normal"/>
    <n v="-0.91619854999999994"/>
    <n v="0.66666669999999995"/>
    <n v="1"/>
    <x v="0"/>
    <n v="-1.0306972999999999"/>
    <x v="68"/>
    <x v="1"/>
    <x v="1"/>
    <n v="10000"/>
    <n v="10000"/>
    <x v="26"/>
    <x v="26"/>
    <x v="5"/>
    <x v="5"/>
    <x v="2"/>
  </r>
  <r>
    <n v="5183"/>
    <x v="4"/>
    <s v="31-40 years"/>
    <n v="31"/>
    <x v="0"/>
    <x v="3"/>
    <x v="0"/>
    <s v="Normal"/>
    <n v="-0.41028870000000001"/>
    <x v="1"/>
    <x v="1"/>
    <n v="-0.77314866000000004"/>
    <n v="14"/>
    <s v="Moderate"/>
    <n v="0.23962580999999999"/>
    <n v="8"/>
    <n v="8"/>
    <x v="0"/>
    <n v="-0.31460384000000002"/>
    <x v="541"/>
    <x v="0"/>
    <x v="0"/>
    <n v="3333.3332999999998"/>
    <n v="3333"/>
    <x v="10"/>
    <x v="10"/>
    <x v="3"/>
    <x v="3"/>
    <x v="0"/>
  </r>
  <r>
    <n v="5184"/>
    <x v="4"/>
    <s v="31-40 years"/>
    <n v="38"/>
    <x v="1"/>
    <x v="3"/>
    <x v="8"/>
    <s v="Normal"/>
    <n v="-1.0134224999999999"/>
    <x v="10"/>
    <x v="1"/>
    <n v="-1.1624711999999999"/>
    <n v="0"/>
    <s v="Normal"/>
    <n v="-1.1088359000000001"/>
    <n v="0"/>
    <n v="0"/>
    <x v="0"/>
    <n v="-1.0949099"/>
    <x v="72"/>
    <x v="1"/>
    <x v="1"/>
    <n v="8400"/>
    <n v="8400"/>
    <x v="105"/>
    <x v="105"/>
    <x v="5"/>
    <x v="5"/>
    <x v="2"/>
  </r>
  <r>
    <n v="5185"/>
    <x v="4"/>
    <s v="41-50 years"/>
    <n v="45"/>
    <x v="0"/>
    <x v="3"/>
    <x v="8"/>
    <s v="Normal"/>
    <n v="-1.0134224999999999"/>
    <x v="2"/>
    <x v="1"/>
    <n v="-0.9678099"/>
    <n v="6"/>
    <s v="Normal"/>
    <n v="-0.53092379999999995"/>
    <n v="2.6666666999999999"/>
    <n v="3"/>
    <x v="0"/>
    <n v="-0.83738539999999995"/>
    <x v="515"/>
    <x v="1"/>
    <x v="1"/>
    <n v="30000"/>
    <n v="30000"/>
    <x v="84"/>
    <x v="84"/>
    <x v="5"/>
    <x v="5"/>
    <x v="2"/>
  </r>
  <r>
    <n v="5186"/>
    <x v="4"/>
    <s v="51-60 years"/>
    <n v="51"/>
    <x v="0"/>
    <x v="3"/>
    <x v="8"/>
    <s v="Normal"/>
    <n v="-1.0134224999999999"/>
    <x v="2"/>
    <x v="1"/>
    <n v="-0.9678099"/>
    <n v="2"/>
    <s v="Normal"/>
    <n v="-0.91619854999999994"/>
    <n v="1.3333333999999999"/>
    <n v="1"/>
    <x v="0"/>
    <n v="-0.96581030000000001"/>
    <x v="409"/>
    <x v="1"/>
    <x v="1"/>
    <n v="13333.333000000001"/>
    <n v="13333"/>
    <x v="76"/>
    <x v="76"/>
    <x v="5"/>
    <x v="5"/>
    <x v="2"/>
  </r>
  <r>
    <n v="5187"/>
    <x v="4"/>
    <s v="41-50 years"/>
    <n v="45"/>
    <x v="0"/>
    <x v="3"/>
    <x v="8"/>
    <s v="Normal"/>
    <n v="-1.0134224999999999"/>
    <x v="10"/>
    <x v="1"/>
    <n v="-1.1624711999999999"/>
    <n v="0"/>
    <s v="Normal"/>
    <n v="-1.1088359000000001"/>
    <n v="0"/>
    <n v="0"/>
    <x v="0"/>
    <n v="-1.0949099"/>
    <x v="72"/>
    <x v="1"/>
    <x v="1"/>
    <n v="9000"/>
    <n v="9000"/>
    <x v="61"/>
    <x v="61"/>
    <x v="5"/>
    <x v="5"/>
    <x v="2"/>
  </r>
  <r>
    <n v="5188"/>
    <x v="4"/>
    <s v="31-40 years"/>
    <n v="34"/>
    <x v="0"/>
    <x v="3"/>
    <x v="8"/>
    <s v="Normal"/>
    <n v="-1.0134224999999999"/>
    <x v="10"/>
    <x v="1"/>
    <n v="-1.1624711999999999"/>
    <n v="4"/>
    <s v="Normal"/>
    <n v="-0.72356116999999998"/>
    <n v="1.3333333999999999"/>
    <n v="1"/>
    <x v="0"/>
    <n v="-0.96648495999999995"/>
    <x v="397"/>
    <x v="1"/>
    <x v="1"/>
    <n v="6666.6665000000003"/>
    <n v="6667"/>
    <x v="21"/>
    <x v="21"/>
    <x v="2"/>
    <x v="2"/>
    <x v="2"/>
  </r>
  <r>
    <n v="5189"/>
    <x v="4"/>
    <s v="41-50 years"/>
    <n v="49"/>
    <x v="0"/>
    <x v="3"/>
    <x v="8"/>
    <s v="Normal"/>
    <n v="-1.0134224999999999"/>
    <x v="10"/>
    <x v="1"/>
    <n v="-1.1624711999999999"/>
    <n v="0"/>
    <s v="Normal"/>
    <n v="-1.1088359000000001"/>
    <n v="0"/>
    <n v="0"/>
    <x v="0"/>
    <n v="-1.0949099"/>
    <x v="72"/>
    <x v="1"/>
    <x v="1"/>
    <n v="6000"/>
    <n v="6000"/>
    <x v="6"/>
    <x v="6"/>
    <x v="2"/>
    <x v="2"/>
    <x v="2"/>
  </r>
  <r>
    <n v="5190"/>
    <x v="4"/>
    <s v="51-60 years"/>
    <n v="55"/>
    <x v="0"/>
    <x v="0"/>
    <x v="4"/>
    <s v="Normal"/>
    <n v="-0.61133329999999997"/>
    <x v="2"/>
    <x v="1"/>
    <n v="-0.9678099"/>
    <n v="8"/>
    <s v="Normal"/>
    <n v="-0.33828637"/>
    <n v="4.6666664999999998"/>
    <n v="5"/>
    <x v="0"/>
    <n v="-0.63914320000000002"/>
    <x v="542"/>
    <x v="1"/>
    <x v="1"/>
    <n v="5000"/>
    <n v="5000"/>
    <x v="2"/>
    <x v="2"/>
    <x v="1"/>
    <x v="1"/>
    <x v="1"/>
  </r>
  <r>
    <n v="5191"/>
    <x v="4"/>
    <s v="31-40 years"/>
    <n v="40"/>
    <x v="1"/>
    <x v="1"/>
    <x v="4"/>
    <s v="Normal"/>
    <n v="-0.61133329999999997"/>
    <x v="4"/>
    <x v="0"/>
    <n v="0.20015757000000001"/>
    <n v="24"/>
    <s v="Severe"/>
    <n v="1.2028128"/>
    <n v="14"/>
    <n v="14"/>
    <x v="1"/>
    <n v="0.26387899999999997"/>
    <x v="543"/>
    <x v="0"/>
    <x v="0"/>
    <n v="5000"/>
    <n v="5000"/>
    <x v="2"/>
    <x v="2"/>
    <x v="1"/>
    <x v="1"/>
    <x v="1"/>
  </r>
  <r>
    <n v="5192"/>
    <x v="4"/>
    <s v="31-40 years"/>
    <n v="37"/>
    <x v="1"/>
    <x v="0"/>
    <x v="8"/>
    <s v="Normal"/>
    <n v="-1.0134224999999999"/>
    <x v="2"/>
    <x v="1"/>
    <n v="-0.9678099"/>
    <n v="0"/>
    <s v="Normal"/>
    <n v="-1.1088359000000001"/>
    <n v="0.66666669999999995"/>
    <n v="1"/>
    <x v="0"/>
    <n v="-1.0300227"/>
    <x v="411"/>
    <x v="1"/>
    <x v="1"/>
    <n v="4400"/>
    <n v="4400"/>
    <x v="59"/>
    <x v="59"/>
    <x v="3"/>
    <x v="3"/>
    <x v="0"/>
  </r>
  <r>
    <n v="5193"/>
    <x v="4"/>
    <s v="41-50 years"/>
    <n v="42"/>
    <x v="1"/>
    <x v="4"/>
    <x v="1"/>
    <s v="Normal"/>
    <n v="-0.81237789999999999"/>
    <x v="1"/>
    <x v="1"/>
    <n v="-0.77314866000000004"/>
    <n v="0"/>
    <s v="Normal"/>
    <n v="-1.1088359000000001"/>
    <n v="2"/>
    <n v="2"/>
    <x v="0"/>
    <n v="-0.89812080000000005"/>
    <x v="349"/>
    <x v="1"/>
    <x v="1"/>
    <n v="4285.7143999999998"/>
    <n v="4286"/>
    <x v="53"/>
    <x v="53"/>
    <x v="3"/>
    <x v="3"/>
    <x v="0"/>
  </r>
  <r>
    <n v="5194"/>
    <x v="4"/>
    <s v="51-60 years"/>
    <n v="59"/>
    <x v="0"/>
    <x v="3"/>
    <x v="8"/>
    <s v="Normal"/>
    <n v="-1.0134224999999999"/>
    <x v="2"/>
    <x v="1"/>
    <n v="-0.9678099"/>
    <n v="0"/>
    <s v="Normal"/>
    <n v="-1.1088359000000001"/>
    <n v="0.66666669999999995"/>
    <n v="1"/>
    <x v="0"/>
    <n v="-1.0300227"/>
    <x v="411"/>
    <x v="1"/>
    <x v="1"/>
    <n v="15000"/>
    <n v="15000"/>
    <x v="46"/>
    <x v="46"/>
    <x v="5"/>
    <x v="5"/>
    <x v="2"/>
  </r>
  <r>
    <n v="5196"/>
    <x v="4"/>
    <s v="41-50 years"/>
    <n v="49"/>
    <x v="1"/>
    <x v="1"/>
    <x v="8"/>
    <s v="Normal"/>
    <n v="-1.0134224999999999"/>
    <x v="0"/>
    <x v="0"/>
    <n v="5.496318E-3"/>
    <n v="6"/>
    <s v="Normal"/>
    <n v="-0.53092379999999995"/>
    <n v="6"/>
    <n v="6"/>
    <x v="0"/>
    <n v="-0.51295000000000002"/>
    <x v="544"/>
    <x v="0"/>
    <x v="0"/>
    <n v="2800"/>
    <n v="2800"/>
    <x v="32"/>
    <x v="32"/>
    <x v="4"/>
    <x v="4"/>
    <x v="0"/>
  </r>
  <r>
    <n v="5198"/>
    <x v="4"/>
    <s v="31-40 years"/>
    <n v="32"/>
    <x v="1"/>
    <x v="1"/>
    <x v="4"/>
    <s v="Normal"/>
    <n v="-0.61133329999999997"/>
    <x v="1"/>
    <x v="1"/>
    <n v="-0.77314866000000004"/>
    <n v="16"/>
    <s v="Moderate"/>
    <n v="0.43226320000000001"/>
    <n v="8"/>
    <n v="8"/>
    <x v="0"/>
    <n v="-0.31740626999999999"/>
    <x v="545"/>
    <x v="0"/>
    <x v="0"/>
    <n v="8333.3330000000005"/>
    <n v="8333"/>
    <x v="20"/>
    <x v="20"/>
    <x v="5"/>
    <x v="5"/>
    <x v="2"/>
  </r>
  <r>
    <n v="5199"/>
    <x v="4"/>
    <s v="51-60 years"/>
    <n v="58"/>
    <x v="0"/>
    <x v="3"/>
    <x v="1"/>
    <s v="Normal"/>
    <n v="-0.81237789999999999"/>
    <x v="2"/>
    <x v="1"/>
    <n v="-0.9678099"/>
    <n v="8"/>
    <s v="Normal"/>
    <n v="-0.33828637"/>
    <n v="4"/>
    <n v="4"/>
    <x v="0"/>
    <n v="-0.70615804000000004"/>
    <x v="546"/>
    <x v="1"/>
    <x v="1"/>
    <n v="17500"/>
    <n v="17500"/>
    <x v="95"/>
    <x v="95"/>
    <x v="5"/>
    <x v="5"/>
    <x v="2"/>
  </r>
  <r>
    <n v="5200"/>
    <x v="4"/>
    <s v="31-40 years"/>
    <n v="38"/>
    <x v="0"/>
    <x v="3"/>
    <x v="1"/>
    <s v="Normal"/>
    <n v="-0.81237789999999999"/>
    <x v="10"/>
    <x v="1"/>
    <n v="-1.1624711999999999"/>
    <n v="8"/>
    <s v="Normal"/>
    <n v="-0.33828637"/>
    <n v="3.3333333000000001"/>
    <n v="3"/>
    <x v="0"/>
    <n v="-0.77104514999999996"/>
    <x v="547"/>
    <x v="1"/>
    <x v="1"/>
    <n v="10000"/>
    <n v="10000"/>
    <x v="26"/>
    <x v="26"/>
    <x v="5"/>
    <x v="5"/>
    <x v="2"/>
  </r>
  <r>
    <n v="5201"/>
    <x v="4"/>
    <s v="51-60 years"/>
    <n v="54"/>
    <x v="1"/>
    <x v="0"/>
    <x v="7"/>
    <s v="Moderate"/>
    <n v="0.19284514999999999"/>
    <x v="3"/>
    <x v="0"/>
    <n v="0.39481880000000003"/>
    <n v="18"/>
    <s v="Moderate"/>
    <n v="0.62490060000000003"/>
    <n v="15.333333"/>
    <n v="15"/>
    <x v="1"/>
    <n v="0.4041882"/>
    <x v="548"/>
    <x v="0"/>
    <x v="0"/>
    <n v="6000"/>
    <n v="6000"/>
    <x v="6"/>
    <x v="6"/>
    <x v="2"/>
    <x v="2"/>
    <x v="2"/>
  </r>
  <r>
    <n v="5202"/>
    <x v="4"/>
    <s v="51-60 years"/>
    <n v="55"/>
    <x v="0"/>
    <x v="0"/>
    <x v="8"/>
    <s v="Normal"/>
    <n v="-1.0134224999999999"/>
    <x v="2"/>
    <x v="1"/>
    <n v="-0.9678099"/>
    <n v="0"/>
    <s v="Normal"/>
    <n v="-1.1088359000000001"/>
    <n v="0.66666669999999995"/>
    <n v="1"/>
    <x v="0"/>
    <n v="-1.0300227"/>
    <x v="411"/>
    <x v="1"/>
    <x v="1"/>
    <n v="2000"/>
    <n v="2000"/>
    <x v="11"/>
    <x v="11"/>
    <x v="4"/>
    <x v="4"/>
    <x v="0"/>
  </r>
  <r>
    <n v="6001"/>
    <x v="5"/>
    <s v="51-60 years"/>
    <n v="54"/>
    <x v="1"/>
    <x v="1"/>
    <x v="0"/>
    <s v="Normal"/>
    <n v="-0.41028870000000001"/>
    <x v="2"/>
    <x v="1"/>
    <n v="-0.9678099"/>
    <n v="4"/>
    <s v="Normal"/>
    <n v="-0.72356116999999998"/>
    <n v="4"/>
    <n v="4"/>
    <x v="0"/>
    <n v="-0.70055323999999997"/>
    <x v="60"/>
    <x v="1"/>
    <x v="1"/>
    <n v="16000"/>
    <n v="16000"/>
    <x v="106"/>
    <x v="106"/>
    <x v="5"/>
    <x v="5"/>
    <x v="2"/>
  </r>
  <r>
    <n v="6002"/>
    <x v="5"/>
    <s v="21-30 years"/>
    <n v="25"/>
    <x v="0"/>
    <x v="3"/>
    <x v="12"/>
    <s v="Moderate"/>
    <n v="0.79597896000000001"/>
    <x v="11"/>
    <x v="2"/>
    <n v="1.3681251000000001"/>
    <n v="30"/>
    <s v="Severe"/>
    <n v="1.7807249999999999"/>
    <n v="24.666665999999999"/>
    <n v="25"/>
    <x v="2"/>
    <n v="1.3149431"/>
    <x v="549"/>
    <x v="2"/>
    <x v="2"/>
    <n v="7500"/>
    <n v="7500"/>
    <x v="13"/>
    <x v="13"/>
    <x v="5"/>
    <x v="5"/>
    <x v="2"/>
  </r>
  <r>
    <n v="6003"/>
    <x v="5"/>
    <s v="21-30 years"/>
    <n v="30"/>
    <x v="1"/>
    <x v="3"/>
    <x v="20"/>
    <s v="Extremely Severe"/>
    <n v="3.2085145000000002"/>
    <x v="19"/>
    <x v="3"/>
    <n v="2.3414313999999998"/>
    <n v="40"/>
    <s v="Extremely Severe"/>
    <n v="2.7439119999999999"/>
    <n v="39.333331999999999"/>
    <n v="39"/>
    <x v="3"/>
    <n v="2.7646193999999999"/>
    <x v="550"/>
    <x v="4"/>
    <x v="3"/>
    <n v="2142.8571999999999"/>
    <n v="2143"/>
    <x v="98"/>
    <x v="98"/>
    <x v="4"/>
    <x v="4"/>
    <x v="0"/>
  </r>
  <r>
    <n v="6004"/>
    <x v="5"/>
    <s v="21-30 years"/>
    <n v="25"/>
    <x v="1"/>
    <x v="1"/>
    <x v="16"/>
    <s v="Extremely Severe"/>
    <n v="2.4043359999999998"/>
    <x v="16"/>
    <x v="3"/>
    <n v="2.1467700000000001"/>
    <n v="36"/>
    <s v="Extremely Severe"/>
    <n v="2.3586369999999999"/>
    <n v="34.666668000000001"/>
    <n v="35"/>
    <x v="3"/>
    <n v="2.3032477"/>
    <x v="551"/>
    <x v="3"/>
    <x v="3"/>
    <n v="2250"/>
    <n v="2250"/>
    <x v="36"/>
    <x v="36"/>
    <x v="4"/>
    <x v="4"/>
    <x v="0"/>
  </r>
  <r>
    <n v="6005"/>
    <x v="5"/>
    <s v="41-50 years"/>
    <n v="42"/>
    <x v="1"/>
    <x v="3"/>
    <x v="3"/>
    <s v="Normal"/>
    <n v="-8.1994660000000007E-3"/>
    <x v="7"/>
    <x v="1"/>
    <n v="-0.38382620000000001"/>
    <n v="12"/>
    <s v="Moderate"/>
    <n v="4.6988415999999998E-2"/>
    <n v="10"/>
    <n v="10"/>
    <x v="0"/>
    <n v="-0.11501241500000001"/>
    <x v="205"/>
    <x v="0"/>
    <x v="0"/>
    <n v="4000"/>
    <n v="4000"/>
    <x v="7"/>
    <x v="7"/>
    <x v="3"/>
    <x v="3"/>
    <x v="0"/>
  </r>
  <r>
    <n v="6006"/>
    <x v="5"/>
    <s v="41-50 years"/>
    <n v="45"/>
    <x v="1"/>
    <x v="0"/>
    <x v="18"/>
    <s v="Extremely Severe"/>
    <n v="2.6053804999999999"/>
    <x v="16"/>
    <x v="3"/>
    <n v="2.1467700000000001"/>
    <n v="30"/>
    <s v="Severe"/>
    <n v="1.7807249999999999"/>
    <n v="33.333331999999999"/>
    <n v="33"/>
    <x v="3"/>
    <n v="2.1776252"/>
    <x v="552"/>
    <x v="3"/>
    <x v="3"/>
    <n v="5000"/>
    <n v="5000"/>
    <x v="2"/>
    <x v="2"/>
    <x v="1"/>
    <x v="1"/>
    <x v="1"/>
  </r>
  <r>
    <n v="6007"/>
    <x v="5"/>
    <s v="21-30 years"/>
    <n v="30"/>
    <x v="1"/>
    <x v="1"/>
    <x v="16"/>
    <s v="Extremely Severe"/>
    <n v="2.4043359999999998"/>
    <x v="13"/>
    <x v="3"/>
    <n v="1.9521089"/>
    <n v="38"/>
    <s v="Extremely Severe"/>
    <n v="2.5512744999999999"/>
    <n v="34.666668000000001"/>
    <n v="35"/>
    <x v="3"/>
    <n v="2.3025731999999999"/>
    <x v="553"/>
    <x v="3"/>
    <x v="3"/>
    <n v="2000"/>
    <n v="2000"/>
    <x v="11"/>
    <x v="11"/>
    <x v="4"/>
    <x v="4"/>
    <x v="0"/>
  </r>
  <r>
    <n v="6008"/>
    <x v="5"/>
    <s v="21-30 years"/>
    <n v="30"/>
    <x v="1"/>
    <x v="1"/>
    <x v="19"/>
    <s v="Extremely Severe"/>
    <n v="2.8064249999999999"/>
    <x v="16"/>
    <x v="3"/>
    <n v="2.1467700000000001"/>
    <n v="34"/>
    <s v="Extremely Severe"/>
    <n v="2.1659999999999999"/>
    <n v="35.333331999999999"/>
    <n v="35"/>
    <x v="3"/>
    <n v="2.373065"/>
    <x v="554"/>
    <x v="3"/>
    <x v="3"/>
    <n v="2142.8571999999999"/>
    <n v="2143"/>
    <x v="98"/>
    <x v="98"/>
    <x v="4"/>
    <x v="4"/>
    <x v="0"/>
  </r>
  <r>
    <n v="6009"/>
    <x v="5"/>
    <s v="41-50 years"/>
    <n v="45"/>
    <x v="1"/>
    <x v="1"/>
    <x v="18"/>
    <s v="Extremely Severe"/>
    <n v="2.6053804999999999"/>
    <x v="15"/>
    <x v="2"/>
    <n v="1.7574476000000001"/>
    <n v="36"/>
    <s v="Extremely Severe"/>
    <n v="2.3586369999999999"/>
    <n v="34"/>
    <n v="34"/>
    <x v="3"/>
    <n v="2.2404885000000001"/>
    <x v="555"/>
    <x v="3"/>
    <x v="3"/>
    <n v="2500"/>
    <n v="2500"/>
    <x v="12"/>
    <x v="12"/>
    <x v="4"/>
    <x v="4"/>
    <x v="0"/>
  </r>
  <r>
    <n v="6010"/>
    <x v="5"/>
    <s v="21-30 years"/>
    <n v="25"/>
    <x v="1"/>
    <x v="1"/>
    <x v="16"/>
    <s v="Extremely Severe"/>
    <n v="2.4043359999999998"/>
    <x v="16"/>
    <x v="3"/>
    <n v="2.1467700000000001"/>
    <n v="32"/>
    <s v="Extremely Severe"/>
    <n v="1.9733623"/>
    <n v="33.333331999999999"/>
    <n v="33"/>
    <x v="3"/>
    <n v="2.1748227999999998"/>
    <x v="556"/>
    <x v="3"/>
    <x v="3"/>
    <n v="2500"/>
    <n v="2500"/>
    <x v="12"/>
    <x v="12"/>
    <x v="4"/>
    <x v="4"/>
    <x v="0"/>
  </r>
  <r>
    <n v="6011"/>
    <x v="5"/>
    <s v="21-30 years"/>
    <n v="30"/>
    <x v="1"/>
    <x v="3"/>
    <x v="17"/>
    <s v="Severe"/>
    <n v="2.0022465999999999"/>
    <x v="15"/>
    <x v="2"/>
    <n v="1.7574476000000001"/>
    <n v="30"/>
    <s v="Severe"/>
    <n v="1.7807249999999999"/>
    <n v="30"/>
    <n v="30"/>
    <x v="2"/>
    <n v="1.8468064"/>
    <x v="557"/>
    <x v="3"/>
    <x v="3"/>
    <n v="5250"/>
    <n v="5250"/>
    <x v="63"/>
    <x v="63"/>
    <x v="1"/>
    <x v="1"/>
    <x v="1"/>
  </r>
  <r>
    <n v="6012"/>
    <x v="5"/>
    <s v="21-30 years"/>
    <n v="25"/>
    <x v="1"/>
    <x v="3"/>
    <x v="16"/>
    <s v="Extremely Severe"/>
    <n v="2.4043359999999998"/>
    <x v="16"/>
    <x v="3"/>
    <n v="2.1467700000000001"/>
    <n v="36"/>
    <s v="Extremely Severe"/>
    <n v="2.3586369999999999"/>
    <n v="34.666668000000001"/>
    <n v="35"/>
    <x v="3"/>
    <n v="2.3032477"/>
    <x v="551"/>
    <x v="3"/>
    <x v="3"/>
    <n v="5000"/>
    <n v="5000"/>
    <x v="2"/>
    <x v="2"/>
    <x v="1"/>
    <x v="1"/>
    <x v="1"/>
  </r>
  <r>
    <n v="6013"/>
    <x v="5"/>
    <s v="21-30 years"/>
    <n v="25"/>
    <x v="1"/>
    <x v="3"/>
    <x v="16"/>
    <s v="Extremely Severe"/>
    <n v="2.4043359999999998"/>
    <x v="16"/>
    <x v="3"/>
    <n v="2.1467700000000001"/>
    <n v="34"/>
    <s v="Extremely Severe"/>
    <n v="2.1659999999999999"/>
    <n v="34"/>
    <n v="34"/>
    <x v="3"/>
    <n v="2.2390354000000001"/>
    <x v="301"/>
    <x v="3"/>
    <x v="3"/>
    <n v="3333.3332999999998"/>
    <n v="3333"/>
    <x v="10"/>
    <x v="10"/>
    <x v="3"/>
    <x v="3"/>
    <x v="0"/>
  </r>
  <r>
    <n v="6014"/>
    <x v="5"/>
    <s v="31-40 years"/>
    <n v="35"/>
    <x v="1"/>
    <x v="1"/>
    <x v="12"/>
    <s v="Moderate"/>
    <n v="0.79597896000000001"/>
    <x v="6"/>
    <x v="0"/>
    <n v="0.58948003999999998"/>
    <n v="18"/>
    <s v="Moderate"/>
    <n v="0.62490060000000003"/>
    <n v="18"/>
    <n v="18"/>
    <x v="1"/>
    <n v="0.67011989999999999"/>
    <x v="558"/>
    <x v="2"/>
    <x v="2"/>
    <n v="2000"/>
    <n v="2000"/>
    <x v="11"/>
    <x v="11"/>
    <x v="4"/>
    <x v="4"/>
    <x v="0"/>
  </r>
  <r>
    <n v="6015"/>
    <x v="5"/>
    <s v="31-40 years"/>
    <n v="32"/>
    <x v="1"/>
    <x v="2"/>
    <x v="7"/>
    <s v="Moderate"/>
    <n v="0.19284514999999999"/>
    <x v="8"/>
    <x v="1"/>
    <n v="-0.18916494"/>
    <n v="14"/>
    <s v="Moderate"/>
    <n v="0.23962580999999999"/>
    <n v="12"/>
    <n v="12"/>
    <x v="1"/>
    <n v="8.1102006000000004E-2"/>
    <x v="559"/>
    <x v="0"/>
    <x v="0"/>
    <n v="2500"/>
    <n v="2500"/>
    <x v="12"/>
    <x v="12"/>
    <x v="4"/>
    <x v="4"/>
    <x v="0"/>
  </r>
  <r>
    <n v="6016"/>
    <x v="5"/>
    <s v="31-40 years"/>
    <n v="36"/>
    <x v="1"/>
    <x v="1"/>
    <x v="11"/>
    <s v="Moderate"/>
    <n v="0.99702360000000001"/>
    <x v="17"/>
    <x v="0"/>
    <n v="0.78414130000000004"/>
    <n v="22"/>
    <s v="Severe"/>
    <n v="1.0101753"/>
    <n v="20.666665999999999"/>
    <n v="21"/>
    <x v="2"/>
    <n v="0.93044674000000005"/>
    <x v="312"/>
    <x v="2"/>
    <x v="2"/>
    <n v="2571.4285"/>
    <n v="2571"/>
    <x v="43"/>
    <x v="43"/>
    <x v="4"/>
    <x v="4"/>
    <x v="0"/>
  </r>
  <r>
    <n v="6017"/>
    <x v="5"/>
    <s v="41-50 years"/>
    <n v="45"/>
    <x v="1"/>
    <x v="1"/>
    <x v="6"/>
    <s v="Moderate"/>
    <n v="0.59493434000000001"/>
    <x v="17"/>
    <x v="0"/>
    <n v="0.78414130000000004"/>
    <n v="22"/>
    <s v="Severe"/>
    <n v="1.0101753"/>
    <n v="19.333334000000001"/>
    <n v="19"/>
    <x v="1"/>
    <n v="0.79641700000000004"/>
    <x v="560"/>
    <x v="2"/>
    <x v="2"/>
    <n v="3714.2856000000002"/>
    <n v="3714"/>
    <x v="65"/>
    <x v="65"/>
    <x v="3"/>
    <x v="3"/>
    <x v="0"/>
  </r>
  <r>
    <n v="6018"/>
    <x v="5"/>
    <s v="21-30 years"/>
    <n v="26"/>
    <x v="1"/>
    <x v="2"/>
    <x v="2"/>
    <s v="Normal"/>
    <n v="-0.20924408999999999"/>
    <x v="1"/>
    <x v="1"/>
    <n v="-0.77314866000000004"/>
    <n v="16"/>
    <s v="Moderate"/>
    <n v="0.43226320000000001"/>
    <n v="9.3333329999999997"/>
    <n v="9"/>
    <x v="0"/>
    <n v="-0.18337651999999999"/>
    <x v="561"/>
    <x v="0"/>
    <x v="0"/>
    <n v="3000"/>
    <n v="3000"/>
    <x v="22"/>
    <x v="22"/>
    <x v="3"/>
    <x v="3"/>
    <x v="0"/>
  </r>
  <r>
    <n v="6019"/>
    <x v="5"/>
    <s v="21-30 years"/>
    <n v="27"/>
    <x v="1"/>
    <x v="1"/>
    <x v="12"/>
    <s v="Moderate"/>
    <n v="0.79597896000000001"/>
    <x v="9"/>
    <x v="2"/>
    <n v="0.97880255999999999"/>
    <n v="24"/>
    <s v="Severe"/>
    <n v="1.2028128"/>
    <n v="21.333334000000001"/>
    <n v="21"/>
    <x v="2"/>
    <n v="0.99253139999999995"/>
    <x v="208"/>
    <x v="2"/>
    <x v="2"/>
    <n v="6000"/>
    <n v="6000"/>
    <x v="6"/>
    <x v="6"/>
    <x v="2"/>
    <x v="2"/>
    <x v="2"/>
  </r>
  <r>
    <n v="6020"/>
    <x v="5"/>
    <s v="31-40 years"/>
    <n v="35"/>
    <x v="1"/>
    <x v="1"/>
    <x v="2"/>
    <s v="Normal"/>
    <n v="-0.20924408999999999"/>
    <x v="7"/>
    <x v="1"/>
    <n v="-0.38382620000000001"/>
    <n v="10"/>
    <s v="Normal"/>
    <n v="-0.14564899000000001"/>
    <n v="8.6666670000000003"/>
    <n v="9"/>
    <x v="0"/>
    <n v="-0.24623975000000001"/>
    <x v="28"/>
    <x v="0"/>
    <x v="0"/>
    <n v="2000"/>
    <n v="2000"/>
    <x v="11"/>
    <x v="11"/>
    <x v="4"/>
    <x v="4"/>
    <x v="0"/>
  </r>
  <r>
    <n v="6021"/>
    <x v="5"/>
    <s v="21-30 years"/>
    <n v="30"/>
    <x v="1"/>
    <x v="1"/>
    <x v="3"/>
    <s v="Normal"/>
    <n v="-8.1994660000000007E-3"/>
    <x v="5"/>
    <x v="1"/>
    <n v="-0.57848745999999995"/>
    <n v="12"/>
    <s v="Moderate"/>
    <n v="4.6988415999999998E-2"/>
    <n v="9.3333329999999997"/>
    <n v="9"/>
    <x v="0"/>
    <n v="-0.17989949999999999"/>
    <x v="562"/>
    <x v="0"/>
    <x v="0"/>
    <n v="6000"/>
    <n v="6000"/>
    <x v="6"/>
    <x v="6"/>
    <x v="2"/>
    <x v="2"/>
    <x v="2"/>
  </r>
  <r>
    <n v="6022"/>
    <x v="5"/>
    <s v="41-50 years"/>
    <n v="45"/>
    <x v="1"/>
    <x v="1"/>
    <x v="6"/>
    <s v="Moderate"/>
    <n v="0.59493434000000001"/>
    <x v="8"/>
    <x v="1"/>
    <n v="-0.18916494"/>
    <n v="16"/>
    <s v="Moderate"/>
    <n v="0.43226320000000001"/>
    <n v="14"/>
    <n v="14"/>
    <x v="1"/>
    <n v="0.27934419999999999"/>
    <x v="563"/>
    <x v="0"/>
    <x v="0"/>
    <n v="6000"/>
    <n v="6000"/>
    <x v="6"/>
    <x v="6"/>
    <x v="2"/>
    <x v="2"/>
    <x v="2"/>
  </r>
  <r>
    <n v="6023"/>
    <x v="5"/>
    <s v="21-30 years"/>
    <n v="27"/>
    <x v="1"/>
    <x v="3"/>
    <x v="7"/>
    <s v="Moderate"/>
    <n v="0.19284514999999999"/>
    <x v="8"/>
    <x v="1"/>
    <n v="-0.18916494"/>
    <n v="16"/>
    <s v="Moderate"/>
    <n v="0.43226320000000001"/>
    <n v="12.666667"/>
    <n v="13"/>
    <x v="1"/>
    <n v="0.14531447"/>
    <x v="30"/>
    <x v="0"/>
    <x v="0"/>
    <n v="3000"/>
    <n v="3000"/>
    <x v="22"/>
    <x v="22"/>
    <x v="3"/>
    <x v="3"/>
    <x v="0"/>
  </r>
  <r>
    <n v="6024"/>
    <x v="5"/>
    <s v="51-60 years"/>
    <n v="59"/>
    <x v="1"/>
    <x v="5"/>
    <x v="13"/>
    <s v="Severe"/>
    <n v="1.3991127999999999"/>
    <x v="9"/>
    <x v="2"/>
    <n v="0.97880255999999999"/>
    <n v="16"/>
    <s v="Moderate"/>
    <n v="0.43226320000000001"/>
    <n v="20.666665999999999"/>
    <n v="21"/>
    <x v="2"/>
    <n v="0.93672619999999995"/>
    <x v="564"/>
    <x v="2"/>
    <x v="2"/>
    <n v="8333.3330000000005"/>
    <n v="8333"/>
    <x v="20"/>
    <x v="20"/>
    <x v="5"/>
    <x v="5"/>
    <x v="2"/>
  </r>
  <r>
    <n v="6025"/>
    <x v="5"/>
    <s v="31-40 years"/>
    <n v="31"/>
    <x v="0"/>
    <x v="3"/>
    <x v="2"/>
    <s v="Normal"/>
    <n v="-0.20924408999999999"/>
    <x v="8"/>
    <x v="1"/>
    <n v="-0.18916494"/>
    <n v="8"/>
    <s v="Normal"/>
    <n v="-0.33828637"/>
    <n v="8.6666670000000003"/>
    <n v="9"/>
    <x v="0"/>
    <n v="-0.24556512999999999"/>
    <x v="537"/>
    <x v="0"/>
    <x v="0"/>
    <n v="7500"/>
    <n v="7500"/>
    <x v="13"/>
    <x v="13"/>
    <x v="5"/>
    <x v="5"/>
    <x v="2"/>
  </r>
  <r>
    <n v="6026"/>
    <x v="5"/>
    <s v="21-30 years"/>
    <n v="26"/>
    <x v="1"/>
    <x v="3"/>
    <x v="18"/>
    <s v="Extremely Severe"/>
    <n v="2.6053804999999999"/>
    <x v="18"/>
    <x v="3"/>
    <n v="2.5360925000000001"/>
    <n v="36"/>
    <s v="Extremely Severe"/>
    <n v="2.3586369999999999"/>
    <n v="36.666668000000001"/>
    <n v="37"/>
    <x v="3"/>
    <n v="2.5000366999999999"/>
    <x v="565"/>
    <x v="4"/>
    <x v="3"/>
    <n v="3750"/>
    <n v="3750"/>
    <x v="15"/>
    <x v="15"/>
    <x v="3"/>
    <x v="3"/>
    <x v="0"/>
  </r>
  <r>
    <n v="6027"/>
    <x v="5"/>
    <s v="31-40 years"/>
    <n v="38"/>
    <x v="1"/>
    <x v="1"/>
    <x v="8"/>
    <s v="Normal"/>
    <n v="-1.0134224999999999"/>
    <x v="5"/>
    <x v="1"/>
    <n v="-0.57848745999999995"/>
    <n v="6"/>
    <s v="Normal"/>
    <n v="-0.53092379999999995"/>
    <n v="4"/>
    <n v="4"/>
    <x v="0"/>
    <n v="-0.70761125999999996"/>
    <x v="566"/>
    <x v="1"/>
    <x v="1"/>
    <n v="2000"/>
    <n v="2000"/>
    <x v="11"/>
    <x v="11"/>
    <x v="4"/>
    <x v="4"/>
    <x v="0"/>
  </r>
  <r>
    <n v="6028"/>
    <x v="5"/>
    <s v="41-50 years"/>
    <n v="42"/>
    <x v="1"/>
    <x v="1"/>
    <x v="6"/>
    <s v="Moderate"/>
    <n v="0.59493434000000001"/>
    <x v="14"/>
    <x v="2"/>
    <n v="1.5627863"/>
    <n v="24"/>
    <s v="Severe"/>
    <n v="1.2028128"/>
    <n v="22.666665999999999"/>
    <n v="23"/>
    <x v="2"/>
    <n v="1.1201779000000001"/>
    <x v="567"/>
    <x v="2"/>
    <x v="2"/>
    <n v="2500"/>
    <n v="2500"/>
    <x v="12"/>
    <x v="12"/>
    <x v="4"/>
    <x v="4"/>
    <x v="0"/>
  </r>
  <r>
    <n v="6029"/>
    <x v="5"/>
    <s v="21-30 years"/>
    <n v="28"/>
    <x v="0"/>
    <x v="3"/>
    <x v="4"/>
    <s v="Normal"/>
    <n v="-0.61133329999999997"/>
    <x v="8"/>
    <x v="1"/>
    <n v="-0.18916494"/>
    <n v="8"/>
    <s v="Normal"/>
    <n v="-0.33828637"/>
    <n v="7.3333335000000002"/>
    <n v="7"/>
    <x v="0"/>
    <n v="-0.37959485999999998"/>
    <x v="299"/>
    <x v="0"/>
    <x v="0"/>
    <n v="1666.6666"/>
    <n v="1667"/>
    <x v="1"/>
    <x v="1"/>
    <x v="0"/>
    <x v="0"/>
    <x v="0"/>
  </r>
  <r>
    <n v="6030"/>
    <x v="5"/>
    <s v="31-40 years"/>
    <n v="38"/>
    <x v="0"/>
    <x v="0"/>
    <x v="4"/>
    <s v="Normal"/>
    <n v="-0.61133329999999997"/>
    <x v="8"/>
    <x v="1"/>
    <n v="-0.18916494"/>
    <n v="8"/>
    <s v="Normal"/>
    <n v="-0.33828637"/>
    <n v="7.3333335000000002"/>
    <n v="7"/>
    <x v="0"/>
    <n v="-0.37959485999999998"/>
    <x v="299"/>
    <x v="0"/>
    <x v="0"/>
    <n v="4166.6665000000003"/>
    <n v="4167"/>
    <x v="24"/>
    <x v="24"/>
    <x v="3"/>
    <x v="3"/>
    <x v="0"/>
  </r>
  <r>
    <n v="6031"/>
    <x v="5"/>
    <s v="31-40 years"/>
    <n v="38"/>
    <x v="0"/>
    <x v="0"/>
    <x v="3"/>
    <s v="Normal"/>
    <n v="-8.1994660000000007E-3"/>
    <x v="1"/>
    <x v="1"/>
    <n v="-0.77314866000000004"/>
    <n v="6"/>
    <s v="Normal"/>
    <n v="-0.53092379999999995"/>
    <n v="6.6666664999999998"/>
    <n v="7"/>
    <x v="0"/>
    <n v="-0.43742397"/>
    <x v="444"/>
    <x v="0"/>
    <x v="0"/>
    <n v="6250"/>
    <n v="6250"/>
    <x v="27"/>
    <x v="27"/>
    <x v="2"/>
    <x v="2"/>
    <x v="2"/>
  </r>
  <r>
    <n v="6032"/>
    <x v="5"/>
    <s v="21-30 years"/>
    <n v="30"/>
    <x v="0"/>
    <x v="2"/>
    <x v="8"/>
    <s v="Normal"/>
    <n v="-1.0134224999999999"/>
    <x v="7"/>
    <x v="1"/>
    <n v="-0.38382620000000001"/>
    <n v="4"/>
    <s v="Normal"/>
    <n v="-0.72356116999999998"/>
    <n v="4"/>
    <n v="4"/>
    <x v="0"/>
    <n v="-0.70693660000000003"/>
    <x v="352"/>
    <x v="1"/>
    <x v="1"/>
    <n v="3750"/>
    <n v="3750"/>
    <x v="15"/>
    <x v="15"/>
    <x v="3"/>
    <x v="3"/>
    <x v="0"/>
  </r>
  <r>
    <n v="6033"/>
    <x v="5"/>
    <s v="21-30 years"/>
    <n v="30"/>
    <x v="0"/>
    <x v="0"/>
    <x v="0"/>
    <s v="Normal"/>
    <n v="-0.41028870000000001"/>
    <x v="1"/>
    <x v="1"/>
    <n v="-0.77314866000000004"/>
    <n v="0"/>
    <s v="Normal"/>
    <n v="-1.1088359000000001"/>
    <n v="3.3333333000000001"/>
    <n v="3"/>
    <x v="0"/>
    <n v="-0.76409110000000002"/>
    <x v="48"/>
    <x v="1"/>
    <x v="1"/>
    <n v="3750"/>
    <n v="3750"/>
    <x v="15"/>
    <x v="15"/>
    <x v="3"/>
    <x v="3"/>
    <x v="0"/>
  </r>
  <r>
    <n v="6034"/>
    <x v="5"/>
    <s v="21-30 years"/>
    <n v="30"/>
    <x v="1"/>
    <x v="1"/>
    <x v="1"/>
    <s v="Normal"/>
    <n v="-0.81237789999999999"/>
    <x v="7"/>
    <x v="1"/>
    <n v="-0.38382620000000001"/>
    <n v="4"/>
    <s v="Normal"/>
    <n v="-0.72356116999999998"/>
    <n v="4.6666664999999998"/>
    <n v="5"/>
    <x v="0"/>
    <n v="-0.63992179999999999"/>
    <x v="410"/>
    <x v="1"/>
    <x v="1"/>
    <n v="6250"/>
    <n v="6250"/>
    <x v="27"/>
    <x v="27"/>
    <x v="2"/>
    <x v="2"/>
    <x v="2"/>
  </r>
  <r>
    <n v="6035"/>
    <x v="5"/>
    <s v="21-30 years"/>
    <n v="26"/>
    <x v="0"/>
    <x v="4"/>
    <x v="1"/>
    <s v="Normal"/>
    <n v="-0.81237789999999999"/>
    <x v="2"/>
    <x v="1"/>
    <n v="-0.9678099"/>
    <n v="2"/>
    <s v="Normal"/>
    <n v="-0.91619854999999994"/>
    <n v="2"/>
    <n v="2"/>
    <x v="0"/>
    <n v="-0.89879549999999997"/>
    <x v="2"/>
    <x v="1"/>
    <x v="1"/>
    <n v="4000"/>
    <n v="4000"/>
    <x v="7"/>
    <x v="7"/>
    <x v="3"/>
    <x v="3"/>
    <x v="0"/>
  </r>
  <r>
    <n v="6036"/>
    <x v="5"/>
    <s v="41-50 years"/>
    <n v="41"/>
    <x v="0"/>
    <x v="3"/>
    <x v="2"/>
    <s v="Normal"/>
    <n v="-0.20924408999999999"/>
    <x v="2"/>
    <x v="1"/>
    <n v="-0.9678099"/>
    <n v="8"/>
    <s v="Normal"/>
    <n v="-0.33828637"/>
    <n v="6"/>
    <n v="6"/>
    <x v="0"/>
    <n v="-0.50511349999999999"/>
    <x v="180"/>
    <x v="0"/>
    <x v="0"/>
    <n v="7500"/>
    <n v="7500"/>
    <x v="13"/>
    <x v="13"/>
    <x v="5"/>
    <x v="5"/>
    <x v="2"/>
  </r>
  <r>
    <n v="6037"/>
    <x v="5"/>
    <s v="21-30 years"/>
    <n v="26"/>
    <x v="0"/>
    <x v="3"/>
    <x v="0"/>
    <s v="Normal"/>
    <n v="-0.41028870000000001"/>
    <x v="0"/>
    <x v="0"/>
    <n v="5.496318E-3"/>
    <n v="4"/>
    <s v="Normal"/>
    <n v="-0.72356116999999998"/>
    <n v="7.3333335000000002"/>
    <n v="7"/>
    <x v="0"/>
    <n v="-0.37611786000000003"/>
    <x v="568"/>
    <x v="0"/>
    <x v="0"/>
    <n v="6000"/>
    <n v="6000"/>
    <x v="6"/>
    <x v="6"/>
    <x v="2"/>
    <x v="2"/>
    <x v="2"/>
  </r>
  <r>
    <n v="6038"/>
    <x v="5"/>
    <s v="31-40 years"/>
    <n v="32"/>
    <x v="0"/>
    <x v="3"/>
    <x v="2"/>
    <s v="Normal"/>
    <n v="-0.20924408999999999"/>
    <x v="4"/>
    <x v="0"/>
    <n v="0.20015757000000001"/>
    <n v="16"/>
    <s v="Moderate"/>
    <n v="0.43226320000000001"/>
    <n v="12.666667"/>
    <n v="13"/>
    <x v="1"/>
    <n v="0.14105888999999999"/>
    <x v="569"/>
    <x v="0"/>
    <x v="0"/>
    <n v="5000"/>
    <n v="5000"/>
    <x v="2"/>
    <x v="2"/>
    <x v="1"/>
    <x v="1"/>
    <x v="1"/>
  </r>
  <r>
    <n v="6039"/>
    <x v="5"/>
    <s v="41-50 years"/>
    <n v="42"/>
    <x v="0"/>
    <x v="4"/>
    <x v="7"/>
    <s v="Moderate"/>
    <n v="0.19284514999999999"/>
    <x v="3"/>
    <x v="0"/>
    <n v="0.39481880000000003"/>
    <n v="10"/>
    <s v="Normal"/>
    <n v="-0.14564899000000001"/>
    <n v="12.666667"/>
    <n v="13"/>
    <x v="1"/>
    <n v="0.14733832999999999"/>
    <x v="570"/>
    <x v="0"/>
    <x v="0"/>
    <n v="5000"/>
    <n v="5000"/>
    <x v="2"/>
    <x v="2"/>
    <x v="1"/>
    <x v="1"/>
    <x v="1"/>
  </r>
  <r>
    <n v="6040"/>
    <x v="5"/>
    <s v="31-40 years"/>
    <n v="35"/>
    <x v="0"/>
    <x v="3"/>
    <x v="2"/>
    <s v="Normal"/>
    <n v="-0.20924408999999999"/>
    <x v="1"/>
    <x v="1"/>
    <n v="-0.77314866000000004"/>
    <n v="2"/>
    <s v="Normal"/>
    <n v="-0.91619854999999994"/>
    <n v="4.6666664999999998"/>
    <n v="5"/>
    <x v="0"/>
    <n v="-0.63286376"/>
    <x v="53"/>
    <x v="1"/>
    <x v="1"/>
    <n v="2500"/>
    <n v="2500"/>
    <x v="12"/>
    <x v="12"/>
    <x v="4"/>
    <x v="4"/>
    <x v="0"/>
  </r>
  <r>
    <n v="6041"/>
    <x v="5"/>
    <s v="31-40 years"/>
    <n v="35"/>
    <x v="1"/>
    <x v="3"/>
    <x v="8"/>
    <s v="Normal"/>
    <n v="-1.0134224999999999"/>
    <x v="7"/>
    <x v="1"/>
    <n v="-0.38382620000000001"/>
    <n v="4"/>
    <s v="Normal"/>
    <n v="-0.72356116999999998"/>
    <n v="4"/>
    <n v="4"/>
    <x v="0"/>
    <n v="-0.70693660000000003"/>
    <x v="352"/>
    <x v="1"/>
    <x v="1"/>
    <n v="5000"/>
    <n v="5000"/>
    <x v="2"/>
    <x v="2"/>
    <x v="1"/>
    <x v="1"/>
    <x v="1"/>
  </r>
  <r>
    <n v="6042"/>
    <x v="5"/>
    <s v="31-40 years"/>
    <n v="37"/>
    <x v="0"/>
    <x v="0"/>
    <x v="1"/>
    <s v="Normal"/>
    <n v="-0.81237789999999999"/>
    <x v="1"/>
    <x v="1"/>
    <n v="-0.77314866000000004"/>
    <n v="2"/>
    <s v="Normal"/>
    <n v="-0.91619854999999994"/>
    <n v="2.6666666999999999"/>
    <n v="3"/>
    <x v="0"/>
    <n v="-0.83390839999999999"/>
    <x v="1"/>
    <x v="1"/>
    <x v="1"/>
    <n v="5000"/>
    <n v="5000"/>
    <x v="2"/>
    <x v="2"/>
    <x v="1"/>
    <x v="1"/>
    <x v="1"/>
  </r>
  <r>
    <n v="6043"/>
    <x v="5"/>
    <s v="31-40 years"/>
    <n v="40"/>
    <x v="1"/>
    <x v="4"/>
    <x v="2"/>
    <s v="Normal"/>
    <n v="-0.20924408999999999"/>
    <x v="5"/>
    <x v="1"/>
    <n v="-0.57848745999999995"/>
    <n v="4"/>
    <s v="Normal"/>
    <n v="-0.72356116999999998"/>
    <n v="6"/>
    <n v="6"/>
    <x v="0"/>
    <n v="-0.5037642"/>
    <x v="65"/>
    <x v="0"/>
    <x v="0"/>
    <n v="6666.6665000000003"/>
    <n v="6667"/>
    <x v="21"/>
    <x v="21"/>
    <x v="2"/>
    <x v="2"/>
    <x v="2"/>
  </r>
  <r>
    <n v="6044"/>
    <x v="5"/>
    <s v="21-30 years"/>
    <n v="29"/>
    <x v="1"/>
    <x v="3"/>
    <x v="4"/>
    <s v="Normal"/>
    <n v="-0.61133329999999997"/>
    <x v="8"/>
    <x v="1"/>
    <n v="-0.18916494"/>
    <n v="6"/>
    <s v="Normal"/>
    <n v="-0.53092379999999995"/>
    <n v="6.6666664999999998"/>
    <n v="7"/>
    <x v="0"/>
    <n v="-0.44380733"/>
    <x v="23"/>
    <x v="0"/>
    <x v="0"/>
    <n v="7333.3334999999997"/>
    <n v="7333"/>
    <x v="54"/>
    <x v="54"/>
    <x v="2"/>
    <x v="2"/>
    <x v="2"/>
  </r>
  <r>
    <n v="6045"/>
    <x v="5"/>
    <s v="41-50 years"/>
    <n v="43"/>
    <x v="1"/>
    <x v="4"/>
    <x v="7"/>
    <s v="Moderate"/>
    <n v="0.19284514999999999"/>
    <x v="8"/>
    <x v="1"/>
    <n v="-0.18916494"/>
    <n v="10"/>
    <s v="Normal"/>
    <n v="-0.14564899000000001"/>
    <n v="10.666667"/>
    <n v="11"/>
    <x v="1"/>
    <n v="-4.7322925000000002E-2"/>
    <x v="326"/>
    <x v="0"/>
    <x v="0"/>
    <n v="5000"/>
    <n v="5000"/>
    <x v="2"/>
    <x v="2"/>
    <x v="1"/>
    <x v="1"/>
    <x v="1"/>
  </r>
  <r>
    <n v="6046"/>
    <x v="5"/>
    <s v="21-30 years"/>
    <n v="30"/>
    <x v="1"/>
    <x v="0"/>
    <x v="1"/>
    <s v="Normal"/>
    <n v="-0.81237789999999999"/>
    <x v="7"/>
    <x v="1"/>
    <n v="-0.38382620000000001"/>
    <n v="6"/>
    <s v="Normal"/>
    <n v="-0.53092379999999995"/>
    <n v="5.3333335000000002"/>
    <n v="5"/>
    <x v="0"/>
    <n v="-0.57570929999999998"/>
    <x v="412"/>
    <x v="0"/>
    <x v="0"/>
    <n v="6666.6665000000003"/>
    <n v="6667"/>
    <x v="21"/>
    <x v="21"/>
    <x v="2"/>
    <x v="2"/>
    <x v="2"/>
  </r>
  <r>
    <n v="6047"/>
    <x v="5"/>
    <s v="21-30 years"/>
    <n v="25"/>
    <x v="1"/>
    <x v="3"/>
    <x v="4"/>
    <s v="Normal"/>
    <n v="-0.61133329999999997"/>
    <x v="7"/>
    <x v="1"/>
    <n v="-0.38382620000000001"/>
    <n v="8"/>
    <s v="Normal"/>
    <n v="-0.33828637"/>
    <n v="6.6666664999999998"/>
    <n v="7"/>
    <x v="0"/>
    <n v="-0.44448197"/>
    <x v="460"/>
    <x v="0"/>
    <x v="0"/>
    <n v="3600"/>
    <n v="3600"/>
    <x v="31"/>
    <x v="31"/>
    <x v="3"/>
    <x v="3"/>
    <x v="0"/>
  </r>
  <r>
    <n v="6048"/>
    <x v="5"/>
    <s v="31-40 years"/>
    <n v="32"/>
    <x v="1"/>
    <x v="1"/>
    <x v="0"/>
    <s v="Normal"/>
    <n v="-0.41028870000000001"/>
    <x v="0"/>
    <x v="0"/>
    <n v="5.496318E-3"/>
    <n v="6"/>
    <s v="Normal"/>
    <n v="-0.53092379999999995"/>
    <n v="8"/>
    <n v="8"/>
    <x v="0"/>
    <n v="-0.31190538000000001"/>
    <x v="571"/>
    <x v="0"/>
    <x v="0"/>
    <n v="2400"/>
    <n v="2400"/>
    <x v="34"/>
    <x v="34"/>
    <x v="4"/>
    <x v="4"/>
    <x v="0"/>
  </r>
  <r>
    <n v="6049"/>
    <x v="5"/>
    <s v="31-40 years"/>
    <n v="35"/>
    <x v="0"/>
    <x v="0"/>
    <x v="7"/>
    <s v="Moderate"/>
    <n v="0.19284514999999999"/>
    <x v="5"/>
    <x v="1"/>
    <n v="-0.57848745999999995"/>
    <n v="10"/>
    <s v="Normal"/>
    <n v="-0.14564899000000001"/>
    <n v="9.3333329999999997"/>
    <n v="9"/>
    <x v="0"/>
    <n v="-0.17709710000000001"/>
    <x v="572"/>
    <x v="0"/>
    <x v="0"/>
    <n v="4166.6665000000003"/>
    <n v="4167"/>
    <x v="24"/>
    <x v="24"/>
    <x v="3"/>
    <x v="3"/>
    <x v="0"/>
  </r>
  <r>
    <n v="6050"/>
    <x v="5"/>
    <s v="31-40 years"/>
    <n v="38"/>
    <x v="1"/>
    <x v="3"/>
    <x v="1"/>
    <s v="Normal"/>
    <n v="-0.81237789999999999"/>
    <x v="1"/>
    <x v="1"/>
    <n v="-0.77314866000000004"/>
    <n v="6"/>
    <s v="Normal"/>
    <n v="-0.53092379999999995"/>
    <n v="4"/>
    <n v="4"/>
    <x v="0"/>
    <n v="-0.70548343999999996"/>
    <x v="66"/>
    <x v="1"/>
    <x v="1"/>
    <n v="7500"/>
    <n v="7500"/>
    <x v="13"/>
    <x v="13"/>
    <x v="5"/>
    <x v="5"/>
    <x v="2"/>
  </r>
  <r>
    <n v="6051"/>
    <x v="5"/>
    <s v="21-30 years"/>
    <n v="30"/>
    <x v="1"/>
    <x v="1"/>
    <x v="2"/>
    <s v="Normal"/>
    <n v="-0.20924408999999999"/>
    <x v="8"/>
    <x v="1"/>
    <n v="-0.18916494"/>
    <n v="4"/>
    <s v="Normal"/>
    <n v="-0.72356116999999998"/>
    <n v="7.3333335000000002"/>
    <n v="7"/>
    <x v="0"/>
    <n v="-0.37399006000000001"/>
    <x v="187"/>
    <x v="0"/>
    <x v="0"/>
    <n v="3200"/>
    <n v="3200"/>
    <x v="33"/>
    <x v="33"/>
    <x v="3"/>
    <x v="3"/>
    <x v="0"/>
  </r>
  <r>
    <n v="6052"/>
    <x v="5"/>
    <s v="21-30 years"/>
    <n v="25"/>
    <x v="1"/>
    <x v="3"/>
    <x v="5"/>
    <s v="Moderate"/>
    <n v="0.39388975999999998"/>
    <x v="8"/>
    <x v="1"/>
    <n v="-0.18916494"/>
    <n v="12"/>
    <s v="Moderate"/>
    <n v="4.6988415999999998E-2"/>
    <n v="12"/>
    <n v="12"/>
    <x v="1"/>
    <n v="8.3904414999999996E-2"/>
    <x v="479"/>
    <x v="0"/>
    <x v="0"/>
    <n v="3750"/>
    <n v="3750"/>
    <x v="15"/>
    <x v="15"/>
    <x v="3"/>
    <x v="3"/>
    <x v="0"/>
  </r>
  <r>
    <n v="6053"/>
    <x v="5"/>
    <s v="21-30 years"/>
    <n v="25"/>
    <x v="1"/>
    <x v="3"/>
    <x v="4"/>
    <s v="Normal"/>
    <n v="-0.61133329999999997"/>
    <x v="0"/>
    <x v="0"/>
    <n v="5.496318E-3"/>
    <n v="6"/>
    <s v="Normal"/>
    <n v="-0.53092379999999995"/>
    <n v="7.3333335000000002"/>
    <n v="7"/>
    <x v="0"/>
    <n v="-0.37892026000000001"/>
    <x v="453"/>
    <x v="0"/>
    <x v="0"/>
    <n v="4000"/>
    <n v="4000"/>
    <x v="7"/>
    <x v="7"/>
    <x v="3"/>
    <x v="3"/>
    <x v="0"/>
  </r>
  <r>
    <n v="6054"/>
    <x v="5"/>
    <s v="31-40 years"/>
    <n v="31"/>
    <x v="1"/>
    <x v="1"/>
    <x v="0"/>
    <s v="Normal"/>
    <n v="-0.41028870000000001"/>
    <x v="8"/>
    <x v="1"/>
    <n v="-0.18916494"/>
    <n v="8"/>
    <s v="Normal"/>
    <n v="-0.33828637"/>
    <n v="8"/>
    <n v="8"/>
    <x v="0"/>
    <n v="-0.31258000000000002"/>
    <x v="305"/>
    <x v="0"/>
    <x v="0"/>
    <n v="2000"/>
    <n v="2000"/>
    <x v="11"/>
    <x v="11"/>
    <x v="4"/>
    <x v="4"/>
    <x v="0"/>
  </r>
  <r>
    <n v="6055"/>
    <x v="5"/>
    <s v="31-40 years"/>
    <n v="31"/>
    <x v="1"/>
    <x v="1"/>
    <x v="4"/>
    <s v="Normal"/>
    <n v="-0.61133329999999997"/>
    <x v="4"/>
    <x v="0"/>
    <n v="0.20015757000000001"/>
    <n v="8"/>
    <s v="Normal"/>
    <n v="-0.33828637"/>
    <n v="8.6666670000000003"/>
    <n v="9"/>
    <x v="0"/>
    <n v="-0.24982071"/>
    <x v="573"/>
    <x v="0"/>
    <x v="0"/>
    <n v="5000"/>
    <n v="5000"/>
    <x v="2"/>
    <x v="2"/>
    <x v="1"/>
    <x v="1"/>
    <x v="1"/>
  </r>
  <r>
    <n v="6056"/>
    <x v="5"/>
    <s v="31-40 years"/>
    <n v="40"/>
    <x v="1"/>
    <x v="1"/>
    <x v="3"/>
    <s v="Normal"/>
    <n v="-8.1994660000000007E-3"/>
    <x v="7"/>
    <x v="1"/>
    <n v="-0.38382620000000001"/>
    <n v="4"/>
    <s v="Normal"/>
    <n v="-0.72356116999999998"/>
    <n v="7.3333335000000002"/>
    <n v="7"/>
    <x v="0"/>
    <n v="-0.37186226"/>
    <x v="373"/>
    <x v="0"/>
    <x v="0"/>
    <n v="2000"/>
    <n v="2000"/>
    <x v="11"/>
    <x v="11"/>
    <x v="4"/>
    <x v="4"/>
    <x v="0"/>
  </r>
  <r>
    <n v="6057"/>
    <x v="5"/>
    <s v="41-50 years"/>
    <n v="41"/>
    <x v="1"/>
    <x v="3"/>
    <x v="2"/>
    <s v="Normal"/>
    <n v="-0.20924408999999999"/>
    <x v="8"/>
    <x v="1"/>
    <n v="-0.18916494"/>
    <n v="6"/>
    <s v="Normal"/>
    <n v="-0.53092379999999995"/>
    <n v="8"/>
    <n v="8"/>
    <x v="0"/>
    <n v="-0.30977761999999998"/>
    <x v="428"/>
    <x v="0"/>
    <x v="0"/>
    <n v="2000"/>
    <n v="2000"/>
    <x v="11"/>
    <x v="11"/>
    <x v="4"/>
    <x v="4"/>
    <x v="0"/>
  </r>
  <r>
    <n v="6058"/>
    <x v="5"/>
    <s v="21-30 years"/>
    <n v="27"/>
    <x v="0"/>
    <x v="3"/>
    <x v="16"/>
    <s v="Extremely Severe"/>
    <n v="2.4043359999999998"/>
    <x v="19"/>
    <x v="3"/>
    <n v="2.3414313999999998"/>
    <n v="30"/>
    <s v="Severe"/>
    <n v="1.7807249999999999"/>
    <n v="33.333331999999999"/>
    <n v="33"/>
    <x v="3"/>
    <n v="2.1754975000000001"/>
    <x v="574"/>
    <x v="3"/>
    <x v="3"/>
    <n v="4000"/>
    <n v="4000"/>
    <x v="7"/>
    <x v="7"/>
    <x v="3"/>
    <x v="3"/>
    <x v="0"/>
  </r>
  <r>
    <n v="6059"/>
    <x v="5"/>
    <s v="21-30 years"/>
    <n v="29"/>
    <x v="1"/>
    <x v="3"/>
    <x v="4"/>
    <s v="Normal"/>
    <n v="-0.61133329999999997"/>
    <x v="8"/>
    <x v="1"/>
    <n v="-0.18916494"/>
    <n v="8"/>
    <s v="Normal"/>
    <n v="-0.33828637"/>
    <n v="7.3333335000000002"/>
    <n v="7"/>
    <x v="0"/>
    <n v="-0.37959485999999998"/>
    <x v="299"/>
    <x v="0"/>
    <x v="0"/>
    <n v="3750"/>
    <n v="3750"/>
    <x v="15"/>
    <x v="15"/>
    <x v="3"/>
    <x v="3"/>
    <x v="0"/>
  </r>
  <r>
    <n v="6060"/>
    <x v="5"/>
    <s v="21-30 years"/>
    <n v="27"/>
    <x v="1"/>
    <x v="3"/>
    <x v="8"/>
    <s v="Normal"/>
    <n v="-1.0134224999999999"/>
    <x v="8"/>
    <x v="1"/>
    <n v="-0.18916494"/>
    <n v="6"/>
    <s v="Normal"/>
    <n v="-0.53092379999999995"/>
    <n v="5.3333335000000002"/>
    <n v="5"/>
    <x v="0"/>
    <n v="-0.57783704999999996"/>
    <x v="506"/>
    <x v="0"/>
    <x v="0"/>
    <n v="2400"/>
    <n v="2400"/>
    <x v="34"/>
    <x v="34"/>
    <x v="4"/>
    <x v="4"/>
    <x v="0"/>
  </r>
  <r>
    <n v="6061"/>
    <x v="5"/>
    <s v="21-30 years"/>
    <n v="27"/>
    <x v="1"/>
    <x v="3"/>
    <x v="4"/>
    <s v="Normal"/>
    <n v="-0.61133329999999997"/>
    <x v="7"/>
    <x v="1"/>
    <n v="-0.38382620000000001"/>
    <n v="4"/>
    <s v="Normal"/>
    <n v="-0.72356116999999998"/>
    <n v="5.3333335000000002"/>
    <n v="5"/>
    <x v="0"/>
    <n v="-0.5729069"/>
    <x v="49"/>
    <x v="0"/>
    <x v="0"/>
    <n v="2400"/>
    <n v="2400"/>
    <x v="34"/>
    <x v="34"/>
    <x v="4"/>
    <x v="4"/>
    <x v="0"/>
  </r>
  <r>
    <n v="6062"/>
    <x v="5"/>
    <s v="31-40 years"/>
    <n v="32"/>
    <x v="1"/>
    <x v="4"/>
    <x v="2"/>
    <s v="Normal"/>
    <n v="-0.20924408999999999"/>
    <x v="5"/>
    <x v="1"/>
    <n v="-0.57848745999999995"/>
    <n v="6"/>
    <s v="Normal"/>
    <n v="-0.53092379999999995"/>
    <n v="6.6666664999999998"/>
    <n v="7"/>
    <x v="0"/>
    <n v="-0.43955177000000001"/>
    <x v="50"/>
    <x v="0"/>
    <x v="0"/>
    <n v="2500"/>
    <n v="2500"/>
    <x v="12"/>
    <x v="12"/>
    <x v="4"/>
    <x v="4"/>
    <x v="0"/>
  </r>
  <r>
    <n v="6063"/>
    <x v="5"/>
    <s v="21-30 years"/>
    <n v="28"/>
    <x v="1"/>
    <x v="3"/>
    <x v="15"/>
    <s v="Extremely Severe"/>
    <n v="2.2032911999999998"/>
    <x v="16"/>
    <x v="3"/>
    <n v="2.1467700000000001"/>
    <n v="32"/>
    <s v="Extremely Severe"/>
    <n v="1.9733623"/>
    <n v="32.666668000000001"/>
    <n v="33"/>
    <x v="3"/>
    <n v="2.1078079000000001"/>
    <x v="575"/>
    <x v="3"/>
    <x v="3"/>
    <n v="2500"/>
    <n v="2500"/>
    <x v="12"/>
    <x v="12"/>
    <x v="4"/>
    <x v="4"/>
    <x v="0"/>
  </r>
  <r>
    <n v="6064"/>
    <x v="5"/>
    <s v="31-40 years"/>
    <n v="31"/>
    <x v="1"/>
    <x v="1"/>
    <x v="17"/>
    <s v="Severe"/>
    <n v="2.0022465999999999"/>
    <x v="6"/>
    <x v="0"/>
    <n v="0.58948003999999998"/>
    <n v="24"/>
    <s v="Severe"/>
    <n v="1.2028128"/>
    <n v="24"/>
    <n v="24"/>
    <x v="2"/>
    <n v="1.2648463999999999"/>
    <x v="576"/>
    <x v="2"/>
    <x v="2"/>
    <n v="2857.1428000000001"/>
    <n v="2857"/>
    <x v="77"/>
    <x v="77"/>
    <x v="4"/>
    <x v="4"/>
    <x v="0"/>
  </r>
  <r>
    <n v="6065"/>
    <x v="5"/>
    <s v="21-30 years"/>
    <n v="30"/>
    <x v="1"/>
    <x v="1"/>
    <x v="17"/>
    <s v="Severe"/>
    <n v="2.0022465999999999"/>
    <x v="13"/>
    <x v="3"/>
    <n v="1.9521089"/>
    <n v="34"/>
    <s v="Extremely Severe"/>
    <n v="2.1659999999999999"/>
    <n v="32"/>
    <n v="32"/>
    <x v="3"/>
    <n v="2.0401185000000002"/>
    <x v="577"/>
    <x v="3"/>
    <x v="3"/>
    <n v="1666.6666"/>
    <n v="1667"/>
    <x v="1"/>
    <x v="1"/>
    <x v="0"/>
    <x v="0"/>
    <x v="0"/>
  </r>
  <r>
    <n v="6066"/>
    <x v="5"/>
    <s v="21-30 years"/>
    <n v="25"/>
    <x v="1"/>
    <x v="1"/>
    <x v="19"/>
    <s v="Extremely Severe"/>
    <n v="2.8064249999999999"/>
    <x v="13"/>
    <x v="3"/>
    <n v="1.9521089"/>
    <n v="32"/>
    <s v="Extremely Severe"/>
    <n v="1.9733623"/>
    <n v="34"/>
    <n v="34"/>
    <x v="3"/>
    <n v="2.2439654"/>
    <x v="578"/>
    <x v="3"/>
    <x v="3"/>
    <n v="4000"/>
    <n v="4000"/>
    <x v="7"/>
    <x v="7"/>
    <x v="3"/>
    <x v="3"/>
    <x v="0"/>
  </r>
  <r>
    <n v="6067"/>
    <x v="5"/>
    <s v="41-50 years"/>
    <n v="46"/>
    <x v="1"/>
    <x v="0"/>
    <x v="6"/>
    <s v="Moderate"/>
    <n v="0.59493434000000001"/>
    <x v="6"/>
    <x v="0"/>
    <n v="0.58948003999999998"/>
    <n v="22"/>
    <s v="Severe"/>
    <n v="1.0101753"/>
    <n v="18.666665999999999"/>
    <n v="19"/>
    <x v="1"/>
    <n v="0.73152989999999996"/>
    <x v="579"/>
    <x v="2"/>
    <x v="2"/>
    <n v="2285.7143999999998"/>
    <n v="2286"/>
    <x v="107"/>
    <x v="107"/>
    <x v="4"/>
    <x v="4"/>
    <x v="0"/>
  </r>
  <r>
    <n v="6068"/>
    <x v="5"/>
    <s v="31-40 years"/>
    <n v="31"/>
    <x v="0"/>
    <x v="2"/>
    <x v="14"/>
    <s v="Severe"/>
    <n v="1.801202"/>
    <x v="3"/>
    <x v="0"/>
    <n v="0.39481880000000003"/>
    <n v="24"/>
    <s v="Severe"/>
    <n v="1.2028128"/>
    <n v="22.666665999999999"/>
    <n v="23"/>
    <x v="2"/>
    <n v="1.1329446000000001"/>
    <x v="580"/>
    <x v="2"/>
    <x v="2"/>
    <n v="2500"/>
    <n v="2500"/>
    <x v="12"/>
    <x v="12"/>
    <x v="4"/>
    <x v="4"/>
    <x v="0"/>
  </r>
  <r>
    <n v="6069"/>
    <x v="5"/>
    <s v="41-50 years"/>
    <n v="43"/>
    <x v="1"/>
    <x v="1"/>
    <x v="6"/>
    <s v="Moderate"/>
    <n v="0.59493434000000001"/>
    <x v="4"/>
    <x v="0"/>
    <n v="0.20015757000000001"/>
    <n v="14"/>
    <s v="Moderate"/>
    <n v="0.23962580999999999"/>
    <n v="14.666667"/>
    <n v="15"/>
    <x v="1"/>
    <n v="0.34490589999999999"/>
    <x v="581"/>
    <x v="0"/>
    <x v="0"/>
    <n v="3000"/>
    <n v="3000"/>
    <x v="22"/>
    <x v="22"/>
    <x v="3"/>
    <x v="3"/>
    <x v="0"/>
  </r>
  <r>
    <n v="6070"/>
    <x v="5"/>
    <s v="31-40 years"/>
    <n v="32"/>
    <x v="1"/>
    <x v="1"/>
    <x v="12"/>
    <s v="Moderate"/>
    <n v="0.79597896000000001"/>
    <x v="14"/>
    <x v="2"/>
    <n v="1.5627863"/>
    <n v="26"/>
    <s v="Severe"/>
    <n v="1.3954502"/>
    <n v="24"/>
    <n v="24"/>
    <x v="2"/>
    <n v="1.2514052"/>
    <x v="582"/>
    <x v="2"/>
    <x v="2"/>
    <n v="2000"/>
    <n v="2000"/>
    <x v="11"/>
    <x v="11"/>
    <x v="4"/>
    <x v="4"/>
    <x v="0"/>
  </r>
  <r>
    <n v="6071"/>
    <x v="5"/>
    <s v="31-40 years"/>
    <n v="35"/>
    <x v="1"/>
    <x v="1"/>
    <x v="10"/>
    <s v="Severe"/>
    <n v="1.1980683000000001"/>
    <x v="6"/>
    <x v="0"/>
    <n v="0.58948003999999998"/>
    <n v="24"/>
    <s v="Severe"/>
    <n v="1.2028128"/>
    <n v="21.333334000000001"/>
    <n v="21"/>
    <x v="2"/>
    <n v="0.99678699999999998"/>
    <x v="190"/>
    <x v="2"/>
    <x v="2"/>
    <n v="3000"/>
    <n v="3000"/>
    <x v="22"/>
    <x v="22"/>
    <x v="3"/>
    <x v="3"/>
    <x v="0"/>
  </r>
  <r>
    <n v="6072"/>
    <x v="5"/>
    <s v="31-40 years"/>
    <n v="40"/>
    <x v="1"/>
    <x v="1"/>
    <x v="10"/>
    <s v="Severe"/>
    <n v="1.1980683000000001"/>
    <x v="15"/>
    <x v="2"/>
    <n v="1.7574476000000001"/>
    <n v="18"/>
    <s v="Moderate"/>
    <n v="0.62490060000000003"/>
    <n v="23.333334000000001"/>
    <n v="23"/>
    <x v="2"/>
    <n v="1.1934720999999999"/>
    <x v="583"/>
    <x v="2"/>
    <x v="2"/>
    <n v="2500"/>
    <n v="2500"/>
    <x v="12"/>
    <x v="12"/>
    <x v="4"/>
    <x v="4"/>
    <x v="0"/>
  </r>
  <r>
    <n v="6073"/>
    <x v="5"/>
    <s v="21-30 years"/>
    <n v="28"/>
    <x v="1"/>
    <x v="3"/>
    <x v="11"/>
    <s v="Moderate"/>
    <n v="0.99702360000000001"/>
    <x v="6"/>
    <x v="0"/>
    <n v="0.58948003999999998"/>
    <n v="18"/>
    <s v="Moderate"/>
    <n v="0.62490060000000003"/>
    <n v="18.666665999999999"/>
    <n v="19"/>
    <x v="1"/>
    <n v="0.73713474999999995"/>
    <x v="207"/>
    <x v="2"/>
    <x v="2"/>
    <n v="2500"/>
    <n v="2500"/>
    <x v="12"/>
    <x v="12"/>
    <x v="4"/>
    <x v="4"/>
    <x v="0"/>
  </r>
  <r>
    <n v="6074"/>
    <x v="5"/>
    <s v="21-30 years"/>
    <n v="29"/>
    <x v="1"/>
    <x v="1"/>
    <x v="10"/>
    <s v="Severe"/>
    <n v="1.1980683000000001"/>
    <x v="3"/>
    <x v="0"/>
    <n v="0.39481880000000003"/>
    <n v="22"/>
    <s v="Severe"/>
    <n v="1.0101753"/>
    <n v="20"/>
    <n v="20"/>
    <x v="1"/>
    <n v="0.86768745999999997"/>
    <x v="584"/>
    <x v="2"/>
    <x v="2"/>
    <n v="5000"/>
    <n v="5000"/>
    <x v="2"/>
    <x v="2"/>
    <x v="1"/>
    <x v="1"/>
    <x v="1"/>
  </r>
  <r>
    <n v="6075"/>
    <x v="5"/>
    <s v="21-30 years"/>
    <n v="25"/>
    <x v="1"/>
    <x v="2"/>
    <x v="17"/>
    <s v="Severe"/>
    <n v="2.0022465999999999"/>
    <x v="3"/>
    <x v="0"/>
    <n v="0.39481880000000003"/>
    <n v="28"/>
    <s v="Severe"/>
    <n v="1.5880875999999999"/>
    <n v="24.666665999999999"/>
    <n v="25"/>
    <x v="2"/>
    <n v="1.3283843"/>
    <x v="585"/>
    <x v="2"/>
    <x v="2"/>
    <n v="5000"/>
    <n v="5000"/>
    <x v="2"/>
    <x v="2"/>
    <x v="1"/>
    <x v="1"/>
    <x v="1"/>
  </r>
  <r>
    <n v="6076"/>
    <x v="5"/>
    <s v="21-30 years"/>
    <n v="26"/>
    <x v="1"/>
    <x v="2"/>
    <x v="6"/>
    <s v="Moderate"/>
    <n v="0.59493434000000001"/>
    <x v="6"/>
    <x v="0"/>
    <n v="0.58948003999999998"/>
    <n v="18"/>
    <s v="Moderate"/>
    <n v="0.62490060000000003"/>
    <n v="17.333334000000001"/>
    <n v="17"/>
    <x v="1"/>
    <n v="0.603105"/>
    <x v="586"/>
    <x v="2"/>
    <x v="2"/>
    <n v="2500"/>
    <n v="2500"/>
    <x v="12"/>
    <x v="12"/>
    <x v="4"/>
    <x v="4"/>
    <x v="0"/>
  </r>
  <r>
    <n v="6077"/>
    <x v="5"/>
    <s v="31-40 years"/>
    <n v="38"/>
    <x v="1"/>
    <x v="1"/>
    <x v="10"/>
    <s v="Severe"/>
    <n v="1.1980683000000001"/>
    <x v="3"/>
    <x v="0"/>
    <n v="0.39481880000000003"/>
    <n v="22"/>
    <s v="Severe"/>
    <n v="1.0101753"/>
    <n v="20"/>
    <n v="20"/>
    <x v="1"/>
    <n v="0.86768745999999997"/>
    <x v="584"/>
    <x v="2"/>
    <x v="2"/>
    <n v="5000"/>
    <n v="5000"/>
    <x v="2"/>
    <x v="2"/>
    <x v="1"/>
    <x v="1"/>
    <x v="1"/>
  </r>
  <r>
    <n v="6078"/>
    <x v="5"/>
    <s v="21-30 years"/>
    <n v="27"/>
    <x v="1"/>
    <x v="3"/>
    <x v="17"/>
    <s v="Severe"/>
    <n v="2.0022465999999999"/>
    <x v="6"/>
    <x v="0"/>
    <n v="0.58948003999999998"/>
    <n v="26"/>
    <s v="Severe"/>
    <n v="1.3954502"/>
    <n v="24.666665999999999"/>
    <n v="25"/>
    <x v="2"/>
    <n v="1.329059"/>
    <x v="587"/>
    <x v="2"/>
    <x v="2"/>
    <n v="8333.3330000000005"/>
    <n v="8333"/>
    <x v="20"/>
    <x v="20"/>
    <x v="5"/>
    <x v="5"/>
    <x v="2"/>
  </r>
  <r>
    <n v="6079"/>
    <x v="5"/>
    <s v="31-40 years"/>
    <n v="40"/>
    <x v="1"/>
    <x v="1"/>
    <x v="9"/>
    <s v="Severe"/>
    <n v="1.6001574999999999"/>
    <x v="17"/>
    <x v="0"/>
    <n v="0.78414130000000004"/>
    <n v="28"/>
    <s v="Severe"/>
    <n v="1.5880875999999999"/>
    <n v="24.666665999999999"/>
    <n v="25"/>
    <x v="2"/>
    <n v="1.3241286999999999"/>
    <x v="319"/>
    <x v="2"/>
    <x v="2"/>
    <n v="3000"/>
    <n v="3000"/>
    <x v="22"/>
    <x v="22"/>
    <x v="3"/>
    <x v="3"/>
    <x v="0"/>
  </r>
  <r>
    <n v="6080"/>
    <x v="5"/>
    <s v="21-30 years"/>
    <n v="27"/>
    <x v="1"/>
    <x v="3"/>
    <x v="13"/>
    <s v="Severe"/>
    <n v="1.3991127999999999"/>
    <x v="3"/>
    <x v="0"/>
    <n v="0.39481880000000003"/>
    <n v="22"/>
    <s v="Severe"/>
    <n v="1.0101753"/>
    <n v="20.666665999999999"/>
    <n v="21"/>
    <x v="2"/>
    <n v="0.93470233999999996"/>
    <x v="588"/>
    <x v="2"/>
    <x v="2"/>
    <n v="2500"/>
    <n v="2500"/>
    <x v="12"/>
    <x v="12"/>
    <x v="4"/>
    <x v="4"/>
    <x v="0"/>
  </r>
  <r>
    <n v="6081"/>
    <x v="5"/>
    <s v="31-40 years"/>
    <n v="34"/>
    <x v="1"/>
    <x v="3"/>
    <x v="12"/>
    <s v="Moderate"/>
    <n v="0.79597896000000001"/>
    <x v="3"/>
    <x v="0"/>
    <n v="0.39481880000000003"/>
    <n v="20"/>
    <s v="Moderate"/>
    <n v="0.81753799999999999"/>
    <n v="18"/>
    <n v="18"/>
    <x v="1"/>
    <n v="0.66944530000000002"/>
    <x v="244"/>
    <x v="2"/>
    <x v="2"/>
    <n v="6250"/>
    <n v="6250"/>
    <x v="27"/>
    <x v="27"/>
    <x v="2"/>
    <x v="2"/>
    <x v="2"/>
  </r>
  <r>
    <n v="6082"/>
    <x v="5"/>
    <s v="21-30 years"/>
    <n v="27"/>
    <x v="1"/>
    <x v="3"/>
    <x v="2"/>
    <s v="Normal"/>
    <n v="-0.20924408999999999"/>
    <x v="0"/>
    <x v="0"/>
    <n v="5.496318E-3"/>
    <n v="10"/>
    <s v="Normal"/>
    <n v="-0.14564899000000001"/>
    <n v="10"/>
    <n v="10"/>
    <x v="0"/>
    <n v="-0.11646558"/>
    <x v="589"/>
    <x v="0"/>
    <x v="0"/>
    <n v="2500"/>
    <n v="2500"/>
    <x v="12"/>
    <x v="12"/>
    <x v="4"/>
    <x v="4"/>
    <x v="0"/>
  </r>
  <r>
    <n v="6083"/>
    <x v="5"/>
    <s v="31-40 years"/>
    <n v="32"/>
    <x v="1"/>
    <x v="1"/>
    <x v="7"/>
    <s v="Moderate"/>
    <n v="0.19284514999999999"/>
    <x v="7"/>
    <x v="1"/>
    <n v="-0.38382620000000001"/>
    <n v="14"/>
    <s v="Moderate"/>
    <n v="0.23962580999999999"/>
    <n v="11.333333"/>
    <n v="11"/>
    <x v="1"/>
    <n v="1.6214922E-2"/>
    <x v="371"/>
    <x v="0"/>
    <x v="0"/>
    <n v="3333.3332999999998"/>
    <n v="3333"/>
    <x v="10"/>
    <x v="10"/>
    <x v="3"/>
    <x v="3"/>
    <x v="0"/>
  </r>
  <r>
    <n v="6084"/>
    <x v="5"/>
    <s v="21-30 years"/>
    <n v="26"/>
    <x v="1"/>
    <x v="1"/>
    <x v="5"/>
    <s v="Moderate"/>
    <n v="0.39388975999999998"/>
    <x v="5"/>
    <x v="1"/>
    <n v="-0.57848745999999995"/>
    <n v="12"/>
    <s v="Moderate"/>
    <n v="4.6988415999999998E-2"/>
    <n v="10.666667"/>
    <n v="11"/>
    <x v="1"/>
    <n v="-4.5869760000000002E-2"/>
    <x v="590"/>
    <x v="0"/>
    <x v="0"/>
    <n v="5000"/>
    <n v="5000"/>
    <x v="2"/>
    <x v="2"/>
    <x v="1"/>
    <x v="1"/>
    <x v="1"/>
  </r>
  <r>
    <n v="6085"/>
    <x v="5"/>
    <s v="21-30 years"/>
    <n v="29"/>
    <x v="1"/>
    <x v="3"/>
    <x v="3"/>
    <s v="Normal"/>
    <n v="-8.1994660000000007E-3"/>
    <x v="5"/>
    <x v="1"/>
    <n v="-0.57848745999999995"/>
    <n v="4"/>
    <s v="Normal"/>
    <n v="-0.72356116999999998"/>
    <n v="6.6666664999999998"/>
    <n v="7"/>
    <x v="0"/>
    <n v="-0.43674937000000003"/>
    <x v="591"/>
    <x v="0"/>
    <x v="0"/>
    <n v="3000"/>
    <n v="3000"/>
    <x v="22"/>
    <x v="22"/>
    <x v="3"/>
    <x v="3"/>
    <x v="0"/>
  </r>
  <r>
    <n v="6086"/>
    <x v="5"/>
    <s v="21-30 years"/>
    <n v="27"/>
    <x v="0"/>
    <x v="0"/>
    <x v="0"/>
    <s v="Normal"/>
    <n v="-0.41028870000000001"/>
    <x v="7"/>
    <x v="1"/>
    <n v="-0.38382620000000001"/>
    <n v="10"/>
    <s v="Normal"/>
    <n v="-0.14564899000000001"/>
    <n v="8"/>
    <n v="8"/>
    <x v="0"/>
    <n v="-0.31325461999999998"/>
    <x v="185"/>
    <x v="0"/>
    <x v="0"/>
    <n v="6250"/>
    <n v="6250"/>
    <x v="27"/>
    <x v="27"/>
    <x v="2"/>
    <x v="2"/>
    <x v="2"/>
  </r>
  <r>
    <n v="6087"/>
    <x v="5"/>
    <s v="21-30 years"/>
    <n v="27"/>
    <x v="0"/>
    <x v="0"/>
    <x v="6"/>
    <s v="Moderate"/>
    <n v="0.59493434000000001"/>
    <x v="3"/>
    <x v="0"/>
    <n v="0.39481880000000003"/>
    <n v="18"/>
    <s v="Moderate"/>
    <n v="0.62490060000000003"/>
    <n v="16.666665999999999"/>
    <n v="17"/>
    <x v="1"/>
    <n v="0.53821790000000003"/>
    <x v="592"/>
    <x v="2"/>
    <x v="2"/>
    <n v="3000"/>
    <n v="3000"/>
    <x v="22"/>
    <x v="22"/>
    <x v="3"/>
    <x v="3"/>
    <x v="0"/>
  </r>
  <r>
    <n v="6088"/>
    <x v="5"/>
    <s v="21-30 years"/>
    <n v="27"/>
    <x v="0"/>
    <x v="3"/>
    <x v="2"/>
    <s v="Normal"/>
    <n v="-0.20924408999999999"/>
    <x v="0"/>
    <x v="0"/>
    <n v="5.496318E-3"/>
    <n v="8"/>
    <s v="Normal"/>
    <n v="-0.33828637"/>
    <n v="9.3333329999999997"/>
    <n v="9"/>
    <x v="0"/>
    <n v="-0.18067804000000001"/>
    <x v="593"/>
    <x v="0"/>
    <x v="0"/>
    <n v="3750"/>
    <n v="3750"/>
    <x v="15"/>
    <x v="15"/>
    <x v="3"/>
    <x v="3"/>
    <x v="0"/>
  </r>
  <r>
    <n v="6089"/>
    <x v="5"/>
    <s v="21-30 years"/>
    <n v="27"/>
    <x v="0"/>
    <x v="3"/>
    <x v="0"/>
    <s v="Normal"/>
    <n v="-0.41028870000000001"/>
    <x v="8"/>
    <x v="1"/>
    <n v="-0.18916494"/>
    <n v="10"/>
    <s v="Normal"/>
    <n v="-0.14564899000000001"/>
    <n v="8.6666670000000003"/>
    <n v="9"/>
    <x v="0"/>
    <n v="-0.24836753"/>
    <x v="276"/>
    <x v="0"/>
    <x v="0"/>
    <n v="5000"/>
    <n v="5000"/>
    <x v="2"/>
    <x v="2"/>
    <x v="1"/>
    <x v="1"/>
    <x v="1"/>
  </r>
  <r>
    <n v="6090"/>
    <x v="5"/>
    <s v="21-30 years"/>
    <n v="25"/>
    <x v="0"/>
    <x v="3"/>
    <x v="2"/>
    <s v="Normal"/>
    <n v="-0.20924408999999999"/>
    <x v="7"/>
    <x v="1"/>
    <n v="-0.38382620000000001"/>
    <n v="8"/>
    <s v="Normal"/>
    <n v="-0.33828637"/>
    <n v="8"/>
    <n v="8"/>
    <x v="0"/>
    <n v="-0.31045222"/>
    <x v="195"/>
    <x v="0"/>
    <x v="0"/>
    <n v="3600"/>
    <n v="3600"/>
    <x v="31"/>
    <x v="31"/>
    <x v="3"/>
    <x v="3"/>
    <x v="0"/>
  </r>
  <r>
    <n v="6091"/>
    <x v="5"/>
    <s v="31-40 years"/>
    <n v="33"/>
    <x v="0"/>
    <x v="0"/>
    <x v="12"/>
    <s v="Moderate"/>
    <n v="0.79597896000000001"/>
    <x v="1"/>
    <x v="1"/>
    <n v="-0.77314866000000004"/>
    <n v="14"/>
    <s v="Moderate"/>
    <n v="0.23962580999999999"/>
    <n v="12"/>
    <n v="12"/>
    <x v="1"/>
    <n v="8.7485370000000007E-2"/>
    <x v="594"/>
    <x v="0"/>
    <x v="0"/>
    <n v="4166.6665000000003"/>
    <n v="4167"/>
    <x v="24"/>
    <x v="24"/>
    <x v="3"/>
    <x v="3"/>
    <x v="0"/>
  </r>
  <r>
    <n v="6092"/>
    <x v="5"/>
    <s v="21-30 years"/>
    <n v="27"/>
    <x v="0"/>
    <x v="0"/>
    <x v="4"/>
    <s v="Normal"/>
    <n v="-0.61133329999999997"/>
    <x v="8"/>
    <x v="1"/>
    <n v="-0.18916494"/>
    <n v="12"/>
    <s v="Moderate"/>
    <n v="4.6988415999999998E-2"/>
    <n v="8.6666670000000003"/>
    <n v="9"/>
    <x v="0"/>
    <n v="-0.25116994999999998"/>
    <x v="277"/>
    <x v="0"/>
    <x v="0"/>
    <n v="5000"/>
    <n v="5000"/>
    <x v="2"/>
    <x v="2"/>
    <x v="1"/>
    <x v="1"/>
    <x v="1"/>
  </r>
  <r>
    <n v="6093"/>
    <x v="5"/>
    <s v="31-40 years"/>
    <n v="36"/>
    <x v="0"/>
    <x v="0"/>
    <x v="7"/>
    <s v="Moderate"/>
    <n v="0.19284514999999999"/>
    <x v="0"/>
    <x v="0"/>
    <n v="5.496318E-3"/>
    <n v="22"/>
    <s v="Severe"/>
    <n v="1.0101753"/>
    <n v="15.333333"/>
    <n v="15"/>
    <x v="1"/>
    <n v="0.40283894999999997"/>
    <x v="595"/>
    <x v="0"/>
    <x v="0"/>
    <n v="3000"/>
    <n v="3000"/>
    <x v="22"/>
    <x v="22"/>
    <x v="3"/>
    <x v="3"/>
    <x v="0"/>
  </r>
  <r>
    <n v="6094"/>
    <x v="5"/>
    <s v="51-60 years"/>
    <n v="52"/>
    <x v="0"/>
    <x v="6"/>
    <x v="15"/>
    <s v="Extremely Severe"/>
    <n v="2.2032911999999998"/>
    <x v="16"/>
    <x v="3"/>
    <n v="2.1467700000000001"/>
    <n v="36"/>
    <s v="Extremely Severe"/>
    <n v="2.3586369999999999"/>
    <n v="34"/>
    <n v="34"/>
    <x v="3"/>
    <n v="2.2362327999999998"/>
    <x v="596"/>
    <x v="3"/>
    <x v="3"/>
    <n v="1500"/>
    <n v="1500"/>
    <x v="8"/>
    <x v="8"/>
    <x v="0"/>
    <x v="0"/>
    <x v="0"/>
  </r>
  <r>
    <n v="6095"/>
    <x v="5"/>
    <s v="21-30 years"/>
    <n v="28"/>
    <x v="0"/>
    <x v="0"/>
    <x v="11"/>
    <s v="Moderate"/>
    <n v="0.99702360000000001"/>
    <x v="14"/>
    <x v="2"/>
    <n v="1.5627863"/>
    <n v="32"/>
    <s v="Extremely Severe"/>
    <n v="1.9733623"/>
    <n v="26.666665999999999"/>
    <n v="27"/>
    <x v="2"/>
    <n v="1.5110574000000001"/>
    <x v="597"/>
    <x v="3"/>
    <x v="3"/>
    <n v="4000"/>
    <n v="4000"/>
    <x v="7"/>
    <x v="7"/>
    <x v="3"/>
    <x v="3"/>
    <x v="0"/>
  </r>
  <r>
    <n v="6096"/>
    <x v="5"/>
    <s v="21-30 years"/>
    <n v="25"/>
    <x v="0"/>
    <x v="4"/>
    <x v="15"/>
    <s v="Extremely Severe"/>
    <n v="2.2032911999999998"/>
    <x v="13"/>
    <x v="3"/>
    <n v="1.9521089"/>
    <n v="28"/>
    <s v="Severe"/>
    <n v="1.5880875999999999"/>
    <n v="30.666665999999999"/>
    <n v="31"/>
    <x v="3"/>
    <n v="1.9144958000000001"/>
    <x v="201"/>
    <x v="3"/>
    <x v="3"/>
    <n v="5000"/>
    <n v="5000"/>
    <x v="2"/>
    <x v="2"/>
    <x v="1"/>
    <x v="1"/>
    <x v="1"/>
  </r>
  <r>
    <n v="6097"/>
    <x v="5"/>
    <s v="31-40 years"/>
    <n v="34"/>
    <x v="1"/>
    <x v="4"/>
    <x v="1"/>
    <s v="Normal"/>
    <n v="-0.81237789999999999"/>
    <x v="1"/>
    <x v="1"/>
    <n v="-0.77314866000000004"/>
    <n v="0"/>
    <s v="Normal"/>
    <n v="-1.1088359000000001"/>
    <n v="2"/>
    <n v="2"/>
    <x v="0"/>
    <n v="-0.89812080000000005"/>
    <x v="349"/>
    <x v="1"/>
    <x v="1"/>
    <n v="2142.8571999999999"/>
    <n v="2143"/>
    <x v="98"/>
    <x v="98"/>
    <x v="4"/>
    <x v="4"/>
    <x v="0"/>
  </r>
  <r>
    <n v="6098"/>
    <x v="5"/>
    <s v="21-30 years"/>
    <n v="28"/>
    <x v="0"/>
    <x v="3"/>
    <x v="12"/>
    <s v="Moderate"/>
    <n v="0.79597896000000001"/>
    <x v="14"/>
    <x v="2"/>
    <n v="1.5627863"/>
    <n v="22"/>
    <s v="Severe"/>
    <n v="1.0101753"/>
    <n v="22.666665999999999"/>
    <n v="23"/>
    <x v="2"/>
    <n v="1.1229802"/>
    <x v="598"/>
    <x v="2"/>
    <x v="2"/>
    <n v="4000"/>
    <n v="4000"/>
    <x v="7"/>
    <x v="7"/>
    <x v="3"/>
    <x v="3"/>
    <x v="0"/>
  </r>
  <r>
    <n v="6099"/>
    <x v="5"/>
    <s v="31-40 years"/>
    <n v="32"/>
    <x v="0"/>
    <x v="3"/>
    <x v="11"/>
    <s v="Moderate"/>
    <n v="0.99702360000000001"/>
    <x v="11"/>
    <x v="2"/>
    <n v="1.3681251000000001"/>
    <n v="14"/>
    <s v="Moderate"/>
    <n v="0.23962580999999999"/>
    <n v="20"/>
    <n v="20"/>
    <x v="1"/>
    <n v="0.86825819999999998"/>
    <x v="599"/>
    <x v="2"/>
    <x v="2"/>
    <n v="1857.1428000000001"/>
    <n v="1857"/>
    <x v="108"/>
    <x v="108"/>
    <x v="4"/>
    <x v="4"/>
    <x v="0"/>
  </r>
  <r>
    <n v="6100"/>
    <x v="5"/>
    <s v="21-30 years"/>
    <n v="26"/>
    <x v="0"/>
    <x v="3"/>
    <x v="8"/>
    <s v="Normal"/>
    <n v="-1.0134224999999999"/>
    <x v="7"/>
    <x v="1"/>
    <n v="-0.38382620000000001"/>
    <n v="8"/>
    <s v="Normal"/>
    <n v="-0.33828637"/>
    <n v="5.3333335000000002"/>
    <n v="5"/>
    <x v="0"/>
    <n v="-0.57851169999999996"/>
    <x v="339"/>
    <x v="0"/>
    <x v="0"/>
    <n v="6666.6665000000003"/>
    <n v="6667"/>
    <x v="21"/>
    <x v="21"/>
    <x v="2"/>
    <x v="2"/>
    <x v="2"/>
  </r>
  <r>
    <n v="6101"/>
    <x v="5"/>
    <s v="21-30 years"/>
    <n v="27"/>
    <x v="0"/>
    <x v="3"/>
    <x v="3"/>
    <s v="Normal"/>
    <n v="-8.1994660000000007E-3"/>
    <x v="0"/>
    <x v="0"/>
    <n v="5.496318E-3"/>
    <n v="20"/>
    <s v="Moderate"/>
    <n v="0.81753799999999999"/>
    <n v="14"/>
    <n v="14"/>
    <x v="1"/>
    <n v="0.27161162999999999"/>
    <x v="600"/>
    <x v="0"/>
    <x v="0"/>
    <n v="5000"/>
    <n v="5000"/>
    <x v="2"/>
    <x v="2"/>
    <x v="1"/>
    <x v="1"/>
    <x v="1"/>
  </r>
  <r>
    <n v="6102"/>
    <x v="5"/>
    <s v="31-40 years"/>
    <n v="39"/>
    <x v="0"/>
    <x v="3"/>
    <x v="3"/>
    <s v="Normal"/>
    <n v="-8.1994660000000007E-3"/>
    <x v="3"/>
    <x v="0"/>
    <n v="0.39481880000000003"/>
    <n v="6"/>
    <s v="Normal"/>
    <n v="-0.53092379999999995"/>
    <n v="10.666667"/>
    <n v="11"/>
    <x v="1"/>
    <n v="-4.8101476999999997E-2"/>
    <x v="601"/>
    <x v="0"/>
    <x v="0"/>
    <n v="6666.6665000000003"/>
    <n v="6667"/>
    <x v="21"/>
    <x v="21"/>
    <x v="2"/>
    <x v="2"/>
    <x v="2"/>
  </r>
  <r>
    <n v="6103"/>
    <x v="5"/>
    <s v="21-30 years"/>
    <n v="25"/>
    <x v="0"/>
    <x v="5"/>
    <x v="3"/>
    <s v="Normal"/>
    <n v="-8.1994660000000007E-3"/>
    <x v="3"/>
    <x v="0"/>
    <n v="0.39481880000000003"/>
    <n v="18"/>
    <s v="Moderate"/>
    <n v="0.62490060000000003"/>
    <n v="14.666667"/>
    <n v="15"/>
    <x v="1"/>
    <n v="0.33717330000000001"/>
    <x v="602"/>
    <x v="0"/>
    <x v="0"/>
    <n v="5000"/>
    <n v="5000"/>
    <x v="2"/>
    <x v="2"/>
    <x v="1"/>
    <x v="1"/>
    <x v="1"/>
  </r>
  <r>
    <n v="6104"/>
    <x v="5"/>
    <s v="31-40 years"/>
    <n v="32"/>
    <x v="0"/>
    <x v="3"/>
    <x v="6"/>
    <s v="Moderate"/>
    <n v="0.59493434000000001"/>
    <x v="12"/>
    <x v="2"/>
    <n v="1.1734637999999999"/>
    <n v="16"/>
    <s v="Moderate"/>
    <n v="0.43226320000000001"/>
    <n v="18.666665999999999"/>
    <n v="19"/>
    <x v="1"/>
    <n v="0.73355376999999999"/>
    <x v="603"/>
    <x v="2"/>
    <x v="2"/>
    <n v="5000"/>
    <n v="5000"/>
    <x v="2"/>
    <x v="2"/>
    <x v="1"/>
    <x v="1"/>
    <x v="1"/>
  </r>
  <r>
    <n v="6105"/>
    <x v="5"/>
    <s v="21-30 years"/>
    <n v="29"/>
    <x v="0"/>
    <x v="0"/>
    <x v="16"/>
    <s v="Extremely Severe"/>
    <n v="2.4043359999999998"/>
    <x v="19"/>
    <x v="3"/>
    <n v="2.3414313999999998"/>
    <n v="34"/>
    <s v="Extremely Severe"/>
    <n v="2.1659999999999999"/>
    <n v="34.666668000000001"/>
    <n v="35"/>
    <x v="3"/>
    <n v="2.3039223999999998"/>
    <x v="604"/>
    <x v="3"/>
    <x v="3"/>
    <n v="3750"/>
    <n v="3750"/>
    <x v="15"/>
    <x v="15"/>
    <x v="3"/>
    <x v="3"/>
    <x v="0"/>
  </r>
  <r>
    <n v="6106"/>
    <x v="5"/>
    <s v="31-40 years"/>
    <n v="31"/>
    <x v="0"/>
    <x v="3"/>
    <x v="13"/>
    <s v="Severe"/>
    <n v="1.3991127999999999"/>
    <x v="14"/>
    <x v="2"/>
    <n v="1.5627863"/>
    <n v="18"/>
    <s v="Moderate"/>
    <n v="0.62490060000000003"/>
    <n v="23.333334000000001"/>
    <n v="23"/>
    <x v="2"/>
    <n v="1.1955998999999999"/>
    <x v="605"/>
    <x v="2"/>
    <x v="2"/>
    <n v="2500"/>
    <n v="2500"/>
    <x v="12"/>
    <x v="12"/>
    <x v="4"/>
    <x v="4"/>
    <x v="0"/>
  </r>
  <r>
    <n v="6107"/>
    <x v="5"/>
    <s v="21-30 years"/>
    <n v="30"/>
    <x v="0"/>
    <x v="3"/>
    <x v="3"/>
    <s v="Normal"/>
    <n v="-8.1994660000000007E-3"/>
    <x v="6"/>
    <x v="0"/>
    <n v="0.58948003999999998"/>
    <n v="14"/>
    <s v="Moderate"/>
    <n v="0.23962580999999999"/>
    <n v="14"/>
    <n v="14"/>
    <x v="1"/>
    <n v="0.27363547999999999"/>
    <x v="530"/>
    <x v="0"/>
    <x v="0"/>
    <n v="4000"/>
    <n v="4000"/>
    <x v="7"/>
    <x v="7"/>
    <x v="3"/>
    <x v="3"/>
    <x v="0"/>
  </r>
  <r>
    <n v="6108"/>
    <x v="5"/>
    <s v="31-40 years"/>
    <n v="32"/>
    <x v="0"/>
    <x v="3"/>
    <x v="0"/>
    <s v="Normal"/>
    <n v="-0.41028870000000001"/>
    <x v="17"/>
    <x v="0"/>
    <n v="0.78414130000000004"/>
    <n v="18"/>
    <s v="Moderate"/>
    <n v="0.62490060000000003"/>
    <n v="14.666667"/>
    <n v="15"/>
    <x v="1"/>
    <n v="0.33291771999999997"/>
    <x v="606"/>
    <x v="0"/>
    <x v="0"/>
    <n v="3333.3332999999998"/>
    <n v="3333"/>
    <x v="10"/>
    <x v="10"/>
    <x v="3"/>
    <x v="3"/>
    <x v="0"/>
  </r>
  <r>
    <n v="6109"/>
    <x v="5"/>
    <s v="21-30 years"/>
    <n v="26"/>
    <x v="0"/>
    <x v="3"/>
    <x v="2"/>
    <s v="Normal"/>
    <n v="-0.20924408999999999"/>
    <x v="6"/>
    <x v="0"/>
    <n v="0.58948003999999998"/>
    <n v="14"/>
    <s v="Moderate"/>
    <n v="0.23962580999999999"/>
    <n v="13.333333"/>
    <n v="13"/>
    <x v="1"/>
    <n v="0.20662058999999999"/>
    <x v="607"/>
    <x v="0"/>
    <x v="0"/>
    <n v="3571.4285"/>
    <n v="3571"/>
    <x v="102"/>
    <x v="102"/>
    <x v="3"/>
    <x v="3"/>
    <x v="0"/>
  </r>
  <r>
    <n v="6111"/>
    <x v="5"/>
    <s v="41-50 years"/>
    <n v="45"/>
    <x v="0"/>
    <x v="0"/>
    <x v="13"/>
    <s v="Severe"/>
    <n v="1.3991127999999999"/>
    <x v="3"/>
    <x v="0"/>
    <n v="0.39481880000000003"/>
    <n v="18"/>
    <s v="Moderate"/>
    <n v="0.62490060000000003"/>
    <n v="19.333334000000001"/>
    <n v="19"/>
    <x v="1"/>
    <n v="0.80627740000000003"/>
    <x v="608"/>
    <x v="2"/>
    <x v="2"/>
    <n v="2400"/>
    <n v="2400"/>
    <x v="34"/>
    <x v="34"/>
    <x v="4"/>
    <x v="4"/>
    <x v="0"/>
  </r>
  <r>
    <n v="6112"/>
    <x v="5"/>
    <s v="21-30 years"/>
    <n v="26"/>
    <x v="0"/>
    <x v="0"/>
    <x v="5"/>
    <s v="Moderate"/>
    <n v="0.39388975999999998"/>
    <x v="5"/>
    <x v="1"/>
    <n v="-0.57848745999999995"/>
    <n v="18"/>
    <s v="Moderate"/>
    <n v="0.62490060000000003"/>
    <n v="12.666667"/>
    <n v="13"/>
    <x v="1"/>
    <n v="0.14676763000000001"/>
    <x v="609"/>
    <x v="0"/>
    <x v="0"/>
    <n v="3750"/>
    <n v="3750"/>
    <x v="15"/>
    <x v="15"/>
    <x v="3"/>
    <x v="3"/>
    <x v="0"/>
  </r>
  <r>
    <n v="6113"/>
    <x v="5"/>
    <s v="31-40 years"/>
    <n v="40"/>
    <x v="0"/>
    <x v="4"/>
    <x v="12"/>
    <s v="Moderate"/>
    <n v="0.79597896000000001"/>
    <x v="3"/>
    <x v="0"/>
    <n v="0.39481880000000003"/>
    <n v="16"/>
    <s v="Moderate"/>
    <n v="0.43226320000000001"/>
    <n v="16.666665999999999"/>
    <n v="17"/>
    <x v="1"/>
    <n v="0.54102033000000005"/>
    <x v="610"/>
    <x v="2"/>
    <x v="2"/>
    <n v="3750"/>
    <n v="3750"/>
    <x v="15"/>
    <x v="15"/>
    <x v="3"/>
    <x v="3"/>
    <x v="0"/>
  </r>
  <r>
    <n v="6114"/>
    <x v="5"/>
    <s v="21-30 years"/>
    <n v="29"/>
    <x v="0"/>
    <x v="3"/>
    <x v="19"/>
    <s v="Extremely Severe"/>
    <n v="2.8064249999999999"/>
    <x v="16"/>
    <x v="3"/>
    <n v="2.1467700000000001"/>
    <n v="34"/>
    <s v="Extremely Severe"/>
    <n v="2.1659999999999999"/>
    <n v="35.333331999999999"/>
    <n v="35"/>
    <x v="3"/>
    <n v="2.373065"/>
    <x v="554"/>
    <x v="3"/>
    <x v="3"/>
    <n v="2142.8571999999999"/>
    <n v="2143"/>
    <x v="98"/>
    <x v="98"/>
    <x v="4"/>
    <x v="4"/>
    <x v="0"/>
  </r>
  <r>
    <n v="6115"/>
    <x v="5"/>
    <s v="41-50 years"/>
    <n v="43"/>
    <x v="0"/>
    <x v="4"/>
    <x v="2"/>
    <s v="Normal"/>
    <n v="-0.20924408999999999"/>
    <x v="8"/>
    <x v="1"/>
    <n v="-0.18916494"/>
    <n v="14"/>
    <s v="Moderate"/>
    <n v="0.23962580999999999"/>
    <n v="10.666667"/>
    <n v="11"/>
    <x v="1"/>
    <n v="-5.2927736000000003E-2"/>
    <x v="491"/>
    <x v="0"/>
    <x v="0"/>
    <n v="2666.6667000000002"/>
    <n v="2667"/>
    <x v="16"/>
    <x v="16"/>
    <x v="4"/>
    <x v="4"/>
    <x v="0"/>
  </r>
  <r>
    <n v="6116"/>
    <x v="5"/>
    <s v="21-30 years"/>
    <n v="28"/>
    <x v="0"/>
    <x v="0"/>
    <x v="16"/>
    <s v="Extremely Severe"/>
    <n v="2.4043359999999998"/>
    <x v="13"/>
    <x v="3"/>
    <n v="1.9521089"/>
    <n v="38"/>
    <s v="Extremely Severe"/>
    <n v="2.5512744999999999"/>
    <n v="34.666668000000001"/>
    <n v="35"/>
    <x v="3"/>
    <n v="2.3025731999999999"/>
    <x v="553"/>
    <x v="3"/>
    <x v="3"/>
    <n v="5000"/>
    <n v="5000"/>
    <x v="2"/>
    <x v="2"/>
    <x v="1"/>
    <x v="1"/>
    <x v="1"/>
  </r>
  <r>
    <n v="6117"/>
    <x v="5"/>
    <s v="41-50 years"/>
    <n v="42"/>
    <x v="0"/>
    <x v="0"/>
    <x v="5"/>
    <s v="Moderate"/>
    <n v="0.39388975999999998"/>
    <x v="3"/>
    <x v="0"/>
    <n v="0.39481880000000003"/>
    <n v="16"/>
    <s v="Moderate"/>
    <n v="0.43226320000000001"/>
    <n v="15.333333"/>
    <n v="15"/>
    <x v="1"/>
    <n v="0.40699059999999998"/>
    <x v="219"/>
    <x v="2"/>
    <x v="2"/>
    <n v="3750"/>
    <n v="3750"/>
    <x v="15"/>
    <x v="15"/>
    <x v="3"/>
    <x v="3"/>
    <x v="0"/>
  </r>
  <r>
    <n v="6118"/>
    <x v="5"/>
    <s v="41-50 years"/>
    <n v="41"/>
    <x v="0"/>
    <x v="0"/>
    <x v="11"/>
    <s v="Moderate"/>
    <n v="0.99702360000000001"/>
    <x v="12"/>
    <x v="2"/>
    <n v="1.1734637999999999"/>
    <n v="20"/>
    <s v="Moderate"/>
    <n v="0.81753799999999999"/>
    <n v="21.333334000000001"/>
    <n v="21"/>
    <x v="2"/>
    <n v="0.99600845999999998"/>
    <x v="611"/>
    <x v="2"/>
    <x v="2"/>
    <n v="1666.6666"/>
    <n v="1667"/>
    <x v="1"/>
    <x v="1"/>
    <x v="0"/>
    <x v="0"/>
    <x v="0"/>
  </r>
  <r>
    <n v="6119"/>
    <x v="5"/>
    <s v="21-30 years"/>
    <n v="28"/>
    <x v="1"/>
    <x v="1"/>
    <x v="13"/>
    <s v="Severe"/>
    <n v="1.3991127999999999"/>
    <x v="3"/>
    <x v="0"/>
    <n v="0.39481880000000003"/>
    <n v="22"/>
    <s v="Severe"/>
    <n v="1.0101753"/>
    <n v="20.666665999999999"/>
    <n v="21"/>
    <x v="2"/>
    <n v="0.93470233999999996"/>
    <x v="588"/>
    <x v="2"/>
    <x v="2"/>
    <n v="3000"/>
    <n v="3000"/>
    <x v="22"/>
    <x v="22"/>
    <x v="3"/>
    <x v="3"/>
    <x v="0"/>
  </r>
  <r>
    <n v="6120"/>
    <x v="5"/>
    <s v="31-40 years"/>
    <n v="36"/>
    <x v="0"/>
    <x v="5"/>
    <x v="13"/>
    <s v="Severe"/>
    <n v="1.3991127999999999"/>
    <x v="17"/>
    <x v="0"/>
    <n v="0.78414130000000004"/>
    <n v="24"/>
    <s v="Severe"/>
    <n v="1.2028128"/>
    <n v="22.666665999999999"/>
    <n v="23"/>
    <x v="2"/>
    <n v="1.1286889"/>
    <x v="612"/>
    <x v="2"/>
    <x v="2"/>
    <n v="2333.3332999999998"/>
    <n v="2333"/>
    <x v="37"/>
    <x v="37"/>
    <x v="4"/>
    <x v="4"/>
    <x v="0"/>
  </r>
  <r>
    <n v="6121"/>
    <x v="5"/>
    <s v="51-60 years"/>
    <n v="53"/>
    <x v="0"/>
    <x v="5"/>
    <x v="11"/>
    <s v="Moderate"/>
    <n v="0.99702360000000001"/>
    <x v="9"/>
    <x v="2"/>
    <n v="0.97880255999999999"/>
    <n v="18"/>
    <s v="Moderate"/>
    <n v="0.62490060000000003"/>
    <n v="20"/>
    <n v="20"/>
    <x v="1"/>
    <n v="0.86690889999999998"/>
    <x v="613"/>
    <x v="2"/>
    <x v="2"/>
    <n v="2000"/>
    <n v="2000"/>
    <x v="11"/>
    <x v="11"/>
    <x v="4"/>
    <x v="4"/>
    <x v="0"/>
  </r>
  <r>
    <n v="6122"/>
    <x v="5"/>
    <s v="31-40 years"/>
    <n v="31"/>
    <x v="0"/>
    <x v="3"/>
    <x v="18"/>
    <s v="Extremely Severe"/>
    <n v="2.6053804999999999"/>
    <x v="13"/>
    <x v="3"/>
    <n v="1.9521089"/>
    <n v="40"/>
    <s v="Extremely Severe"/>
    <n v="2.7439119999999999"/>
    <n v="36"/>
    <n v="36"/>
    <x v="3"/>
    <n v="2.4338004999999998"/>
    <x v="614"/>
    <x v="4"/>
    <x v="3"/>
    <n v="1666.6666"/>
    <n v="1667"/>
    <x v="1"/>
    <x v="1"/>
    <x v="0"/>
    <x v="0"/>
    <x v="0"/>
  </r>
  <r>
    <n v="6123"/>
    <x v="5"/>
    <s v="41-50 years"/>
    <n v="45"/>
    <x v="0"/>
    <x v="0"/>
    <x v="15"/>
    <s v="Extremely Severe"/>
    <n v="2.2032911999999998"/>
    <x v="18"/>
    <x v="3"/>
    <n v="2.5360925000000001"/>
    <n v="32"/>
    <s v="Extremely Severe"/>
    <n v="1.9733623"/>
    <n v="34"/>
    <n v="34"/>
    <x v="3"/>
    <n v="2.2375820000000002"/>
    <x v="615"/>
    <x v="3"/>
    <x v="3"/>
    <n v="5000"/>
    <n v="5000"/>
    <x v="2"/>
    <x v="2"/>
    <x v="1"/>
    <x v="1"/>
    <x v="1"/>
  </r>
  <r>
    <n v="6124"/>
    <x v="5"/>
    <s v="21-30 years"/>
    <n v="26"/>
    <x v="0"/>
    <x v="0"/>
    <x v="15"/>
    <s v="Extremely Severe"/>
    <n v="2.2032911999999998"/>
    <x v="19"/>
    <x v="3"/>
    <n v="2.3414313999999998"/>
    <n v="34"/>
    <s v="Extremely Severe"/>
    <n v="2.1659999999999999"/>
    <n v="34"/>
    <n v="34"/>
    <x v="3"/>
    <n v="2.2369075"/>
    <x v="616"/>
    <x v="3"/>
    <x v="3"/>
    <n v="2500"/>
    <n v="2500"/>
    <x v="12"/>
    <x v="12"/>
    <x v="4"/>
    <x v="4"/>
    <x v="0"/>
  </r>
  <r>
    <n v="6125"/>
    <x v="5"/>
    <s v="31-40 years"/>
    <n v="37"/>
    <x v="0"/>
    <x v="2"/>
    <x v="10"/>
    <s v="Severe"/>
    <n v="1.1980683000000001"/>
    <x v="12"/>
    <x v="2"/>
    <n v="1.1734637999999999"/>
    <n v="26"/>
    <s v="Severe"/>
    <n v="1.3954502"/>
    <n v="24"/>
    <n v="24"/>
    <x v="2"/>
    <n v="1.2556608"/>
    <x v="617"/>
    <x v="2"/>
    <x v="2"/>
    <n v="2500"/>
    <n v="2500"/>
    <x v="12"/>
    <x v="12"/>
    <x v="4"/>
    <x v="4"/>
    <x v="0"/>
  </r>
  <r>
    <n v="6126"/>
    <x v="5"/>
    <s v="21-30 years"/>
    <n v="25"/>
    <x v="0"/>
    <x v="3"/>
    <x v="5"/>
    <s v="Moderate"/>
    <n v="0.39388975999999998"/>
    <x v="3"/>
    <x v="0"/>
    <n v="0.39481880000000003"/>
    <n v="18"/>
    <s v="Moderate"/>
    <n v="0.62490060000000003"/>
    <n v="16"/>
    <n v="16"/>
    <x v="1"/>
    <n v="0.47120306000000001"/>
    <x v="618"/>
    <x v="2"/>
    <x v="2"/>
    <n v="5000"/>
    <n v="5000"/>
    <x v="2"/>
    <x v="2"/>
    <x v="1"/>
    <x v="1"/>
    <x v="1"/>
  </r>
  <r>
    <n v="6127"/>
    <x v="5"/>
    <s v="21-30 years"/>
    <n v="25"/>
    <x v="0"/>
    <x v="7"/>
    <x v="5"/>
    <s v="Moderate"/>
    <n v="0.39388975999999998"/>
    <x v="15"/>
    <x v="2"/>
    <n v="1.7574476000000001"/>
    <n v="16"/>
    <s v="Moderate"/>
    <n v="0.43226320000000001"/>
    <n v="20"/>
    <n v="20"/>
    <x v="1"/>
    <n v="0.86120019999999997"/>
    <x v="619"/>
    <x v="2"/>
    <x v="2"/>
    <n v="7500"/>
    <n v="7500"/>
    <x v="13"/>
    <x v="13"/>
    <x v="5"/>
    <x v="5"/>
    <x v="2"/>
  </r>
  <r>
    <n v="6128"/>
    <x v="5"/>
    <s v="21-30 years"/>
    <n v="25"/>
    <x v="0"/>
    <x v="3"/>
    <x v="0"/>
    <s v="Normal"/>
    <n v="-0.41028870000000001"/>
    <x v="0"/>
    <x v="0"/>
    <n v="5.496318E-3"/>
    <n v="8"/>
    <s v="Normal"/>
    <n v="-0.33828637"/>
    <n v="8.6666670000000003"/>
    <n v="9"/>
    <x v="0"/>
    <n v="-0.24769290999999999"/>
    <x v="0"/>
    <x v="0"/>
    <x v="0"/>
    <n v="6666.6665000000003"/>
    <n v="6667"/>
    <x v="21"/>
    <x v="21"/>
    <x v="2"/>
    <x v="2"/>
    <x v="2"/>
  </r>
  <r>
    <n v="6129"/>
    <x v="5"/>
    <s v="21-30 years"/>
    <n v="25"/>
    <x v="0"/>
    <x v="3"/>
    <x v="5"/>
    <s v="Moderate"/>
    <n v="0.39388975999999998"/>
    <x v="14"/>
    <x v="2"/>
    <n v="1.5627863"/>
    <n v="16"/>
    <s v="Moderate"/>
    <n v="0.43226320000000001"/>
    <n v="19.333334000000001"/>
    <n v="19"/>
    <x v="1"/>
    <n v="0.7963131"/>
    <x v="620"/>
    <x v="2"/>
    <x v="2"/>
    <n v="5000"/>
    <n v="5000"/>
    <x v="2"/>
    <x v="2"/>
    <x v="1"/>
    <x v="1"/>
    <x v="1"/>
  </r>
  <r>
    <n v="6130"/>
    <x v="5"/>
    <s v="21-30 years"/>
    <n v="26"/>
    <x v="0"/>
    <x v="3"/>
    <x v="11"/>
    <s v="Moderate"/>
    <n v="0.99702360000000001"/>
    <x v="12"/>
    <x v="2"/>
    <n v="1.1734637999999999"/>
    <n v="30"/>
    <s v="Severe"/>
    <n v="1.7807249999999999"/>
    <n v="24.666665999999999"/>
    <n v="25"/>
    <x v="2"/>
    <n v="1.3170708"/>
    <x v="172"/>
    <x v="2"/>
    <x v="2"/>
    <n v="4500"/>
    <n v="4500"/>
    <x v="42"/>
    <x v="42"/>
    <x v="1"/>
    <x v="1"/>
    <x v="1"/>
  </r>
  <r>
    <n v="6131"/>
    <x v="5"/>
    <s v="21-30 years"/>
    <n v="29"/>
    <x v="0"/>
    <x v="3"/>
    <x v="10"/>
    <s v="Severe"/>
    <n v="1.1980683000000001"/>
    <x v="17"/>
    <x v="0"/>
    <n v="0.78414130000000004"/>
    <n v="32"/>
    <s v="Extremely Severe"/>
    <n v="1.9733623"/>
    <n v="24.666665999999999"/>
    <n v="25"/>
    <x v="2"/>
    <n v="1.318524"/>
    <x v="621"/>
    <x v="2"/>
    <x v="2"/>
    <n v="3200"/>
    <n v="3200"/>
    <x v="33"/>
    <x v="33"/>
    <x v="3"/>
    <x v="3"/>
    <x v="0"/>
  </r>
  <r>
    <n v="6132"/>
    <x v="5"/>
    <s v="21-30 years"/>
    <n v="29"/>
    <x v="1"/>
    <x v="4"/>
    <x v="2"/>
    <s v="Normal"/>
    <n v="-0.20924408999999999"/>
    <x v="9"/>
    <x v="2"/>
    <n v="0.97880255999999999"/>
    <n v="18"/>
    <s v="Moderate"/>
    <n v="0.62490060000000003"/>
    <n v="16"/>
    <n v="16"/>
    <x v="1"/>
    <n v="0.46481967000000002"/>
    <x v="622"/>
    <x v="2"/>
    <x v="2"/>
    <n v="2000"/>
    <n v="2000"/>
    <x v="11"/>
    <x v="11"/>
    <x v="4"/>
    <x v="4"/>
    <x v="0"/>
  </r>
  <r>
    <n v="6133"/>
    <x v="5"/>
    <s v="51-60 years"/>
    <n v="53"/>
    <x v="1"/>
    <x v="1"/>
    <x v="7"/>
    <s v="Moderate"/>
    <n v="0.19284514999999999"/>
    <x v="0"/>
    <x v="0"/>
    <n v="5.496318E-3"/>
    <n v="8"/>
    <s v="Normal"/>
    <n v="-0.33828637"/>
    <n v="10.666667"/>
    <n v="11"/>
    <x v="1"/>
    <n v="-4.6648299999999997E-2"/>
    <x v="440"/>
    <x v="0"/>
    <x v="0"/>
    <n v="3000"/>
    <n v="3000"/>
    <x v="22"/>
    <x v="22"/>
    <x v="3"/>
    <x v="3"/>
    <x v="0"/>
  </r>
  <r>
    <n v="6134"/>
    <x v="5"/>
    <s v="51-60 years"/>
    <n v="56"/>
    <x v="0"/>
    <x v="0"/>
    <x v="2"/>
    <s v="Normal"/>
    <n v="-0.20924408999999999"/>
    <x v="8"/>
    <x v="1"/>
    <n v="-0.18916494"/>
    <n v="8"/>
    <s v="Normal"/>
    <n v="-0.33828637"/>
    <n v="8.6666670000000003"/>
    <n v="9"/>
    <x v="0"/>
    <n v="-0.24556512999999999"/>
    <x v="537"/>
    <x v="0"/>
    <x v="0"/>
    <n v="2000"/>
    <n v="2000"/>
    <x v="11"/>
    <x v="11"/>
    <x v="4"/>
    <x v="4"/>
    <x v="0"/>
  </r>
  <r>
    <n v="6135"/>
    <x v="5"/>
    <s v="31-40 years"/>
    <n v="36"/>
    <x v="0"/>
    <x v="3"/>
    <x v="8"/>
    <s v="Normal"/>
    <n v="-1.0134224999999999"/>
    <x v="10"/>
    <x v="1"/>
    <n v="-1.1624711999999999"/>
    <n v="2"/>
    <s v="Normal"/>
    <n v="-0.91619854999999994"/>
    <n v="0.66666669999999995"/>
    <n v="1"/>
    <x v="0"/>
    <n v="-1.0306972999999999"/>
    <x v="68"/>
    <x v="1"/>
    <x v="1"/>
    <n v="3750"/>
    <n v="3750"/>
    <x v="15"/>
    <x v="15"/>
    <x v="3"/>
    <x v="3"/>
    <x v="0"/>
  </r>
  <r>
    <n v="6136"/>
    <x v="5"/>
    <s v="31-40 years"/>
    <n v="33"/>
    <x v="0"/>
    <x v="3"/>
    <x v="1"/>
    <s v="Normal"/>
    <n v="-0.81237789999999999"/>
    <x v="2"/>
    <x v="1"/>
    <n v="-0.9678099"/>
    <n v="4"/>
    <s v="Normal"/>
    <n v="-0.72356116999999998"/>
    <n v="2.6666666999999999"/>
    <n v="3"/>
    <x v="0"/>
    <n v="-0.83458299999999996"/>
    <x v="77"/>
    <x v="1"/>
    <x v="1"/>
    <n v="1428.5714"/>
    <n v="1429"/>
    <x v="79"/>
    <x v="79"/>
    <x v="0"/>
    <x v="0"/>
    <x v="0"/>
  </r>
  <r>
    <n v="6137"/>
    <x v="5"/>
    <s v="31-40 years"/>
    <n v="38"/>
    <x v="0"/>
    <x v="3"/>
    <x v="4"/>
    <s v="Normal"/>
    <n v="-0.61133329999999997"/>
    <x v="7"/>
    <x v="1"/>
    <n v="-0.38382620000000001"/>
    <n v="8"/>
    <s v="Normal"/>
    <n v="-0.33828637"/>
    <n v="6.6666664999999998"/>
    <n v="7"/>
    <x v="0"/>
    <n v="-0.44448197"/>
    <x v="460"/>
    <x v="0"/>
    <x v="0"/>
    <n v="22500"/>
    <n v="22500"/>
    <x v="109"/>
    <x v="109"/>
    <x v="5"/>
    <x v="5"/>
    <x v="2"/>
  </r>
  <r>
    <n v="6138"/>
    <x v="5"/>
    <s v="31-40 years"/>
    <n v="35"/>
    <x v="0"/>
    <x v="3"/>
    <x v="3"/>
    <s v="Normal"/>
    <n v="-8.1994660000000007E-3"/>
    <x v="2"/>
    <x v="1"/>
    <n v="-0.9678099"/>
    <n v="6"/>
    <s v="Normal"/>
    <n v="-0.53092379999999995"/>
    <n v="6"/>
    <n v="6"/>
    <x v="0"/>
    <n v="-0.50231104999999998"/>
    <x v="623"/>
    <x v="0"/>
    <x v="0"/>
    <n v="2000"/>
    <n v="2000"/>
    <x v="11"/>
    <x v="11"/>
    <x v="4"/>
    <x v="4"/>
    <x v="0"/>
  </r>
  <r>
    <n v="6139"/>
    <x v="5"/>
    <s v="31-40 years"/>
    <n v="34"/>
    <x v="0"/>
    <x v="3"/>
    <x v="2"/>
    <s v="Normal"/>
    <n v="-0.20924408999999999"/>
    <x v="6"/>
    <x v="0"/>
    <n v="0.58948003999999998"/>
    <n v="8"/>
    <s v="Normal"/>
    <n v="-0.33828637"/>
    <n v="11.333333"/>
    <n v="11"/>
    <x v="1"/>
    <n v="1.3983195E-2"/>
    <x v="624"/>
    <x v="0"/>
    <x v="0"/>
    <n v="3333.3332999999998"/>
    <n v="3333"/>
    <x v="10"/>
    <x v="10"/>
    <x v="3"/>
    <x v="3"/>
    <x v="0"/>
  </r>
  <r>
    <n v="6140"/>
    <x v="5"/>
    <s v="21-30 years"/>
    <n v="30"/>
    <x v="0"/>
    <x v="3"/>
    <x v="2"/>
    <s v="Normal"/>
    <n v="-0.20924408999999999"/>
    <x v="1"/>
    <x v="1"/>
    <n v="-0.77314866000000004"/>
    <n v="10"/>
    <s v="Normal"/>
    <n v="-0.14564899000000001"/>
    <n v="7.3333335000000002"/>
    <n v="7"/>
    <x v="0"/>
    <n v="-0.37601390000000001"/>
    <x v="625"/>
    <x v="0"/>
    <x v="0"/>
    <n v="3750"/>
    <n v="3750"/>
    <x v="15"/>
    <x v="15"/>
    <x v="3"/>
    <x v="3"/>
    <x v="0"/>
  </r>
  <r>
    <n v="6141"/>
    <x v="5"/>
    <s v="21-30 years"/>
    <n v="27"/>
    <x v="0"/>
    <x v="4"/>
    <x v="0"/>
    <s v="Normal"/>
    <n v="-0.41028870000000001"/>
    <x v="1"/>
    <x v="1"/>
    <n v="-0.77314866000000004"/>
    <n v="8"/>
    <s v="Normal"/>
    <n v="-0.33828637"/>
    <n v="6"/>
    <n v="6"/>
    <x v="0"/>
    <n v="-0.50724124999999998"/>
    <x v="462"/>
    <x v="0"/>
    <x v="0"/>
    <n v="4000"/>
    <n v="4000"/>
    <x v="7"/>
    <x v="7"/>
    <x v="3"/>
    <x v="3"/>
    <x v="0"/>
  </r>
  <r>
    <n v="6142"/>
    <x v="5"/>
    <s v="21-30 years"/>
    <n v="28"/>
    <x v="0"/>
    <x v="3"/>
    <x v="4"/>
    <s v="Normal"/>
    <n v="-0.61133329999999997"/>
    <x v="1"/>
    <x v="1"/>
    <n v="-0.77314866000000004"/>
    <n v="6"/>
    <s v="Normal"/>
    <n v="-0.53092379999999995"/>
    <n v="4.6666664999999998"/>
    <n v="5"/>
    <x v="0"/>
    <n v="-0.63846855999999996"/>
    <x v="75"/>
    <x v="1"/>
    <x v="1"/>
    <n v="1666.6666"/>
    <n v="1667"/>
    <x v="1"/>
    <x v="1"/>
    <x v="0"/>
    <x v="0"/>
    <x v="0"/>
  </r>
  <r>
    <n v="6143"/>
    <x v="5"/>
    <s v="21-30 years"/>
    <n v="30"/>
    <x v="0"/>
    <x v="3"/>
    <x v="4"/>
    <s v="Normal"/>
    <n v="-0.61133329999999997"/>
    <x v="5"/>
    <x v="1"/>
    <n v="-0.57848745999999995"/>
    <n v="10"/>
    <s v="Normal"/>
    <n v="-0.14564899000000001"/>
    <n v="6.6666664999999998"/>
    <n v="7"/>
    <x v="0"/>
    <n v="-0.44515656999999997"/>
    <x v="414"/>
    <x v="0"/>
    <x v="0"/>
    <n v="4000"/>
    <n v="4000"/>
    <x v="7"/>
    <x v="7"/>
    <x v="3"/>
    <x v="3"/>
    <x v="0"/>
  </r>
  <r>
    <n v="6144"/>
    <x v="5"/>
    <s v="31-40 years"/>
    <n v="33"/>
    <x v="0"/>
    <x v="3"/>
    <x v="11"/>
    <s v="Moderate"/>
    <n v="0.99702360000000001"/>
    <x v="6"/>
    <x v="0"/>
    <n v="0.58948003999999998"/>
    <n v="16"/>
    <s v="Moderate"/>
    <n v="0.43226320000000001"/>
    <n v="18"/>
    <n v="18"/>
    <x v="1"/>
    <n v="0.67292225000000006"/>
    <x v="216"/>
    <x v="2"/>
    <x v="2"/>
    <n v="4000"/>
    <n v="4000"/>
    <x v="7"/>
    <x v="7"/>
    <x v="3"/>
    <x v="3"/>
    <x v="0"/>
  </r>
  <r>
    <n v="6145"/>
    <x v="5"/>
    <s v="21-30 years"/>
    <n v="26"/>
    <x v="0"/>
    <x v="3"/>
    <x v="18"/>
    <s v="Extremely Severe"/>
    <n v="2.6053804999999999"/>
    <x v="16"/>
    <x v="3"/>
    <n v="2.1467700000000001"/>
    <n v="34"/>
    <s v="Extremely Severe"/>
    <n v="2.1659999999999999"/>
    <n v="34.666668000000001"/>
    <n v="35"/>
    <x v="3"/>
    <n v="2.3060499999999999"/>
    <x v="204"/>
    <x v="3"/>
    <x v="3"/>
    <n v="3000"/>
    <n v="3000"/>
    <x v="22"/>
    <x v="22"/>
    <x v="3"/>
    <x v="3"/>
    <x v="0"/>
  </r>
  <r>
    <n v="6146"/>
    <x v="5"/>
    <s v="31-40 years"/>
    <n v="32"/>
    <x v="0"/>
    <x v="3"/>
    <x v="0"/>
    <s v="Normal"/>
    <n v="-0.41028870000000001"/>
    <x v="7"/>
    <x v="1"/>
    <n v="-0.38382620000000001"/>
    <n v="8"/>
    <s v="Normal"/>
    <n v="-0.33828637"/>
    <n v="7.3333335000000002"/>
    <n v="7"/>
    <x v="0"/>
    <n v="-0.3774671"/>
    <x v="32"/>
    <x v="0"/>
    <x v="0"/>
    <n v="6000"/>
    <n v="6000"/>
    <x v="6"/>
    <x v="6"/>
    <x v="2"/>
    <x v="2"/>
    <x v="2"/>
  </r>
  <r>
    <n v="6147"/>
    <x v="5"/>
    <s v="31-40 years"/>
    <n v="33"/>
    <x v="0"/>
    <x v="3"/>
    <x v="8"/>
    <s v="Normal"/>
    <n v="-1.0134224999999999"/>
    <x v="2"/>
    <x v="1"/>
    <n v="-0.9678099"/>
    <n v="0"/>
    <s v="Normal"/>
    <n v="-1.1088359000000001"/>
    <n v="0.66666669999999995"/>
    <n v="1"/>
    <x v="0"/>
    <n v="-1.0300227"/>
    <x v="411"/>
    <x v="1"/>
    <x v="1"/>
    <n v="1428.5714"/>
    <n v="1429"/>
    <x v="79"/>
    <x v="79"/>
    <x v="0"/>
    <x v="0"/>
    <x v="0"/>
  </r>
  <r>
    <n v="6148"/>
    <x v="5"/>
    <s v="21-30 years"/>
    <n v="30"/>
    <x v="0"/>
    <x v="3"/>
    <x v="4"/>
    <s v="Normal"/>
    <n v="-0.61133329999999997"/>
    <x v="7"/>
    <x v="1"/>
    <n v="-0.38382620000000001"/>
    <n v="8"/>
    <s v="Normal"/>
    <n v="-0.33828637"/>
    <n v="6.6666664999999998"/>
    <n v="7"/>
    <x v="0"/>
    <n v="-0.44448197"/>
    <x v="460"/>
    <x v="0"/>
    <x v="0"/>
    <n v="3750"/>
    <n v="3750"/>
    <x v="15"/>
    <x v="15"/>
    <x v="3"/>
    <x v="3"/>
    <x v="0"/>
  </r>
  <r>
    <n v="6149"/>
    <x v="5"/>
    <s v="31-40 years"/>
    <n v="39"/>
    <x v="0"/>
    <x v="0"/>
    <x v="4"/>
    <s v="Normal"/>
    <n v="-0.61133329999999997"/>
    <x v="7"/>
    <x v="1"/>
    <n v="-0.38382620000000001"/>
    <n v="8"/>
    <s v="Normal"/>
    <n v="-0.33828637"/>
    <n v="6.6666664999999998"/>
    <n v="7"/>
    <x v="0"/>
    <n v="-0.44448197"/>
    <x v="460"/>
    <x v="0"/>
    <x v="0"/>
    <n v="3750"/>
    <n v="3750"/>
    <x v="15"/>
    <x v="15"/>
    <x v="3"/>
    <x v="3"/>
    <x v="0"/>
  </r>
  <r>
    <n v="6150"/>
    <x v="5"/>
    <s v="21-30 years"/>
    <n v="30"/>
    <x v="0"/>
    <x v="3"/>
    <x v="4"/>
    <s v="Normal"/>
    <n v="-0.61133329999999997"/>
    <x v="0"/>
    <x v="0"/>
    <n v="5.496318E-3"/>
    <n v="12"/>
    <s v="Moderate"/>
    <n v="4.6988415999999998E-2"/>
    <n v="9.3333329999999997"/>
    <n v="9"/>
    <x v="0"/>
    <n v="-0.18628285999999999"/>
    <x v="288"/>
    <x v="0"/>
    <x v="0"/>
    <n v="5000"/>
    <n v="5000"/>
    <x v="2"/>
    <x v="2"/>
    <x v="1"/>
    <x v="1"/>
    <x v="1"/>
  </r>
  <r>
    <n v="6151"/>
    <x v="5"/>
    <s v="31-40 years"/>
    <n v="40"/>
    <x v="0"/>
    <x v="0"/>
    <x v="2"/>
    <s v="Normal"/>
    <n v="-0.20924408999999999"/>
    <x v="8"/>
    <x v="1"/>
    <n v="-0.18916494"/>
    <n v="4"/>
    <s v="Normal"/>
    <n v="-0.72356116999999998"/>
    <n v="7.3333335000000002"/>
    <n v="7"/>
    <x v="0"/>
    <n v="-0.37399006000000001"/>
    <x v="187"/>
    <x v="0"/>
    <x v="0"/>
    <n v="3750"/>
    <n v="3750"/>
    <x v="15"/>
    <x v="15"/>
    <x v="3"/>
    <x v="3"/>
    <x v="0"/>
  </r>
  <r>
    <n v="6152"/>
    <x v="5"/>
    <s v="31-40 years"/>
    <n v="32"/>
    <x v="0"/>
    <x v="0"/>
    <x v="7"/>
    <s v="Moderate"/>
    <n v="0.19284514999999999"/>
    <x v="4"/>
    <x v="0"/>
    <n v="0.20015757000000001"/>
    <n v="14"/>
    <s v="Moderate"/>
    <n v="0.23962580999999999"/>
    <n v="13.333333"/>
    <n v="13"/>
    <x v="1"/>
    <n v="0.21087618"/>
    <x v="626"/>
    <x v="0"/>
    <x v="0"/>
    <n v="3750"/>
    <n v="3750"/>
    <x v="15"/>
    <x v="15"/>
    <x v="3"/>
    <x v="3"/>
    <x v="0"/>
  </r>
  <r>
    <n v="6153"/>
    <x v="5"/>
    <s v="51-60 years"/>
    <n v="55"/>
    <x v="1"/>
    <x v="0"/>
    <x v="5"/>
    <s v="Moderate"/>
    <n v="0.39388975999999998"/>
    <x v="11"/>
    <x v="2"/>
    <n v="1.3681251000000001"/>
    <n v="16"/>
    <s v="Moderate"/>
    <n v="0.43226320000000001"/>
    <n v="18.666665999999999"/>
    <n v="19"/>
    <x v="1"/>
    <n v="0.73142600000000002"/>
    <x v="627"/>
    <x v="2"/>
    <x v="2"/>
    <n v="7500"/>
    <n v="7500"/>
    <x v="13"/>
    <x v="13"/>
    <x v="5"/>
    <x v="5"/>
    <x v="2"/>
  </r>
  <r>
    <n v="6154"/>
    <x v="5"/>
    <s v="31-40 years"/>
    <n v="36"/>
    <x v="1"/>
    <x v="3"/>
    <x v="4"/>
    <s v="Normal"/>
    <n v="-0.61133329999999997"/>
    <x v="12"/>
    <x v="2"/>
    <n v="1.1734637999999999"/>
    <n v="16"/>
    <s v="Moderate"/>
    <n v="0.43226320000000001"/>
    <n v="14.666667"/>
    <n v="15"/>
    <x v="1"/>
    <n v="0.33146456000000002"/>
    <x v="628"/>
    <x v="0"/>
    <x v="0"/>
    <n v="4166.6665000000003"/>
    <n v="4167"/>
    <x v="24"/>
    <x v="24"/>
    <x v="3"/>
    <x v="3"/>
    <x v="0"/>
  </r>
  <r>
    <n v="6155"/>
    <x v="5"/>
    <s v="31-40 years"/>
    <n v="36"/>
    <x v="1"/>
    <x v="3"/>
    <x v="11"/>
    <s v="Moderate"/>
    <n v="0.99702360000000001"/>
    <x v="19"/>
    <x v="3"/>
    <n v="2.3414313999999998"/>
    <n v="18"/>
    <s v="Moderate"/>
    <n v="0.62490060000000003"/>
    <n v="24.666665999999999"/>
    <n v="25"/>
    <x v="2"/>
    <n v="1.3211185000000001"/>
    <x v="629"/>
    <x v="2"/>
    <x v="2"/>
    <n v="5000"/>
    <n v="5000"/>
    <x v="2"/>
    <x v="2"/>
    <x v="1"/>
    <x v="1"/>
    <x v="1"/>
  </r>
  <r>
    <n v="6156"/>
    <x v="5"/>
    <s v="21-30 years"/>
    <n v="27"/>
    <x v="1"/>
    <x v="3"/>
    <x v="14"/>
    <s v="Severe"/>
    <n v="1.801202"/>
    <x v="18"/>
    <x v="3"/>
    <n v="2.5360925000000001"/>
    <n v="16"/>
    <s v="Moderate"/>
    <n v="0.43226320000000001"/>
    <n v="27.333334000000001"/>
    <n v="27"/>
    <x v="2"/>
    <n v="1.5898525999999999"/>
    <x v="630"/>
    <x v="3"/>
    <x v="3"/>
    <n v="5000"/>
    <n v="5000"/>
    <x v="2"/>
    <x v="2"/>
    <x v="1"/>
    <x v="1"/>
    <x v="1"/>
  </r>
  <r>
    <n v="6157"/>
    <x v="5"/>
    <s v="21-30 years"/>
    <n v="25"/>
    <x v="1"/>
    <x v="3"/>
    <x v="11"/>
    <s v="Moderate"/>
    <n v="0.99702360000000001"/>
    <x v="15"/>
    <x v="2"/>
    <n v="1.7574476000000001"/>
    <n v="18"/>
    <s v="Moderate"/>
    <n v="0.62490060000000003"/>
    <n v="22.666665999999999"/>
    <n v="23"/>
    <x v="2"/>
    <n v="1.1264571999999999"/>
    <x v="631"/>
    <x v="2"/>
    <x v="2"/>
    <n v="5000"/>
    <n v="5000"/>
    <x v="2"/>
    <x v="2"/>
    <x v="1"/>
    <x v="1"/>
    <x v="1"/>
  </r>
  <r>
    <n v="6158"/>
    <x v="5"/>
    <s v="51-60 years"/>
    <n v="54"/>
    <x v="1"/>
    <x v="3"/>
    <x v="14"/>
    <s v="Severe"/>
    <n v="1.801202"/>
    <x v="15"/>
    <x v="2"/>
    <n v="1.7574476000000001"/>
    <n v="24"/>
    <s v="Severe"/>
    <n v="1.2028128"/>
    <n v="27.333334000000001"/>
    <n v="27"/>
    <x v="2"/>
    <n v="1.5871542000000001"/>
    <x v="142"/>
    <x v="3"/>
    <x v="3"/>
    <n v="6250"/>
    <n v="6250"/>
    <x v="27"/>
    <x v="27"/>
    <x v="2"/>
    <x v="2"/>
    <x v="2"/>
  </r>
  <r>
    <n v="6159"/>
    <x v="5"/>
    <s v="21-30 years"/>
    <n v="26"/>
    <x v="1"/>
    <x v="3"/>
    <x v="4"/>
    <s v="Normal"/>
    <n v="-0.61133329999999997"/>
    <x v="15"/>
    <x v="2"/>
    <n v="1.7574476000000001"/>
    <n v="16"/>
    <s v="Moderate"/>
    <n v="0.43226320000000001"/>
    <n v="16.666665999999999"/>
    <n v="17"/>
    <x v="1"/>
    <n v="0.52612585000000001"/>
    <x v="632"/>
    <x v="2"/>
    <x v="2"/>
    <n v="5000"/>
    <n v="5000"/>
    <x v="2"/>
    <x v="2"/>
    <x v="1"/>
    <x v="1"/>
    <x v="1"/>
  </r>
  <r>
    <n v="6160"/>
    <x v="5"/>
    <s v="31-40 years"/>
    <n v="32"/>
    <x v="1"/>
    <x v="1"/>
    <x v="12"/>
    <s v="Moderate"/>
    <n v="0.79597896000000001"/>
    <x v="12"/>
    <x v="2"/>
    <n v="1.1734637999999999"/>
    <n v="28"/>
    <s v="Severe"/>
    <n v="1.5880875999999999"/>
    <n v="23.333334000000001"/>
    <n v="23"/>
    <x v="2"/>
    <n v="1.1858435000000001"/>
    <x v="633"/>
    <x v="2"/>
    <x v="2"/>
    <n v="4285.7143999999998"/>
    <n v="4286"/>
    <x v="53"/>
    <x v="53"/>
    <x v="3"/>
    <x v="3"/>
    <x v="0"/>
  </r>
  <r>
    <n v="6161"/>
    <x v="5"/>
    <s v="31-40 years"/>
    <n v="36"/>
    <x v="1"/>
    <x v="3"/>
    <x v="17"/>
    <s v="Severe"/>
    <n v="2.0022465999999999"/>
    <x v="21"/>
    <x v="3"/>
    <n v="2.7307540000000001"/>
    <n v="34"/>
    <s v="Extremely Severe"/>
    <n v="2.1659999999999999"/>
    <n v="34.666668000000001"/>
    <n v="35"/>
    <x v="3"/>
    <n v="2.2996669999999999"/>
    <x v="634"/>
    <x v="3"/>
    <x v="3"/>
    <n v="5000"/>
    <n v="5000"/>
    <x v="2"/>
    <x v="2"/>
    <x v="1"/>
    <x v="1"/>
    <x v="1"/>
  </r>
  <r>
    <n v="6162"/>
    <x v="5"/>
    <s v="31-40 years"/>
    <n v="34"/>
    <x v="1"/>
    <x v="3"/>
    <x v="0"/>
    <s v="Normal"/>
    <n v="-0.41028870000000001"/>
    <x v="13"/>
    <x v="3"/>
    <n v="1.9521089"/>
    <n v="16"/>
    <s v="Moderate"/>
    <n v="0.43226320000000001"/>
    <n v="18"/>
    <n v="18"/>
    <x v="1"/>
    <n v="0.65802777000000001"/>
    <x v="635"/>
    <x v="2"/>
    <x v="2"/>
    <n v="5000"/>
    <n v="5000"/>
    <x v="2"/>
    <x v="2"/>
    <x v="1"/>
    <x v="1"/>
    <x v="1"/>
  </r>
  <r>
    <n v="6163"/>
    <x v="5"/>
    <s v="41-50 years"/>
    <n v="42"/>
    <x v="1"/>
    <x v="0"/>
    <x v="6"/>
    <s v="Moderate"/>
    <n v="0.59493434000000001"/>
    <x v="9"/>
    <x v="2"/>
    <n v="0.97880255999999999"/>
    <n v="20"/>
    <s v="Moderate"/>
    <n v="0.81753799999999999"/>
    <n v="19.333334000000001"/>
    <n v="19"/>
    <x v="1"/>
    <n v="0.79709165999999998"/>
    <x v="636"/>
    <x v="2"/>
    <x v="2"/>
    <n v="5000"/>
    <n v="5000"/>
    <x v="2"/>
    <x v="2"/>
    <x v="1"/>
    <x v="1"/>
    <x v="1"/>
  </r>
  <r>
    <n v="6164"/>
    <x v="5"/>
    <s v="41-50 years"/>
    <n v="43"/>
    <x v="1"/>
    <x v="3"/>
    <x v="12"/>
    <s v="Moderate"/>
    <n v="0.79597896000000001"/>
    <x v="14"/>
    <x v="2"/>
    <n v="1.5627863"/>
    <n v="16"/>
    <s v="Moderate"/>
    <n v="0.43226320000000001"/>
    <n v="20.666665999999999"/>
    <n v="21"/>
    <x v="2"/>
    <n v="0.93034285000000005"/>
    <x v="637"/>
    <x v="2"/>
    <x v="2"/>
    <n v="6250"/>
    <n v="6250"/>
    <x v="27"/>
    <x v="27"/>
    <x v="2"/>
    <x v="2"/>
    <x v="2"/>
  </r>
  <r>
    <n v="6165"/>
    <x v="5"/>
    <s v="31-40 years"/>
    <n v="32"/>
    <x v="1"/>
    <x v="3"/>
    <x v="9"/>
    <s v="Severe"/>
    <n v="1.6001574999999999"/>
    <x v="15"/>
    <x v="2"/>
    <n v="1.7574476000000001"/>
    <n v="22"/>
    <s v="Severe"/>
    <n v="1.0101753"/>
    <n v="26"/>
    <n v="26"/>
    <x v="2"/>
    <n v="1.4559268000000001"/>
    <x v="638"/>
    <x v="3"/>
    <x v="3"/>
    <n v="6250"/>
    <n v="6250"/>
    <x v="27"/>
    <x v="27"/>
    <x v="2"/>
    <x v="2"/>
    <x v="2"/>
  </r>
  <r>
    <n v="6166"/>
    <x v="5"/>
    <s v="51-60 years"/>
    <n v="53"/>
    <x v="1"/>
    <x v="3"/>
    <x v="7"/>
    <s v="Moderate"/>
    <n v="0.19284514999999999"/>
    <x v="15"/>
    <x v="2"/>
    <n v="1.7574476000000001"/>
    <n v="18"/>
    <s v="Moderate"/>
    <n v="0.62490060000000003"/>
    <n v="20"/>
    <n v="20"/>
    <x v="1"/>
    <n v="0.85839779999999999"/>
    <x v="639"/>
    <x v="2"/>
    <x v="2"/>
    <n v="7500"/>
    <n v="7500"/>
    <x v="13"/>
    <x v="13"/>
    <x v="5"/>
    <x v="5"/>
    <x v="2"/>
  </r>
  <r>
    <n v="6167"/>
    <x v="5"/>
    <s v="51-60 years"/>
    <n v="52"/>
    <x v="1"/>
    <x v="3"/>
    <x v="11"/>
    <s v="Moderate"/>
    <n v="0.99702360000000001"/>
    <x v="9"/>
    <x v="2"/>
    <n v="0.97880255999999999"/>
    <n v="22"/>
    <s v="Severe"/>
    <n v="1.0101753"/>
    <n v="21.333334000000001"/>
    <n v="21"/>
    <x v="2"/>
    <n v="0.99533384999999996"/>
    <x v="640"/>
    <x v="2"/>
    <x v="2"/>
    <n v="7500"/>
    <n v="7500"/>
    <x v="13"/>
    <x v="13"/>
    <x v="5"/>
    <x v="5"/>
    <x v="2"/>
  </r>
  <r>
    <n v="6168"/>
    <x v="5"/>
    <s v="51-60 years"/>
    <n v="52"/>
    <x v="1"/>
    <x v="3"/>
    <x v="12"/>
    <s v="Moderate"/>
    <n v="0.79597896000000001"/>
    <x v="12"/>
    <x v="2"/>
    <n v="1.1734637999999999"/>
    <n v="22"/>
    <s v="Severe"/>
    <n v="1.0101753"/>
    <n v="21.333334000000001"/>
    <n v="21"/>
    <x v="2"/>
    <n v="0.99320600000000003"/>
    <x v="641"/>
    <x v="2"/>
    <x v="2"/>
    <n v="6250"/>
    <n v="6250"/>
    <x v="27"/>
    <x v="27"/>
    <x v="2"/>
    <x v="2"/>
    <x v="2"/>
  </r>
  <r>
    <n v="6169"/>
    <x v="5"/>
    <s v="21-30 years"/>
    <n v="30"/>
    <x v="0"/>
    <x v="3"/>
    <x v="19"/>
    <s v="Extremely Severe"/>
    <n v="2.8064249999999999"/>
    <x v="15"/>
    <x v="2"/>
    <n v="1.7574476000000001"/>
    <n v="38"/>
    <s v="Extremely Severe"/>
    <n v="2.5512744999999999"/>
    <n v="35.333331999999999"/>
    <n v="35"/>
    <x v="3"/>
    <n v="2.3717158"/>
    <x v="642"/>
    <x v="3"/>
    <x v="3"/>
    <n v="3000"/>
    <n v="3000"/>
    <x v="22"/>
    <x v="22"/>
    <x v="3"/>
    <x v="3"/>
    <x v="0"/>
  </r>
  <r>
    <n v="6170"/>
    <x v="5"/>
    <s v="21-30 years"/>
    <n v="26"/>
    <x v="1"/>
    <x v="3"/>
    <x v="11"/>
    <s v="Moderate"/>
    <n v="0.99702360000000001"/>
    <x v="12"/>
    <x v="2"/>
    <n v="1.1734637999999999"/>
    <n v="22"/>
    <s v="Severe"/>
    <n v="1.0101753"/>
    <n v="22"/>
    <n v="22"/>
    <x v="2"/>
    <n v="1.0602210000000001"/>
    <x v="274"/>
    <x v="2"/>
    <x v="2"/>
    <n v="4166.6665000000003"/>
    <n v="4167"/>
    <x v="24"/>
    <x v="24"/>
    <x v="3"/>
    <x v="3"/>
    <x v="0"/>
  </r>
  <r>
    <n v="6171"/>
    <x v="5"/>
    <s v="31-40 years"/>
    <n v="40"/>
    <x v="0"/>
    <x v="3"/>
    <x v="4"/>
    <s v="Normal"/>
    <n v="-0.61133329999999997"/>
    <x v="7"/>
    <x v="1"/>
    <n v="-0.38382620000000001"/>
    <n v="10"/>
    <s v="Normal"/>
    <n v="-0.14564899000000001"/>
    <n v="7.3333335000000002"/>
    <n v="7"/>
    <x v="0"/>
    <n v="-0.38026949999999998"/>
    <x v="643"/>
    <x v="0"/>
    <x v="0"/>
    <n v="2000"/>
    <n v="2000"/>
    <x v="11"/>
    <x v="11"/>
    <x v="4"/>
    <x v="4"/>
    <x v="0"/>
  </r>
  <r>
    <n v="6172"/>
    <x v="5"/>
    <s v="41-50 years"/>
    <n v="45"/>
    <x v="0"/>
    <x v="0"/>
    <x v="0"/>
    <s v="Normal"/>
    <n v="-0.41028870000000001"/>
    <x v="5"/>
    <x v="1"/>
    <n v="-0.57848745999999995"/>
    <n v="10"/>
    <s v="Normal"/>
    <n v="-0.14564899000000001"/>
    <n v="7.3333335000000002"/>
    <n v="7"/>
    <x v="0"/>
    <n v="-0.37814170000000003"/>
    <x v="374"/>
    <x v="0"/>
    <x v="0"/>
    <n v="5000"/>
    <n v="5000"/>
    <x v="2"/>
    <x v="2"/>
    <x v="1"/>
    <x v="1"/>
    <x v="1"/>
  </r>
  <r>
    <n v="6173"/>
    <x v="5"/>
    <s v="51-60 years"/>
    <n v="58"/>
    <x v="0"/>
    <x v="3"/>
    <x v="10"/>
    <s v="Severe"/>
    <n v="1.1980683000000001"/>
    <x v="3"/>
    <x v="0"/>
    <n v="0.39481880000000003"/>
    <n v="20"/>
    <s v="Moderate"/>
    <n v="0.81753799999999999"/>
    <n v="19.333334000000001"/>
    <n v="19"/>
    <x v="1"/>
    <n v="0.80347500000000005"/>
    <x v="644"/>
    <x v="2"/>
    <x v="2"/>
    <n v="10000"/>
    <n v="10000"/>
    <x v="26"/>
    <x v="26"/>
    <x v="5"/>
    <x v="5"/>
    <x v="2"/>
  </r>
  <r>
    <n v="6174"/>
    <x v="5"/>
    <s v="51-60 years"/>
    <n v="59"/>
    <x v="1"/>
    <x v="1"/>
    <x v="7"/>
    <s v="Moderate"/>
    <n v="0.19284514999999999"/>
    <x v="3"/>
    <x v="0"/>
    <n v="0.39481880000000003"/>
    <n v="16"/>
    <s v="Moderate"/>
    <n v="0.43226320000000001"/>
    <n v="14.666667"/>
    <n v="15"/>
    <x v="1"/>
    <n v="0.33997569999999999"/>
    <x v="236"/>
    <x v="0"/>
    <x v="0"/>
    <n v="8000"/>
    <n v="8000"/>
    <x v="62"/>
    <x v="62"/>
    <x v="5"/>
    <x v="5"/>
    <x v="2"/>
  </r>
  <r>
    <n v="6175"/>
    <x v="5"/>
    <s v="51-60 years"/>
    <n v="58"/>
    <x v="0"/>
    <x v="3"/>
    <x v="11"/>
    <s v="Moderate"/>
    <n v="0.99702360000000001"/>
    <x v="12"/>
    <x v="2"/>
    <n v="1.1734637999999999"/>
    <n v="18"/>
    <s v="Moderate"/>
    <n v="0.62490060000000003"/>
    <n v="20.666665999999999"/>
    <n v="21"/>
    <x v="2"/>
    <n v="0.93179599999999996"/>
    <x v="212"/>
    <x v="2"/>
    <x v="2"/>
    <n v="8333.3330000000005"/>
    <n v="8333"/>
    <x v="20"/>
    <x v="20"/>
    <x v="5"/>
    <x v="5"/>
    <x v="2"/>
  </r>
  <r>
    <n v="6176"/>
    <x v="5"/>
    <s v="51-60 years"/>
    <n v="52"/>
    <x v="0"/>
    <x v="0"/>
    <x v="11"/>
    <s v="Moderate"/>
    <n v="0.99702360000000001"/>
    <x v="9"/>
    <x v="2"/>
    <n v="0.97880255999999999"/>
    <n v="22"/>
    <s v="Severe"/>
    <n v="1.0101753"/>
    <n v="21.333334000000001"/>
    <n v="21"/>
    <x v="2"/>
    <n v="0.99533384999999996"/>
    <x v="640"/>
    <x v="2"/>
    <x v="2"/>
    <n v="4000"/>
    <n v="4000"/>
    <x v="7"/>
    <x v="7"/>
    <x v="3"/>
    <x v="3"/>
    <x v="0"/>
  </r>
  <r>
    <n v="6177"/>
    <x v="5"/>
    <s v="51-60 years"/>
    <n v="53"/>
    <x v="0"/>
    <x v="3"/>
    <x v="9"/>
    <s v="Severe"/>
    <n v="1.6001574999999999"/>
    <x v="14"/>
    <x v="2"/>
    <n v="1.5627863"/>
    <n v="28"/>
    <s v="Severe"/>
    <n v="1.5880875999999999"/>
    <n v="27.333334000000001"/>
    <n v="27"/>
    <x v="2"/>
    <n v="1.5836771999999999"/>
    <x v="645"/>
    <x v="3"/>
    <x v="3"/>
    <n v="3750"/>
    <n v="3750"/>
    <x v="15"/>
    <x v="15"/>
    <x v="3"/>
    <x v="3"/>
    <x v="0"/>
  </r>
  <r>
    <n v="6178"/>
    <x v="5"/>
    <s v="51-60 years"/>
    <n v="55"/>
    <x v="0"/>
    <x v="0"/>
    <x v="13"/>
    <s v="Severe"/>
    <n v="1.3991127999999999"/>
    <x v="9"/>
    <x v="2"/>
    <n v="0.97880255999999999"/>
    <n v="26"/>
    <s v="Severe"/>
    <n v="1.3954502"/>
    <n v="24"/>
    <n v="24"/>
    <x v="2"/>
    <n v="1.2577885"/>
    <x v="148"/>
    <x v="2"/>
    <x v="2"/>
    <n v="2400"/>
    <n v="2400"/>
    <x v="34"/>
    <x v="34"/>
    <x v="4"/>
    <x v="4"/>
    <x v="0"/>
  </r>
  <r>
    <n v="6179"/>
    <x v="5"/>
    <s v="51-60 years"/>
    <n v="55"/>
    <x v="0"/>
    <x v="6"/>
    <x v="12"/>
    <s v="Moderate"/>
    <n v="0.79597896000000001"/>
    <x v="9"/>
    <x v="2"/>
    <n v="0.97880255999999999"/>
    <n v="20"/>
    <s v="Moderate"/>
    <n v="0.81753799999999999"/>
    <n v="20"/>
    <n v="20"/>
    <x v="1"/>
    <n v="0.86410653999999998"/>
    <x v="646"/>
    <x v="2"/>
    <x v="2"/>
    <n v="5000"/>
    <n v="5000"/>
    <x v="2"/>
    <x v="2"/>
    <x v="1"/>
    <x v="1"/>
    <x v="1"/>
  </r>
  <r>
    <n v="6180"/>
    <x v="5"/>
    <s v="51-60 years"/>
    <n v="51"/>
    <x v="0"/>
    <x v="0"/>
    <x v="12"/>
    <s v="Moderate"/>
    <n v="0.79597896000000001"/>
    <x v="11"/>
    <x v="2"/>
    <n v="1.3681251000000001"/>
    <n v="26"/>
    <s v="Severe"/>
    <n v="1.3954502"/>
    <n v="23.333334000000001"/>
    <n v="23"/>
    <x v="2"/>
    <n v="1.1865181"/>
    <x v="166"/>
    <x v="2"/>
    <x v="2"/>
    <n v="3333.3332999999998"/>
    <n v="3333"/>
    <x v="10"/>
    <x v="10"/>
    <x v="3"/>
    <x v="3"/>
    <x v="0"/>
  </r>
  <r>
    <n v="6181"/>
    <x v="5"/>
    <s v="51-60 years"/>
    <n v="52"/>
    <x v="0"/>
    <x v="0"/>
    <x v="10"/>
    <s v="Severe"/>
    <n v="1.1980683000000001"/>
    <x v="11"/>
    <x v="2"/>
    <n v="1.3681251000000001"/>
    <n v="20"/>
    <s v="Moderate"/>
    <n v="0.81753799999999999"/>
    <n v="22.666665999999999"/>
    <n v="23"/>
    <x v="2"/>
    <n v="1.1279105"/>
    <x v="647"/>
    <x v="2"/>
    <x v="2"/>
    <n v="3000"/>
    <n v="3000"/>
    <x v="22"/>
    <x v="22"/>
    <x v="3"/>
    <x v="3"/>
    <x v="0"/>
  </r>
  <r>
    <n v="6182"/>
    <x v="5"/>
    <s v="51-60 years"/>
    <n v="52"/>
    <x v="0"/>
    <x v="0"/>
    <x v="11"/>
    <s v="Moderate"/>
    <n v="0.99702360000000001"/>
    <x v="9"/>
    <x v="2"/>
    <n v="0.97880255999999999"/>
    <n v="24"/>
    <s v="Severe"/>
    <n v="1.2028128"/>
    <n v="22"/>
    <n v="22"/>
    <x v="2"/>
    <n v="1.0595464000000001"/>
    <x v="648"/>
    <x v="2"/>
    <x v="2"/>
    <n v="2500"/>
    <n v="2500"/>
    <x v="12"/>
    <x v="12"/>
    <x v="4"/>
    <x v="4"/>
    <x v="0"/>
  </r>
  <r>
    <n v="6183"/>
    <x v="5"/>
    <s v="51-60 years"/>
    <n v="52"/>
    <x v="0"/>
    <x v="0"/>
    <x v="17"/>
    <s v="Severe"/>
    <n v="2.0022465999999999"/>
    <x v="16"/>
    <x v="3"/>
    <n v="2.1467700000000001"/>
    <n v="26"/>
    <s v="Severe"/>
    <n v="1.3954502"/>
    <n v="30"/>
    <n v="30"/>
    <x v="2"/>
    <n v="1.8481555999999999"/>
    <x v="649"/>
    <x v="3"/>
    <x v="3"/>
    <n v="3000"/>
    <n v="3000"/>
    <x v="22"/>
    <x v="22"/>
    <x v="3"/>
    <x v="3"/>
    <x v="0"/>
  </r>
  <r>
    <n v="6184"/>
    <x v="5"/>
    <s v="51-60 years"/>
    <n v="51"/>
    <x v="0"/>
    <x v="3"/>
    <x v="10"/>
    <s v="Severe"/>
    <n v="1.1980683000000001"/>
    <x v="17"/>
    <x v="0"/>
    <n v="0.78414130000000004"/>
    <n v="24"/>
    <s v="Severe"/>
    <n v="1.2028128"/>
    <n v="22"/>
    <n v="22"/>
    <x v="2"/>
    <n v="1.0616741000000001"/>
    <x v="107"/>
    <x v="2"/>
    <x v="2"/>
    <n v="3750"/>
    <n v="3750"/>
    <x v="15"/>
    <x v="15"/>
    <x v="3"/>
    <x v="3"/>
    <x v="0"/>
  </r>
  <r>
    <n v="6185"/>
    <x v="5"/>
    <s v="51-60 years"/>
    <n v="59"/>
    <x v="0"/>
    <x v="0"/>
    <x v="11"/>
    <s v="Moderate"/>
    <n v="0.99702360000000001"/>
    <x v="17"/>
    <x v="0"/>
    <n v="0.78414130000000004"/>
    <n v="22"/>
    <s v="Severe"/>
    <n v="1.0101753"/>
    <n v="20.666665999999999"/>
    <n v="21"/>
    <x v="2"/>
    <n v="0.93044674000000005"/>
    <x v="312"/>
    <x v="2"/>
    <x v="2"/>
    <n v="3333.3332999999998"/>
    <n v="3333"/>
    <x v="10"/>
    <x v="10"/>
    <x v="3"/>
    <x v="3"/>
    <x v="0"/>
  </r>
  <r>
    <n v="6186"/>
    <x v="5"/>
    <s v="51-60 years"/>
    <n v="58"/>
    <x v="0"/>
    <x v="0"/>
    <x v="11"/>
    <s v="Moderate"/>
    <n v="0.99702360000000001"/>
    <x v="17"/>
    <x v="0"/>
    <n v="0.78414130000000004"/>
    <n v="24"/>
    <s v="Severe"/>
    <n v="1.2028128"/>
    <n v="21.333334000000001"/>
    <n v="21"/>
    <x v="2"/>
    <n v="0.99465924999999999"/>
    <x v="321"/>
    <x v="2"/>
    <x v="2"/>
    <n v="4000"/>
    <n v="4000"/>
    <x v="7"/>
    <x v="7"/>
    <x v="3"/>
    <x v="3"/>
    <x v="0"/>
  </r>
  <r>
    <n v="6187"/>
    <x v="5"/>
    <s v="51-60 years"/>
    <n v="54"/>
    <x v="0"/>
    <x v="0"/>
    <x v="10"/>
    <s v="Severe"/>
    <n v="1.1980683000000001"/>
    <x v="15"/>
    <x v="2"/>
    <n v="1.7574476000000001"/>
    <n v="20"/>
    <s v="Moderate"/>
    <n v="0.81753799999999999"/>
    <n v="24"/>
    <n v="24"/>
    <x v="2"/>
    <n v="1.2576845999999999"/>
    <x v="650"/>
    <x v="2"/>
    <x v="2"/>
    <n v="3000"/>
    <n v="3000"/>
    <x v="22"/>
    <x v="22"/>
    <x v="3"/>
    <x v="3"/>
    <x v="0"/>
  </r>
  <r>
    <n v="6188"/>
    <x v="5"/>
    <s v="51-60 years"/>
    <n v="54"/>
    <x v="0"/>
    <x v="0"/>
    <x v="11"/>
    <s v="Moderate"/>
    <n v="0.99702360000000001"/>
    <x v="11"/>
    <x v="2"/>
    <n v="1.3681251000000001"/>
    <n v="26"/>
    <s v="Severe"/>
    <n v="1.3954502"/>
    <n v="24"/>
    <n v="24"/>
    <x v="2"/>
    <n v="1.253533"/>
    <x v="651"/>
    <x v="2"/>
    <x v="2"/>
    <n v="5000"/>
    <n v="5000"/>
    <x v="2"/>
    <x v="2"/>
    <x v="1"/>
    <x v="1"/>
    <x v="1"/>
  </r>
  <r>
    <n v="6189"/>
    <x v="5"/>
    <s v="51-60 years"/>
    <n v="56"/>
    <x v="0"/>
    <x v="0"/>
    <x v="13"/>
    <s v="Severe"/>
    <n v="1.3991127999999999"/>
    <x v="12"/>
    <x v="2"/>
    <n v="1.1734637999999999"/>
    <n v="24"/>
    <s v="Severe"/>
    <n v="1.2028128"/>
    <n v="24"/>
    <n v="24"/>
    <x v="2"/>
    <n v="1.2584630999999999"/>
    <x v="652"/>
    <x v="2"/>
    <x v="2"/>
    <n v="4500"/>
    <n v="4500"/>
    <x v="42"/>
    <x v="42"/>
    <x v="1"/>
    <x v="1"/>
    <x v="1"/>
  </r>
  <r>
    <n v="6190"/>
    <x v="5"/>
    <s v="51-60 years"/>
    <n v="55"/>
    <x v="0"/>
    <x v="0"/>
    <x v="10"/>
    <s v="Severe"/>
    <n v="1.1980683000000001"/>
    <x v="9"/>
    <x v="2"/>
    <n v="0.97880255999999999"/>
    <n v="22"/>
    <s v="Severe"/>
    <n v="1.0101753"/>
    <n v="22"/>
    <n v="22"/>
    <x v="2"/>
    <n v="1.0623487"/>
    <x v="653"/>
    <x v="2"/>
    <x v="2"/>
    <n v="4000"/>
    <n v="4000"/>
    <x v="7"/>
    <x v="7"/>
    <x v="3"/>
    <x v="3"/>
    <x v="0"/>
  </r>
  <r>
    <n v="6191"/>
    <x v="5"/>
    <s v="51-60 years"/>
    <n v="53"/>
    <x v="0"/>
    <x v="3"/>
    <x v="13"/>
    <s v="Severe"/>
    <n v="1.3991127999999999"/>
    <x v="12"/>
    <x v="2"/>
    <n v="1.1734637999999999"/>
    <n v="24"/>
    <s v="Severe"/>
    <n v="1.2028128"/>
    <n v="24"/>
    <n v="24"/>
    <x v="2"/>
    <n v="1.2584630999999999"/>
    <x v="652"/>
    <x v="2"/>
    <x v="2"/>
    <n v="3750"/>
    <n v="3750"/>
    <x v="15"/>
    <x v="15"/>
    <x v="3"/>
    <x v="3"/>
    <x v="0"/>
  </r>
  <r>
    <n v="6192"/>
    <x v="5"/>
    <s v="31-40 years"/>
    <n v="40"/>
    <x v="0"/>
    <x v="3"/>
    <x v="10"/>
    <s v="Severe"/>
    <n v="1.1980683000000001"/>
    <x v="9"/>
    <x v="2"/>
    <n v="0.97880255999999999"/>
    <n v="18"/>
    <s v="Moderate"/>
    <n v="0.62490060000000003"/>
    <n v="20.666665999999999"/>
    <n v="21"/>
    <x v="2"/>
    <n v="0.93392379999999997"/>
    <x v="654"/>
    <x v="2"/>
    <x v="2"/>
    <n v="3333.3332999999998"/>
    <n v="3333"/>
    <x v="10"/>
    <x v="10"/>
    <x v="3"/>
    <x v="3"/>
    <x v="0"/>
  </r>
  <r>
    <n v="6193"/>
    <x v="5"/>
    <s v="51-60 years"/>
    <n v="53"/>
    <x v="1"/>
    <x v="1"/>
    <x v="11"/>
    <s v="Moderate"/>
    <n v="0.99702360000000001"/>
    <x v="6"/>
    <x v="0"/>
    <n v="0.58948003999999998"/>
    <n v="22"/>
    <s v="Severe"/>
    <n v="1.0101753"/>
    <n v="20"/>
    <n v="20"/>
    <x v="1"/>
    <n v="0.86555963999999996"/>
    <x v="655"/>
    <x v="2"/>
    <x v="2"/>
    <n v="1666.6666"/>
    <n v="1667"/>
    <x v="1"/>
    <x v="1"/>
    <x v="0"/>
    <x v="0"/>
    <x v="0"/>
  </r>
  <r>
    <n v="6194"/>
    <x v="5"/>
    <s v="51-60 years"/>
    <n v="59"/>
    <x v="1"/>
    <x v="1"/>
    <x v="12"/>
    <s v="Moderate"/>
    <n v="0.79597896000000001"/>
    <x v="9"/>
    <x v="2"/>
    <n v="0.97880255999999999"/>
    <n v="20"/>
    <s v="Moderate"/>
    <n v="0.81753799999999999"/>
    <n v="20"/>
    <n v="20"/>
    <x v="1"/>
    <n v="0.86410653999999998"/>
    <x v="646"/>
    <x v="2"/>
    <x v="2"/>
    <n v="3333.3332999999998"/>
    <n v="3333"/>
    <x v="10"/>
    <x v="10"/>
    <x v="3"/>
    <x v="3"/>
    <x v="0"/>
  </r>
  <r>
    <n v="6195"/>
    <x v="5"/>
    <s v="41-50 years"/>
    <n v="41"/>
    <x v="1"/>
    <x v="1"/>
    <x v="13"/>
    <s v="Severe"/>
    <n v="1.3991127999999999"/>
    <x v="6"/>
    <x v="0"/>
    <n v="0.58948003999999998"/>
    <n v="20"/>
    <s v="Moderate"/>
    <n v="0.81753799999999999"/>
    <n v="20.666665999999999"/>
    <n v="21"/>
    <x v="2"/>
    <n v="0.93537694000000005"/>
    <x v="656"/>
    <x v="2"/>
    <x v="2"/>
    <n v="3750"/>
    <n v="3750"/>
    <x v="15"/>
    <x v="15"/>
    <x v="3"/>
    <x v="3"/>
    <x v="0"/>
  </r>
  <r>
    <n v="6196"/>
    <x v="5"/>
    <s v="21-30 years"/>
    <n v="25"/>
    <x v="0"/>
    <x v="3"/>
    <x v="2"/>
    <s v="Normal"/>
    <n v="-0.20924408999999999"/>
    <x v="4"/>
    <x v="0"/>
    <n v="0.20015757000000001"/>
    <n v="14"/>
    <s v="Moderate"/>
    <n v="0.23962580999999999"/>
    <n v="12"/>
    <n v="12"/>
    <x v="1"/>
    <n v="7.6846429999999993E-2"/>
    <x v="344"/>
    <x v="0"/>
    <x v="0"/>
    <n v="3750"/>
    <n v="3750"/>
    <x v="15"/>
    <x v="15"/>
    <x v="3"/>
    <x v="3"/>
    <x v="0"/>
  </r>
  <r>
    <n v="6197"/>
    <x v="5"/>
    <s v="41-50 years"/>
    <n v="45"/>
    <x v="0"/>
    <x v="0"/>
    <x v="11"/>
    <s v="Moderate"/>
    <n v="0.99702360000000001"/>
    <x v="17"/>
    <x v="0"/>
    <n v="0.78414130000000004"/>
    <n v="16"/>
    <s v="Moderate"/>
    <n v="0.43226320000000001"/>
    <n v="18.666665999999999"/>
    <n v="19"/>
    <x v="1"/>
    <n v="0.73780935999999997"/>
    <x v="657"/>
    <x v="2"/>
    <x v="2"/>
    <n v="3750"/>
    <n v="3750"/>
    <x v="15"/>
    <x v="15"/>
    <x v="3"/>
    <x v="3"/>
    <x v="0"/>
  </r>
  <r>
    <n v="6198"/>
    <x v="5"/>
    <s v="41-50 years"/>
    <n v="50"/>
    <x v="0"/>
    <x v="3"/>
    <x v="13"/>
    <s v="Severe"/>
    <n v="1.3991127999999999"/>
    <x v="3"/>
    <x v="0"/>
    <n v="0.39481880000000003"/>
    <n v="22"/>
    <s v="Severe"/>
    <n v="1.0101753"/>
    <n v="20.666665999999999"/>
    <n v="21"/>
    <x v="2"/>
    <n v="0.93470233999999996"/>
    <x v="588"/>
    <x v="2"/>
    <x v="2"/>
    <n v="3750"/>
    <n v="3750"/>
    <x v="15"/>
    <x v="15"/>
    <x v="3"/>
    <x v="3"/>
    <x v="0"/>
  </r>
  <r>
    <n v="6199"/>
    <x v="5"/>
    <s v="41-50 years"/>
    <n v="50"/>
    <x v="0"/>
    <x v="3"/>
    <x v="6"/>
    <s v="Moderate"/>
    <n v="0.59493434000000001"/>
    <x v="17"/>
    <x v="0"/>
    <n v="0.78414130000000004"/>
    <n v="18"/>
    <s v="Moderate"/>
    <n v="0.62490060000000003"/>
    <n v="18"/>
    <n v="18"/>
    <x v="1"/>
    <n v="0.66799206"/>
    <x v="658"/>
    <x v="2"/>
    <x v="2"/>
    <n v="5000"/>
    <n v="5000"/>
    <x v="2"/>
    <x v="2"/>
    <x v="1"/>
    <x v="1"/>
    <x v="1"/>
  </r>
  <r>
    <n v="6200"/>
    <x v="5"/>
    <s v="31-40 years"/>
    <n v="31"/>
    <x v="0"/>
    <x v="3"/>
    <x v="10"/>
    <s v="Severe"/>
    <n v="1.1980683000000001"/>
    <x v="6"/>
    <x v="0"/>
    <n v="0.58948003999999998"/>
    <n v="22"/>
    <s v="Severe"/>
    <n v="1.0101753"/>
    <n v="20.666665999999999"/>
    <n v="21"/>
    <x v="2"/>
    <n v="0.93257456999999999"/>
    <x v="315"/>
    <x v="2"/>
    <x v="2"/>
    <n v="5000"/>
    <n v="5000"/>
    <x v="2"/>
    <x v="2"/>
    <x v="1"/>
    <x v="1"/>
    <x v="1"/>
  </r>
  <r>
    <n v="6201"/>
    <x v="5"/>
    <s v="41-50 years"/>
    <n v="50"/>
    <x v="1"/>
    <x v="1"/>
    <x v="10"/>
    <s v="Severe"/>
    <n v="1.1980683000000001"/>
    <x v="6"/>
    <x v="0"/>
    <n v="0.58948003999999998"/>
    <n v="24"/>
    <s v="Severe"/>
    <n v="1.2028128"/>
    <n v="21.333334000000001"/>
    <n v="21"/>
    <x v="2"/>
    <n v="0.99678699999999998"/>
    <x v="190"/>
    <x v="2"/>
    <x v="2"/>
    <n v="3000"/>
    <n v="3000"/>
    <x v="22"/>
    <x v="22"/>
    <x v="3"/>
    <x v="3"/>
    <x v="0"/>
  </r>
  <r>
    <n v="6202"/>
    <x v="5"/>
    <s v="51-60 years"/>
    <n v="56"/>
    <x v="1"/>
    <x v="1"/>
    <x v="0"/>
    <s v="Normal"/>
    <n v="-0.41028870000000001"/>
    <x v="5"/>
    <x v="1"/>
    <n v="-0.57848745999999995"/>
    <n v="6"/>
    <s v="Normal"/>
    <n v="-0.53092379999999995"/>
    <n v="6"/>
    <n v="6"/>
    <x v="0"/>
    <n v="-0.50656663999999996"/>
    <x v="184"/>
    <x v="0"/>
    <x v="0"/>
    <n v="3750"/>
    <n v="3750"/>
    <x v="15"/>
    <x v="15"/>
    <x v="3"/>
    <x v="3"/>
    <x v="0"/>
  </r>
  <r>
    <n v="6203"/>
    <x v="5"/>
    <s v="51-60 years"/>
    <n v="51"/>
    <x v="1"/>
    <x v="1"/>
    <x v="7"/>
    <s v="Moderate"/>
    <n v="0.19284514999999999"/>
    <x v="2"/>
    <x v="1"/>
    <n v="-0.9678099"/>
    <n v="8"/>
    <s v="Normal"/>
    <n v="-0.33828637"/>
    <n v="7.3333335000000002"/>
    <n v="7"/>
    <x v="0"/>
    <n v="-0.37108370000000002"/>
    <x v="659"/>
    <x v="0"/>
    <x v="0"/>
    <n v="2333.3332999999998"/>
    <n v="2333"/>
    <x v="37"/>
    <x v="37"/>
    <x v="4"/>
    <x v="4"/>
    <x v="0"/>
  </r>
  <r>
    <n v="6204"/>
    <x v="5"/>
    <s v="51-60 years"/>
    <n v="55"/>
    <x v="1"/>
    <x v="1"/>
    <x v="3"/>
    <s v="Normal"/>
    <n v="-8.1994660000000007E-3"/>
    <x v="5"/>
    <x v="1"/>
    <n v="-0.57848745999999995"/>
    <n v="8"/>
    <s v="Normal"/>
    <n v="-0.33828637"/>
    <n v="8"/>
    <n v="8"/>
    <x v="0"/>
    <n v="-0.30832442999999998"/>
    <x v="660"/>
    <x v="0"/>
    <x v="0"/>
    <n v="5000"/>
    <n v="5000"/>
    <x v="2"/>
    <x v="2"/>
    <x v="1"/>
    <x v="1"/>
    <x v="1"/>
  </r>
  <r>
    <n v="6205"/>
    <x v="5"/>
    <s v="51-60 years"/>
    <n v="52"/>
    <x v="1"/>
    <x v="1"/>
    <x v="3"/>
    <s v="Normal"/>
    <n v="-8.1994660000000007E-3"/>
    <x v="1"/>
    <x v="1"/>
    <n v="-0.77314866000000004"/>
    <n v="6"/>
    <s v="Normal"/>
    <n v="-0.53092379999999995"/>
    <n v="6.6666664999999998"/>
    <n v="7"/>
    <x v="0"/>
    <n v="-0.43742397"/>
    <x v="444"/>
    <x v="0"/>
    <x v="0"/>
    <n v="4500"/>
    <n v="4500"/>
    <x v="42"/>
    <x v="42"/>
    <x v="1"/>
    <x v="1"/>
    <x v="1"/>
  </r>
  <r>
    <n v="6207"/>
    <x v="5"/>
    <s v="41-50 years"/>
    <n v="41"/>
    <x v="0"/>
    <x v="3"/>
    <x v="13"/>
    <s v="Severe"/>
    <n v="1.3991127999999999"/>
    <x v="6"/>
    <x v="0"/>
    <n v="0.58948003999999998"/>
    <n v="18"/>
    <s v="Moderate"/>
    <n v="0.62490060000000003"/>
    <n v="20"/>
    <n v="20"/>
    <x v="1"/>
    <n v="0.87116450000000001"/>
    <x v="661"/>
    <x v="2"/>
    <x v="2"/>
    <n v="4500"/>
    <n v="4500"/>
    <x v="42"/>
    <x v="42"/>
    <x v="1"/>
    <x v="1"/>
    <x v="1"/>
  </r>
  <r>
    <n v="6208"/>
    <x v="5"/>
    <s v="41-50 years"/>
    <n v="45"/>
    <x v="0"/>
    <x v="3"/>
    <x v="10"/>
    <s v="Severe"/>
    <n v="1.1980683000000001"/>
    <x v="17"/>
    <x v="0"/>
    <n v="0.78414130000000004"/>
    <n v="22"/>
    <s v="Severe"/>
    <n v="1.0101753"/>
    <n v="21.333334000000001"/>
    <n v="21"/>
    <x v="2"/>
    <n v="0.99746159999999995"/>
    <x v="662"/>
    <x v="2"/>
    <x v="2"/>
    <n v="5000"/>
    <n v="5000"/>
    <x v="2"/>
    <x v="2"/>
    <x v="1"/>
    <x v="1"/>
    <x v="1"/>
  </r>
  <r>
    <n v="6209"/>
    <x v="5"/>
    <s v="41-50 years"/>
    <n v="42"/>
    <x v="0"/>
    <x v="3"/>
    <x v="3"/>
    <s v="Normal"/>
    <n v="-8.1994660000000007E-3"/>
    <x v="5"/>
    <x v="1"/>
    <n v="-0.57848745999999995"/>
    <n v="8"/>
    <s v="Normal"/>
    <n v="-0.33828637"/>
    <n v="8"/>
    <n v="8"/>
    <x v="0"/>
    <n v="-0.30832442999999998"/>
    <x v="660"/>
    <x v="0"/>
    <x v="0"/>
    <n v="3750"/>
    <n v="3750"/>
    <x v="15"/>
    <x v="15"/>
    <x v="3"/>
    <x v="3"/>
    <x v="0"/>
  </r>
  <r>
    <n v="6230"/>
    <x v="5"/>
    <s v="41-50 years"/>
    <n v="44"/>
    <x v="0"/>
    <x v="0"/>
    <x v="5"/>
    <s v="Moderate"/>
    <n v="0.39388975999999998"/>
    <x v="9"/>
    <x v="2"/>
    <n v="0.97880255999999999"/>
    <n v="18"/>
    <s v="Moderate"/>
    <n v="0.62490060000000003"/>
    <n v="18"/>
    <n v="18"/>
    <x v="1"/>
    <n v="0.66586429999999996"/>
    <x v="663"/>
    <x v="2"/>
    <x v="2"/>
    <n v="2142.8571999999999"/>
    <n v="2143"/>
    <x v="98"/>
    <x v="98"/>
    <x v="4"/>
    <x v="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5" minRefreshableVersion="3" useAutoFormatting="1" rowGrandTotals="0" colGrandTotals="0" itemPrintTitles="1" createdVersion="5" indent="0" outline="1" outlineData="1" multipleFieldFilters="0" chartFormat="3">
  <location ref="A5:B11" firstHeaderRow="1" firstDataRow="1" firstDataCol="1"/>
  <pivotFields count="29"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>
      <items count="9">
        <item x="3"/>
        <item x="4"/>
        <item x="1"/>
        <item x="2"/>
        <item x="6"/>
        <item x="0"/>
        <item x="7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5">
        <item x="3"/>
        <item x="1"/>
        <item x="0"/>
        <item x="2"/>
        <item t="default"/>
      </items>
    </pivotField>
    <pivotField showAll="0"/>
    <pivotField showAll="0">
      <items count="665">
        <item x="72"/>
        <item x="68"/>
        <item x="411"/>
        <item x="425"/>
        <item x="397"/>
        <item x="409"/>
        <item x="340"/>
        <item x="416"/>
        <item x="17"/>
        <item x="383"/>
        <item x="500"/>
        <item x="408"/>
        <item x="78"/>
        <item x="363"/>
        <item x="417"/>
        <item x="2"/>
        <item x="349"/>
        <item x="454"/>
        <item x="452"/>
        <item x="424"/>
        <item x="515"/>
        <item x="361"/>
        <item x="338"/>
        <item x="77"/>
        <item x="1"/>
        <item x="74"/>
        <item x="70"/>
        <item x="13"/>
        <item x="44"/>
        <item x="457"/>
        <item x="84"/>
        <item x="415"/>
        <item x="527"/>
        <item x="398"/>
        <item x="347"/>
        <item x="76"/>
        <item x="547"/>
        <item x="343"/>
        <item x="57"/>
        <item x="52"/>
        <item x="46"/>
        <item x="41"/>
        <item x="58"/>
        <item x="59"/>
        <item x="45"/>
        <item x="83"/>
        <item x="455"/>
        <item x="48"/>
        <item x="51"/>
        <item x="418"/>
        <item x="566"/>
        <item x="352"/>
        <item x="531"/>
        <item x="546"/>
        <item x="66"/>
        <item x="19"/>
        <item x="413"/>
        <item x="507"/>
        <item x="61"/>
        <item x="39"/>
        <item x="63"/>
        <item x="40"/>
        <item x="60"/>
        <item x="56"/>
        <item x="22"/>
        <item x="73"/>
        <item x="280"/>
        <item x="492"/>
        <item x="508"/>
        <item x="345"/>
        <item x="360"/>
        <item x="526"/>
        <item x="260"/>
        <item x="410"/>
        <item x="342"/>
        <item x="542"/>
        <item x="75"/>
        <item x="67"/>
        <item x="21"/>
        <item x="71"/>
        <item x="34"/>
        <item x="14"/>
        <item x="64"/>
        <item x="54"/>
        <item x="53"/>
        <item x="461"/>
        <item x="55"/>
        <item x="379"/>
        <item x="339"/>
        <item x="506"/>
        <item x="439"/>
        <item x="509"/>
        <item x="412"/>
        <item x="286"/>
        <item x="391"/>
        <item x="178"/>
        <item x="49"/>
        <item x="264"/>
        <item x="377"/>
        <item x="179"/>
        <item x="174"/>
        <item x="188"/>
        <item x="80"/>
        <item x="43"/>
        <item x="69"/>
        <item x="42"/>
        <item x="16"/>
        <item x="176"/>
        <item x="7"/>
        <item x="337"/>
        <item x="544"/>
        <item x="522"/>
        <item x="505"/>
        <item x="375"/>
        <item x="300"/>
        <item x="350"/>
        <item x="81"/>
        <item x="175"/>
        <item x="359"/>
        <item x="265"/>
        <item x="462"/>
        <item x="184"/>
        <item x="423"/>
        <item x="180"/>
        <item x="18"/>
        <item x="65"/>
        <item x="181"/>
        <item x="623"/>
        <item x="62"/>
        <item x="365"/>
        <item x="346"/>
        <item x="351"/>
        <item x="284"/>
        <item x="518"/>
        <item x="514"/>
        <item x="414"/>
        <item x="460"/>
        <item x="23"/>
        <item x="273"/>
        <item x="82"/>
        <item x="298"/>
        <item x="376"/>
        <item x="50"/>
        <item x="483"/>
        <item x="443"/>
        <item x="451"/>
        <item x="444"/>
        <item x="591"/>
        <item x="498"/>
        <item x="389"/>
        <item x="404"/>
        <item x="643"/>
        <item x="299"/>
        <item x="453"/>
        <item x="400"/>
        <item x="374"/>
        <item x="32"/>
        <item x="292"/>
        <item x="568"/>
        <item x="625"/>
        <item x="470"/>
        <item x="372"/>
        <item x="525"/>
        <item x="187"/>
        <item x="47"/>
        <item x="373"/>
        <item x="659"/>
        <item x="473"/>
        <item x="472"/>
        <item x="355"/>
        <item x="519"/>
        <item x="545"/>
        <item x="510"/>
        <item x="237"/>
        <item x="287"/>
        <item x="541"/>
        <item x="185"/>
        <item x="305"/>
        <item x="571"/>
        <item x="407"/>
        <item x="195"/>
        <item x="428"/>
        <item x="485"/>
        <item x="660"/>
        <item x="177"/>
        <item x="268"/>
        <item x="475"/>
        <item x="476"/>
        <item x="481"/>
        <item x="480"/>
        <item x="388"/>
        <item x="369"/>
        <item x="356"/>
        <item x="259"/>
        <item x="285"/>
        <item x="277"/>
        <item x="528"/>
        <item x="573"/>
        <item x="276"/>
        <item x="0"/>
        <item x="463"/>
        <item x="28"/>
        <item x="537"/>
        <item x="183"/>
        <item x="482"/>
        <item x="35"/>
        <item x="468"/>
        <item x="499"/>
        <item x="494"/>
        <item x="368"/>
        <item x="516"/>
        <item x="248"/>
        <item x="241"/>
        <item x="288"/>
        <item x="308"/>
        <item x="249"/>
        <item x="263"/>
        <item x="262"/>
        <item x="523"/>
        <item x="561"/>
        <item x="456"/>
        <item x="182"/>
        <item x="593"/>
        <item x="562"/>
        <item x="488"/>
        <item x="199"/>
        <item x="324"/>
        <item x="572"/>
        <item x="477"/>
        <item x="474"/>
        <item x="390"/>
        <item x="364"/>
        <item x="358"/>
        <item x="251"/>
        <item x="240"/>
        <item x="79"/>
        <item x="238"/>
        <item x="239"/>
        <item x="395"/>
        <item x="504"/>
        <item x="250"/>
        <item x="589"/>
        <item x="427"/>
        <item x="205"/>
        <item x="15"/>
        <item x="469"/>
        <item x="484"/>
        <item x="486"/>
        <item x="487"/>
        <item x="478"/>
        <item x="471"/>
        <item x="533"/>
        <item x="367"/>
        <item x="405"/>
        <item x="357"/>
        <item x="10"/>
        <item x="261"/>
        <item x="242"/>
        <item x="384"/>
        <item x="491"/>
        <item x="29"/>
        <item x="271"/>
        <item x="328"/>
        <item x="392"/>
        <item x="601"/>
        <item x="326"/>
        <item x="440"/>
        <item x="590"/>
        <item x="465"/>
        <item x="521"/>
        <item x="489"/>
        <item x="243"/>
        <item x="278"/>
        <item x="8"/>
        <item x="399"/>
        <item x="12"/>
        <item x="624"/>
        <item x="279"/>
        <item x="502"/>
        <item x="431"/>
        <item x="290"/>
        <item x="371"/>
        <item x="336"/>
        <item x="296"/>
        <item x="396"/>
        <item x="38"/>
        <item x="354"/>
        <item x="344"/>
        <item x="11"/>
        <item x="309"/>
        <item x="513"/>
        <item x="559"/>
        <item x="479"/>
        <item x="594"/>
        <item x="535"/>
        <item x="569"/>
        <item x="37"/>
        <item x="31"/>
        <item x="24"/>
        <item x="30"/>
        <item x="532"/>
        <item x="609"/>
        <item x="570"/>
        <item x="430"/>
        <item x="186"/>
        <item x="200"/>
        <item x="466"/>
        <item x="464"/>
        <item x="496"/>
        <item x="378"/>
        <item x="503"/>
        <item x="501"/>
        <item x="607"/>
        <item x="5"/>
        <item x="6"/>
        <item x="387"/>
        <item x="370"/>
        <item x="497"/>
        <item x="626"/>
        <item x="436"/>
        <item x="33"/>
        <item x="26"/>
        <item x="543"/>
        <item x="524"/>
        <item x="517"/>
        <item x="9"/>
        <item x="600"/>
        <item x="4"/>
        <item x="530"/>
        <item x="317"/>
        <item x="213"/>
        <item x="563"/>
        <item x="459"/>
        <item x="458"/>
        <item x="520"/>
        <item x="628"/>
        <item x="366"/>
        <item x="606"/>
        <item x="429"/>
        <item x="3"/>
        <item x="602"/>
        <item x="385"/>
        <item x="236"/>
        <item x="282"/>
        <item x="581"/>
        <item x="27"/>
        <item x="595"/>
        <item x="548"/>
        <item x="310"/>
        <item x="538"/>
        <item x="219"/>
        <item x="20"/>
        <item x="36"/>
        <item x="252"/>
        <item x="266"/>
        <item x="495"/>
        <item x="196"/>
        <item x="386"/>
        <item x="353"/>
        <item x="622"/>
        <item x="618"/>
        <item x="445"/>
        <item x="422"/>
        <item x="247"/>
        <item x="381"/>
        <item x="632"/>
        <item x="512"/>
        <item x="426"/>
        <item x="270"/>
        <item x="592"/>
        <item x="610"/>
        <item x="493"/>
        <item x="401"/>
        <item x="221"/>
        <item x="511"/>
        <item x="442"/>
        <item x="447"/>
        <item x="586"/>
        <item x="206"/>
        <item x="293"/>
        <item x="635"/>
        <item x="663"/>
        <item x="450"/>
        <item x="222"/>
        <item x="658"/>
        <item x="25"/>
        <item x="244"/>
        <item x="558"/>
        <item x="437"/>
        <item x="216"/>
        <item x="432"/>
        <item x="627"/>
        <item x="579"/>
        <item x="198"/>
        <item x="603"/>
        <item x="281"/>
        <item x="207"/>
        <item x="657"/>
        <item x="467"/>
        <item x="540"/>
        <item x="620"/>
        <item x="560"/>
        <item x="636"/>
        <item x="257"/>
        <item x="228"/>
        <item x="644"/>
        <item x="435"/>
        <item x="608"/>
        <item x="539"/>
        <item x="403"/>
        <item x="639"/>
        <item x="619"/>
        <item x="217"/>
        <item x="646"/>
        <item x="655"/>
        <item x="246"/>
        <item x="613"/>
        <item x="584"/>
        <item x="599"/>
        <item x="441"/>
        <item x="661"/>
        <item x="272"/>
        <item x="434"/>
        <item x="490"/>
        <item x="362"/>
        <item x="394"/>
        <item x="225"/>
        <item x="230"/>
        <item x="637"/>
        <item x="312"/>
        <item x="229"/>
        <item x="212"/>
        <item x="233"/>
        <item x="315"/>
        <item x="210"/>
        <item x="654"/>
        <item x="588"/>
        <item x="656"/>
        <item x="564"/>
        <item x="534"/>
        <item x="302"/>
        <item x="536"/>
        <item x="208"/>
        <item x="641"/>
        <item x="191"/>
        <item x="321"/>
        <item x="640"/>
        <item x="611"/>
        <item x="190"/>
        <item x="662"/>
        <item x="215"/>
        <item x="313"/>
        <item x="227"/>
        <item x="380"/>
        <item x="393"/>
        <item x="226"/>
        <item x="648"/>
        <item x="274"/>
        <item x="209"/>
        <item x="107"/>
        <item x="653"/>
        <item x="433"/>
        <item x="202"/>
        <item x="283"/>
        <item x="446"/>
        <item x="406"/>
        <item x="323"/>
        <item x="567"/>
        <item x="598"/>
        <item x="135"/>
        <item x="314"/>
        <item x="100"/>
        <item x="203"/>
        <item x="631"/>
        <item x="647"/>
        <item x="612"/>
        <item x="580"/>
        <item x="529"/>
        <item x="633"/>
        <item x="166"/>
        <item x="89"/>
        <item x="104"/>
        <item x="163"/>
        <item x="105"/>
        <item x="583"/>
        <item x="304"/>
        <item x="134"/>
        <item x="605"/>
        <item x="103"/>
        <item x="150"/>
        <item x="297"/>
        <item x="582"/>
        <item x="90"/>
        <item x="651"/>
        <item x="121"/>
        <item x="294"/>
        <item x="167"/>
        <item x="617"/>
        <item x="109"/>
        <item x="650"/>
        <item x="148"/>
        <item x="652"/>
        <item x="197"/>
        <item x="96"/>
        <item x="143"/>
        <item x="334"/>
        <item x="153"/>
        <item x="94"/>
        <item x="156"/>
        <item x="576"/>
        <item x="128"/>
        <item x="549"/>
        <item x="172"/>
        <item x="621"/>
        <item x="231"/>
        <item x="157"/>
        <item x="629"/>
        <item x="162"/>
        <item x="155"/>
        <item x="141"/>
        <item x="120"/>
        <item x="123"/>
        <item x="254"/>
        <item x="158"/>
        <item x="319"/>
        <item x="161"/>
        <item x="335"/>
        <item x="149"/>
        <item x="116"/>
        <item x="585"/>
        <item x="587"/>
        <item x="170"/>
        <item x="348"/>
        <item x="139"/>
        <item x="295"/>
        <item x="154"/>
        <item x="267"/>
        <item x="98"/>
        <item x="127"/>
        <item x="110"/>
        <item x="113"/>
        <item x="102"/>
        <item x="87"/>
        <item x="256"/>
        <item x="159"/>
        <item x="160"/>
        <item x="86"/>
        <item x="85"/>
        <item x="95"/>
        <item x="171"/>
        <item x="419"/>
        <item x="88"/>
        <item x="92"/>
        <item x="144"/>
        <item x="129"/>
        <item x="106"/>
        <item x="97"/>
        <item x="117"/>
        <item x="173"/>
        <item x="194"/>
        <item x="638"/>
        <item x="133"/>
        <item x="438"/>
        <item x="111"/>
        <item x="341"/>
        <item x="597"/>
        <item x="118"/>
        <item x="192"/>
        <item x="255"/>
        <item x="112"/>
        <item x="168"/>
        <item x="211"/>
        <item x="165"/>
        <item x="164"/>
        <item x="147"/>
        <item x="169"/>
        <item x="220"/>
        <item x="114"/>
        <item x="122"/>
        <item x="303"/>
        <item x="101"/>
        <item x="126"/>
        <item x="645"/>
        <item x="119"/>
        <item x="289"/>
        <item x="142"/>
        <item x="136"/>
        <item x="140"/>
        <item x="630"/>
        <item x="421"/>
        <item x="311"/>
        <item x="99"/>
        <item x="124"/>
        <item x="146"/>
        <item x="193"/>
        <item x="115"/>
        <item x="214"/>
        <item x="137"/>
        <item x="151"/>
        <item x="253"/>
        <item x="138"/>
        <item x="131"/>
        <item x="145"/>
        <item x="235"/>
        <item x="218"/>
        <item x="130"/>
        <item x="327"/>
        <item x="232"/>
        <item x="382"/>
        <item x="91"/>
        <item x="275"/>
        <item x="234"/>
        <item x="132"/>
        <item x="420"/>
        <item x="93"/>
        <item x="108"/>
        <item x="557"/>
        <item x="649"/>
        <item x="318"/>
        <item x="152"/>
        <item x="125"/>
        <item x="322"/>
        <item x="291"/>
        <item x="245"/>
        <item x="201"/>
        <item x="320"/>
        <item x="330"/>
        <item x="316"/>
        <item x="577"/>
        <item x="402"/>
        <item x="332"/>
        <item x="189"/>
        <item x="575"/>
        <item x="258"/>
        <item x="306"/>
        <item x="333"/>
        <item x="556"/>
        <item x="574"/>
        <item x="552"/>
        <item x="596"/>
        <item x="616"/>
        <item x="615"/>
        <item x="325"/>
        <item x="301"/>
        <item x="555"/>
        <item x="578"/>
        <item x="634"/>
        <item x="553"/>
        <item x="551"/>
        <item x="604"/>
        <item x="204"/>
        <item x="269"/>
        <item x="307"/>
        <item x="449"/>
        <item x="223"/>
        <item x="642"/>
        <item x="554"/>
        <item x="224"/>
        <item x="614"/>
        <item x="565"/>
        <item x="331"/>
        <item x="448"/>
        <item x="329"/>
        <item x="550"/>
        <item t="default"/>
      </items>
    </pivotField>
    <pivotField showAll="0">
      <items count="6">
        <item x="1"/>
        <item x="0"/>
        <item x="2"/>
        <item x="3"/>
        <item x="4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numFmtId="164" showAll="0"/>
    <pivotField showAll="0"/>
    <pivotField numFmtId="165"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Average of dass21_raw_score" fld="15" subtotal="average" baseField="1" baseItem="0"/>
  </dataFields>
  <formats count="1">
    <format dxfId="0">
      <pivotArea outline="0" collapsedLevelsAreSubtotals="1" fieldPosition="0"/>
    </format>
  </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5" minRefreshableVersion="3" useAutoFormatting="1" rowGrandTotals="0" colGrandTotals="0" itemPrintTitles="1" createdVersion="5" indent="0" outline="1" outlineData="1" multipleFieldFilters="0" rowHeaderCaption="Occupation" colHeaderCaption="Risk_level">
  <location ref="A26:D34" firstHeaderRow="0" firstDataRow="1" firstDataCol="1"/>
  <pivotFields count="29">
    <pivotField showAll="0"/>
    <pivotField showAll="0"/>
    <pivotField showAll="0"/>
    <pivotField showAll="0"/>
    <pivotField showAll="0"/>
    <pivotField axis="axisRow" showAll="0">
      <items count="9">
        <item x="3"/>
        <item x="4"/>
        <item x="1"/>
        <item x="2"/>
        <item x="6"/>
        <item x="0"/>
        <item x="7"/>
        <item x="5"/>
        <item t="default"/>
      </items>
    </pivotField>
    <pivotField dataField="1" showAll="0"/>
    <pivotField showAll="0"/>
    <pivotField showAll="0"/>
    <pivotField dataField="1" showAll="0"/>
    <pivotField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111">
        <item x="82"/>
        <item x="51"/>
        <item x="50"/>
        <item x="67"/>
        <item x="4"/>
        <item x="17"/>
        <item x="3"/>
        <item x="18"/>
        <item x="0"/>
        <item x="79"/>
        <item x="8"/>
        <item x="5"/>
        <item x="52"/>
        <item x="1"/>
        <item x="48"/>
        <item x="9"/>
        <item x="28"/>
        <item x="108"/>
        <item x="11"/>
        <item x="98"/>
        <item x="44"/>
        <item x="94"/>
        <item x="81"/>
        <item x="36"/>
        <item x="107"/>
        <item x="37"/>
        <item x="34"/>
        <item x="12"/>
        <item x="43"/>
        <item x="35"/>
        <item x="16"/>
        <item x="72"/>
        <item x="32"/>
        <item x="77"/>
        <item x="22"/>
        <item x="33"/>
        <item x="38"/>
        <item x="10"/>
        <item x="40"/>
        <item x="39"/>
        <item x="102"/>
        <item x="31"/>
        <item x="73"/>
        <item x="65"/>
        <item x="15"/>
        <item x="60"/>
        <item x="75"/>
        <item x="7"/>
        <item x="24"/>
        <item x="41"/>
        <item x="53"/>
        <item x="70"/>
        <item x="78"/>
        <item x="59"/>
        <item x="42"/>
        <item x="64"/>
        <item x="2"/>
        <item x="63"/>
        <item x="85"/>
        <item x="47"/>
        <item x="55"/>
        <item x="83"/>
        <item x="97"/>
        <item x="66"/>
        <item x="30"/>
        <item x="6"/>
        <item x="69"/>
        <item x="27"/>
        <item x="23"/>
        <item x="68"/>
        <item x="21"/>
        <item x="29"/>
        <item x="54"/>
        <item x="13"/>
        <item x="62"/>
        <item x="20"/>
        <item x="105"/>
        <item x="71"/>
        <item x="57"/>
        <item x="61"/>
        <item x="58"/>
        <item x="19"/>
        <item x="26"/>
        <item x="104"/>
        <item x="25"/>
        <item x="90"/>
        <item x="49"/>
        <item x="96"/>
        <item x="76"/>
        <item x="91"/>
        <item x="46"/>
        <item x="106"/>
        <item x="99"/>
        <item x="87"/>
        <item x="95"/>
        <item x="56"/>
        <item x="109"/>
        <item x="101"/>
        <item x="80"/>
        <item x="93"/>
        <item x="103"/>
        <item x="84"/>
        <item x="86"/>
        <item x="45"/>
        <item x="74"/>
        <item x="89"/>
        <item x="100"/>
        <item x="88"/>
        <item x="92"/>
        <item x="14"/>
        <item t="default"/>
      </items>
    </pivotField>
    <pivotField numFmtId="164" showAll="0">
      <items count="111">
        <item x="82"/>
        <item x="51"/>
        <item x="50"/>
        <item x="67"/>
        <item x="4"/>
        <item x="17"/>
        <item x="3"/>
        <item x="18"/>
        <item x="0"/>
        <item x="79"/>
        <item x="8"/>
        <item x="5"/>
        <item x="52"/>
        <item x="1"/>
        <item x="48"/>
        <item x="9"/>
        <item x="28"/>
        <item x="108"/>
        <item x="11"/>
        <item x="98"/>
        <item x="44"/>
        <item x="94"/>
        <item x="81"/>
        <item x="36"/>
        <item x="107"/>
        <item x="37"/>
        <item x="34"/>
        <item x="12"/>
        <item x="43"/>
        <item x="35"/>
        <item x="16"/>
        <item x="72"/>
        <item x="32"/>
        <item x="77"/>
        <item x="22"/>
        <item x="33"/>
        <item x="38"/>
        <item x="10"/>
        <item x="40"/>
        <item x="39"/>
        <item x="102"/>
        <item x="31"/>
        <item x="73"/>
        <item x="65"/>
        <item x="15"/>
        <item x="60"/>
        <item x="75"/>
        <item x="7"/>
        <item x="24"/>
        <item x="41"/>
        <item x="53"/>
        <item x="70"/>
        <item x="78"/>
        <item x="59"/>
        <item x="42"/>
        <item x="64"/>
        <item x="2"/>
        <item x="63"/>
        <item x="85"/>
        <item x="47"/>
        <item x="55"/>
        <item x="83"/>
        <item x="97"/>
        <item x="66"/>
        <item x="30"/>
        <item x="6"/>
        <item x="69"/>
        <item x="27"/>
        <item x="23"/>
        <item x="68"/>
        <item x="21"/>
        <item x="29"/>
        <item x="54"/>
        <item x="13"/>
        <item x="62"/>
        <item x="20"/>
        <item x="105"/>
        <item x="71"/>
        <item x="57"/>
        <item x="61"/>
        <item x="58"/>
        <item x="19"/>
        <item x="26"/>
        <item x="104"/>
        <item x="25"/>
        <item x="90"/>
        <item x="49"/>
        <item x="96"/>
        <item x="76"/>
        <item x="91"/>
        <item x="46"/>
        <item x="106"/>
        <item x="99"/>
        <item x="87"/>
        <item x="95"/>
        <item x="56"/>
        <item x="109"/>
        <item x="101"/>
        <item x="80"/>
        <item x="93"/>
        <item x="103"/>
        <item x="84"/>
        <item x="86"/>
        <item x="45"/>
        <item x="74"/>
        <item x="89"/>
        <item x="100"/>
        <item x="88"/>
        <item x="92"/>
        <item x="14"/>
        <item t="default"/>
      </items>
    </pivotField>
    <pivotField showAll="0"/>
    <pivotField numFmtId="165" showAll="0">
      <items count="7">
        <item x="0"/>
        <item x="4"/>
        <item x="3"/>
        <item x="1"/>
        <item x="2"/>
        <item x="5"/>
        <item t="default"/>
      </items>
    </pivotField>
    <pivotField showAl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stress_score" fld="9" subtotal="average" baseField="5" baseItem="0"/>
    <dataField name="Average of anxiety_score" fld="6" subtotal="average" baseField="5" baseItem="6"/>
    <dataField name="Average of depression_score" fld="12" subtotal="average" baseField="5" baseItem="7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5" minRefreshableVersion="3" useAutoFormatting="1" rowGrandTotals="0" colGrandTotals="0" itemPrintTitles="1" createdVersion="5" indent="0" outline="1" outlineData="1" multipleFieldFilters="0">
  <location ref="A17:C20" firstHeaderRow="0" firstDataRow="1" firstDataCol="1" rowPageCount="1" colPageCount="1"/>
  <pivotFields count="29"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dataField="1" showAll="0"/>
    <pivotField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65">
        <item x="72"/>
        <item x="68"/>
        <item x="411"/>
        <item x="425"/>
        <item x="397"/>
        <item x="409"/>
        <item x="340"/>
        <item x="416"/>
        <item x="17"/>
        <item x="383"/>
        <item x="500"/>
        <item x="408"/>
        <item x="78"/>
        <item x="363"/>
        <item x="417"/>
        <item x="2"/>
        <item x="349"/>
        <item x="454"/>
        <item x="452"/>
        <item x="424"/>
        <item x="515"/>
        <item x="361"/>
        <item x="338"/>
        <item x="77"/>
        <item x="1"/>
        <item x="74"/>
        <item x="70"/>
        <item x="13"/>
        <item x="44"/>
        <item x="457"/>
        <item x="84"/>
        <item x="415"/>
        <item x="527"/>
        <item x="398"/>
        <item x="347"/>
        <item x="76"/>
        <item x="547"/>
        <item x="343"/>
        <item x="57"/>
        <item x="52"/>
        <item x="46"/>
        <item x="41"/>
        <item x="58"/>
        <item x="59"/>
        <item x="45"/>
        <item x="83"/>
        <item x="455"/>
        <item x="48"/>
        <item x="51"/>
        <item x="418"/>
        <item x="566"/>
        <item x="352"/>
        <item x="531"/>
        <item x="546"/>
        <item x="66"/>
        <item x="19"/>
        <item x="413"/>
        <item x="507"/>
        <item x="61"/>
        <item x="39"/>
        <item x="63"/>
        <item x="40"/>
        <item x="60"/>
        <item x="56"/>
        <item x="22"/>
        <item x="73"/>
        <item x="280"/>
        <item x="492"/>
        <item x="508"/>
        <item x="345"/>
        <item x="360"/>
        <item x="526"/>
        <item x="260"/>
        <item x="410"/>
        <item x="342"/>
        <item x="542"/>
        <item x="75"/>
        <item x="67"/>
        <item x="21"/>
        <item x="71"/>
        <item x="34"/>
        <item x="14"/>
        <item x="64"/>
        <item x="54"/>
        <item x="53"/>
        <item x="461"/>
        <item x="55"/>
        <item x="379"/>
        <item x="339"/>
        <item x="506"/>
        <item x="439"/>
        <item x="509"/>
        <item x="412"/>
        <item x="286"/>
        <item x="391"/>
        <item x="178"/>
        <item x="49"/>
        <item x="264"/>
        <item x="377"/>
        <item x="179"/>
        <item x="174"/>
        <item x="188"/>
        <item x="80"/>
        <item x="43"/>
        <item x="69"/>
        <item x="42"/>
        <item x="16"/>
        <item x="176"/>
        <item x="7"/>
        <item x="337"/>
        <item x="544"/>
        <item x="522"/>
        <item x="505"/>
        <item x="375"/>
        <item x="300"/>
        <item x="350"/>
        <item x="81"/>
        <item x="175"/>
        <item x="359"/>
        <item x="265"/>
        <item x="462"/>
        <item x="184"/>
        <item x="423"/>
        <item x="180"/>
        <item x="18"/>
        <item x="65"/>
        <item x="181"/>
        <item x="623"/>
        <item x="62"/>
        <item x="365"/>
        <item x="346"/>
        <item x="351"/>
        <item x="284"/>
        <item x="518"/>
        <item x="514"/>
        <item x="414"/>
        <item x="460"/>
        <item x="23"/>
        <item x="273"/>
        <item x="82"/>
        <item x="298"/>
        <item x="376"/>
        <item x="50"/>
        <item x="483"/>
        <item x="443"/>
        <item x="451"/>
        <item x="444"/>
        <item x="591"/>
        <item x="498"/>
        <item x="389"/>
        <item x="404"/>
        <item x="643"/>
        <item x="299"/>
        <item x="453"/>
        <item x="400"/>
        <item x="374"/>
        <item x="32"/>
        <item x="292"/>
        <item x="568"/>
        <item x="625"/>
        <item x="470"/>
        <item x="372"/>
        <item x="525"/>
        <item x="187"/>
        <item x="47"/>
        <item x="373"/>
        <item x="659"/>
        <item x="473"/>
        <item x="472"/>
        <item x="355"/>
        <item x="519"/>
        <item x="545"/>
        <item x="510"/>
        <item x="237"/>
        <item x="287"/>
        <item x="541"/>
        <item x="185"/>
        <item x="305"/>
        <item x="571"/>
        <item x="407"/>
        <item x="195"/>
        <item x="428"/>
        <item x="485"/>
        <item x="660"/>
        <item x="177"/>
        <item x="268"/>
        <item x="475"/>
        <item x="476"/>
        <item x="481"/>
        <item x="480"/>
        <item x="388"/>
        <item x="369"/>
        <item x="356"/>
        <item x="259"/>
        <item x="285"/>
        <item x="277"/>
        <item x="528"/>
        <item x="573"/>
        <item x="276"/>
        <item x="0"/>
        <item x="463"/>
        <item x="28"/>
        <item x="537"/>
        <item x="183"/>
        <item x="482"/>
        <item x="35"/>
        <item x="468"/>
        <item x="499"/>
        <item x="494"/>
        <item x="368"/>
        <item x="516"/>
        <item x="248"/>
        <item x="241"/>
        <item x="288"/>
        <item x="308"/>
        <item x="249"/>
        <item x="263"/>
        <item x="262"/>
        <item x="523"/>
        <item x="561"/>
        <item x="456"/>
        <item x="182"/>
        <item x="593"/>
        <item x="562"/>
        <item x="488"/>
        <item x="199"/>
        <item x="324"/>
        <item x="572"/>
        <item x="477"/>
        <item x="474"/>
        <item x="390"/>
        <item x="364"/>
        <item x="358"/>
        <item x="251"/>
        <item x="240"/>
        <item x="79"/>
        <item x="238"/>
        <item x="239"/>
        <item x="395"/>
        <item x="504"/>
        <item x="250"/>
        <item x="589"/>
        <item x="427"/>
        <item x="205"/>
        <item x="15"/>
        <item x="469"/>
        <item x="484"/>
        <item x="486"/>
        <item x="487"/>
        <item x="478"/>
        <item x="471"/>
        <item x="533"/>
        <item x="367"/>
        <item x="405"/>
        <item x="357"/>
        <item x="10"/>
        <item x="261"/>
        <item x="242"/>
        <item x="384"/>
        <item x="491"/>
        <item x="29"/>
        <item x="271"/>
        <item x="328"/>
        <item x="392"/>
        <item x="601"/>
        <item x="326"/>
        <item x="440"/>
        <item x="590"/>
        <item x="465"/>
        <item x="521"/>
        <item x="489"/>
        <item x="243"/>
        <item x="278"/>
        <item x="8"/>
        <item x="399"/>
        <item x="12"/>
        <item x="624"/>
        <item x="279"/>
        <item x="502"/>
        <item x="431"/>
        <item x="290"/>
        <item x="371"/>
        <item x="336"/>
        <item x="296"/>
        <item x="396"/>
        <item x="38"/>
        <item x="354"/>
        <item x="344"/>
        <item x="11"/>
        <item x="309"/>
        <item x="513"/>
        <item x="559"/>
        <item x="479"/>
        <item x="594"/>
        <item x="535"/>
        <item x="569"/>
        <item x="37"/>
        <item x="31"/>
        <item x="24"/>
        <item x="30"/>
        <item x="532"/>
        <item x="609"/>
        <item x="570"/>
        <item x="430"/>
        <item x="186"/>
        <item x="200"/>
        <item x="466"/>
        <item x="464"/>
        <item x="496"/>
        <item x="378"/>
        <item x="503"/>
        <item x="501"/>
        <item x="607"/>
        <item x="5"/>
        <item x="6"/>
        <item x="387"/>
        <item x="370"/>
        <item x="497"/>
        <item x="626"/>
        <item x="436"/>
        <item x="33"/>
        <item x="26"/>
        <item x="543"/>
        <item x="524"/>
        <item x="517"/>
        <item x="9"/>
        <item x="600"/>
        <item x="4"/>
        <item x="530"/>
        <item x="317"/>
        <item x="213"/>
        <item x="563"/>
        <item x="459"/>
        <item x="458"/>
        <item x="520"/>
        <item x="628"/>
        <item x="366"/>
        <item x="606"/>
        <item x="429"/>
        <item x="3"/>
        <item x="602"/>
        <item x="385"/>
        <item x="236"/>
        <item x="282"/>
        <item x="581"/>
        <item x="27"/>
        <item x="595"/>
        <item x="548"/>
        <item x="310"/>
        <item x="538"/>
        <item x="219"/>
        <item x="20"/>
        <item x="36"/>
        <item x="252"/>
        <item x="266"/>
        <item x="495"/>
        <item x="196"/>
        <item x="386"/>
        <item x="353"/>
        <item x="622"/>
        <item x="618"/>
        <item x="445"/>
        <item x="422"/>
        <item x="247"/>
        <item x="381"/>
        <item x="632"/>
        <item x="512"/>
        <item x="426"/>
        <item x="270"/>
        <item x="592"/>
        <item x="610"/>
        <item x="493"/>
        <item x="401"/>
        <item x="221"/>
        <item x="511"/>
        <item x="442"/>
        <item x="447"/>
        <item x="586"/>
        <item x="206"/>
        <item x="293"/>
        <item x="635"/>
        <item x="663"/>
        <item x="450"/>
        <item x="222"/>
        <item x="658"/>
        <item x="25"/>
        <item x="244"/>
        <item x="558"/>
        <item x="437"/>
        <item x="216"/>
        <item x="432"/>
        <item x="627"/>
        <item x="579"/>
        <item x="198"/>
        <item x="603"/>
        <item x="281"/>
        <item x="207"/>
        <item x="657"/>
        <item x="467"/>
        <item x="540"/>
        <item x="620"/>
        <item x="560"/>
        <item x="636"/>
        <item x="257"/>
        <item x="228"/>
        <item x="644"/>
        <item x="435"/>
        <item x="608"/>
        <item x="539"/>
        <item x="403"/>
        <item x="639"/>
        <item x="619"/>
        <item x="217"/>
        <item x="646"/>
        <item x="655"/>
        <item x="246"/>
        <item x="613"/>
        <item x="584"/>
        <item x="599"/>
        <item x="441"/>
        <item x="661"/>
        <item x="272"/>
        <item x="434"/>
        <item x="490"/>
        <item x="362"/>
        <item x="394"/>
        <item x="225"/>
        <item x="230"/>
        <item x="637"/>
        <item x="312"/>
        <item x="229"/>
        <item x="212"/>
        <item x="233"/>
        <item x="315"/>
        <item x="210"/>
        <item x="654"/>
        <item x="588"/>
        <item x="656"/>
        <item x="564"/>
        <item x="534"/>
        <item x="302"/>
        <item x="536"/>
        <item x="208"/>
        <item x="641"/>
        <item x="191"/>
        <item x="321"/>
        <item x="640"/>
        <item x="611"/>
        <item x="190"/>
        <item x="662"/>
        <item x="215"/>
        <item x="313"/>
        <item x="227"/>
        <item x="380"/>
        <item x="393"/>
        <item x="226"/>
        <item x="648"/>
        <item x="274"/>
        <item x="209"/>
        <item x="107"/>
        <item x="653"/>
        <item x="433"/>
        <item x="202"/>
        <item x="283"/>
        <item x="446"/>
        <item x="406"/>
        <item x="323"/>
        <item x="567"/>
        <item x="598"/>
        <item x="135"/>
        <item x="314"/>
        <item x="100"/>
        <item x="203"/>
        <item x="631"/>
        <item x="647"/>
        <item x="612"/>
        <item x="580"/>
        <item x="529"/>
        <item x="633"/>
        <item x="166"/>
        <item x="89"/>
        <item x="104"/>
        <item x="163"/>
        <item x="105"/>
        <item x="583"/>
        <item x="304"/>
        <item x="134"/>
        <item x="605"/>
        <item x="103"/>
        <item x="150"/>
        <item x="297"/>
        <item x="582"/>
        <item x="90"/>
        <item x="651"/>
        <item x="121"/>
        <item x="294"/>
        <item x="167"/>
        <item x="617"/>
        <item x="109"/>
        <item x="650"/>
        <item x="148"/>
        <item x="652"/>
        <item x="197"/>
        <item x="96"/>
        <item x="143"/>
        <item x="334"/>
        <item x="153"/>
        <item x="94"/>
        <item x="156"/>
        <item x="576"/>
        <item x="128"/>
        <item x="549"/>
        <item x="172"/>
        <item x="621"/>
        <item x="231"/>
        <item x="157"/>
        <item x="629"/>
        <item x="162"/>
        <item x="155"/>
        <item x="141"/>
        <item x="120"/>
        <item x="123"/>
        <item x="254"/>
        <item x="158"/>
        <item x="319"/>
        <item x="161"/>
        <item x="335"/>
        <item x="149"/>
        <item x="116"/>
        <item x="585"/>
        <item x="587"/>
        <item x="170"/>
        <item x="348"/>
        <item x="139"/>
        <item x="295"/>
        <item x="154"/>
        <item x="267"/>
        <item x="98"/>
        <item x="127"/>
        <item x="110"/>
        <item x="113"/>
        <item x="102"/>
        <item x="87"/>
        <item x="256"/>
        <item x="159"/>
        <item x="160"/>
        <item x="86"/>
        <item x="85"/>
        <item x="95"/>
        <item x="171"/>
        <item x="419"/>
        <item x="88"/>
        <item x="92"/>
        <item x="144"/>
        <item x="129"/>
        <item x="106"/>
        <item x="97"/>
        <item x="117"/>
        <item x="173"/>
        <item x="194"/>
        <item x="638"/>
        <item x="133"/>
        <item x="438"/>
        <item x="111"/>
        <item x="341"/>
        <item x="597"/>
        <item x="118"/>
        <item x="192"/>
        <item x="255"/>
        <item x="112"/>
        <item x="168"/>
        <item x="211"/>
        <item x="165"/>
        <item x="164"/>
        <item x="147"/>
        <item x="169"/>
        <item x="220"/>
        <item x="114"/>
        <item x="122"/>
        <item x="303"/>
        <item x="101"/>
        <item x="126"/>
        <item x="645"/>
        <item x="119"/>
        <item x="289"/>
        <item x="142"/>
        <item x="136"/>
        <item x="140"/>
        <item x="630"/>
        <item x="421"/>
        <item x="311"/>
        <item x="99"/>
        <item x="124"/>
        <item x="146"/>
        <item x="193"/>
        <item x="115"/>
        <item x="214"/>
        <item x="137"/>
        <item x="151"/>
        <item x="253"/>
        <item x="138"/>
        <item x="131"/>
        <item x="145"/>
        <item x="235"/>
        <item x="218"/>
        <item x="130"/>
        <item x="327"/>
        <item x="232"/>
        <item x="382"/>
        <item x="91"/>
        <item x="275"/>
        <item x="234"/>
        <item x="132"/>
        <item x="420"/>
        <item x="93"/>
        <item x="108"/>
        <item x="557"/>
        <item x="649"/>
        <item x="318"/>
        <item x="152"/>
        <item x="125"/>
        <item x="322"/>
        <item x="291"/>
        <item x="245"/>
        <item x="201"/>
        <item x="320"/>
        <item x="330"/>
        <item x="316"/>
        <item x="577"/>
        <item x="402"/>
        <item x="332"/>
        <item x="189"/>
        <item x="575"/>
        <item x="258"/>
        <item x="306"/>
        <item x="333"/>
        <item x="556"/>
        <item x="574"/>
        <item x="552"/>
        <item x="596"/>
        <item x="616"/>
        <item x="615"/>
        <item x="325"/>
        <item x="301"/>
        <item x="555"/>
        <item x="578"/>
        <item x="634"/>
        <item x="553"/>
        <item x="551"/>
        <item x="604"/>
        <item x="204"/>
        <item x="269"/>
        <item x="307"/>
        <item x="449"/>
        <item x="223"/>
        <item x="642"/>
        <item x="554"/>
        <item x="224"/>
        <item x="614"/>
        <item x="565"/>
        <item x="331"/>
        <item x="448"/>
        <item x="329"/>
        <item x="550"/>
        <item t="default"/>
      </items>
    </pivotField>
    <pivotField showAll="0"/>
    <pivotField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numFmtId="164" showAll="0"/>
    <pivotField showAll="0"/>
    <pivotField numFmtId="165" showAll="0"/>
    <pivotField axis="axisRow" showAll="0">
      <items count="4">
        <item x="2"/>
        <item x="0"/>
        <item x="1"/>
        <item t="default"/>
      </items>
    </pivotField>
  </pivotFields>
  <rowFields count="1">
    <field x="28"/>
  </rowFields>
  <rowItems count="3">
    <i>
      <x/>
    </i>
    <i>
      <x v="1"/>
    </i>
    <i>
      <x v="2"/>
    </i>
  </rowItems>
  <colFields count="1">
    <field x="-2"/>
  </colFields>
  <colItems count="2">
    <i>
      <x/>
    </i>
    <i i="1">
      <x v="1"/>
    </i>
  </colItems>
  <pageFields count="1">
    <pageField fld="4" hier="-1"/>
  </pageFields>
  <dataFields count="2">
    <dataField name="Average of anxiety_score" fld="6" subtotal="average" baseField="28" baseItem="0"/>
    <dataField name="Average of stress_score" fld="9" subtotal="average" baseField="2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AA1272" totalsRowShown="0">
  <autoFilter ref="A1:AA1272"/>
  <tableColumns count="27">
    <tableColumn id="1" name="respondent_id"/>
    <tableColumn id="2" name="city"/>
    <tableColumn id="3" name="age_group"/>
    <tableColumn id="4" name="age"/>
    <tableColumn id="5" name="gender"/>
    <tableColumn id="6" name="occupation"/>
    <tableColumn id="7" name="anxiety_score"/>
    <tableColumn id="8" name="anxiety_level" dataDxfId="11">
      <calculatedColumnFormula>IF(Table1[[#This Row],[anxiety_score]]&lt;=10, "Normal", IF(Table1[[#This Row],[anxiety_score]]&lt;=20, "Moderate", IF(Table1[[#This Row],[anxiety_score]]&lt;=30, "Severe", "Extremely Severe")))</calculatedColumnFormula>
    </tableColumn>
    <tableColumn id="9" name="anxiety_zscore"/>
    <tableColumn id="10" name="stress_score"/>
    <tableColumn id="11" name="stress_level" dataDxfId="10">
      <calculatedColumnFormula>IF(Table1[[#This Row],[stress_score]]&lt;=10, "Normal", IF(Table1[[#This Row],[stress_score]]&lt;=20, "Moderate", IF(Table1[[#This Row],[stress_score]]&lt;=30, "Severe", "Extremely Severe")))</calculatedColumnFormula>
    </tableColumn>
    <tableColumn id="12" name="stress_zscore"/>
    <tableColumn id="13" name="depression_score"/>
    <tableColumn id="14" name="depression_level" dataDxfId="9">
      <calculatedColumnFormula>IF(Table1[[#This Row],[depression_score]]&lt;=10, "Normal", IF(Table1[[#This Row],[depression_score]]&lt;=20, "Moderate", IF(Table1[[#This Row],[depression_score]]&lt;=30, "Severe", "Extremely Severe")))</calculatedColumnFormula>
    </tableColumn>
    <tableColumn id="15" name="depression_zscore"/>
    <tableColumn id="18" name="dass21_raw_score"/>
    <tableColumn id="16" name="round_dass21_raw_score" dataDxfId="8">
      <calculatedColumnFormula>ROUND(Table1[[#This Row],[dass21_raw_score]],0)</calculatedColumnFormula>
    </tableColumn>
    <tableColumn id="17" name="Risk_level" dataDxfId="7">
      <calculatedColumnFormula>IF(Table1[[#This Row],[round_dass21_raw_score]]&lt;=10, "Normal", IF(Table1[[#This Row],[round_dass21_raw_score]]&lt;=20, "Moderate", IF(Table1[[#This Row],[round_dass21_raw_score]]&lt;=30, "Severe", "Extremely Severe")))</calculatedColumnFormula>
    </tableColumn>
    <tableColumn id="19" name="dass21_total"/>
    <tableColumn id="20" name="dass21_category"/>
    <tableColumn id="22" name="fmpce"/>
    <tableColumn id="25" name="rounded_fmpce" dataDxfId="6">
      <calculatedColumnFormula>ROUND(Table1[[#This Row],[fmpce]],0)</calculatedColumnFormula>
    </tableColumn>
    <tableColumn id="23" name="mpce"/>
    <tableColumn id="26" name="mpce_inr" dataDxfId="5">
      <calculatedColumnFormula>Table1[[#This Row],[mpce]]*89</calculatedColumnFormula>
    </tableColumn>
    <tableColumn id="24" name="rmpce" dataDxfId="4"/>
    <tableColumn id="29" name="rmpce_inr" dataDxfId="3">
      <calculatedColumnFormula>VLOOKUP(Y2, rmpce_reference!$B$1:$D$7,3,FALSE) * 89</calculatedColumnFormula>
    </tableColumn>
    <tableColumn id="30" name="income_description" dataDxfId="2">
      <calculatedColumnFormula>IF(Table1[rmpce_inr]&lt;=rmpce_reference!$F$2, "Low Income", IF(Table1[rmpce_inr]&lt;=rmpce_reference!$F$3, "Middle Income", "High Income"))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272"/>
  <sheetViews>
    <sheetView tabSelected="1" topLeftCell="Q1" workbookViewId="0">
      <selection activeCell="AA2" sqref="AA2"/>
    </sheetView>
  </sheetViews>
  <sheetFormatPr defaultRowHeight="15" x14ac:dyDescent="0.25"/>
  <cols>
    <col min="1" max="1" width="16.140625" customWidth="1"/>
    <col min="2" max="3" width="12.42578125" customWidth="1"/>
    <col min="5" max="5" width="9.42578125" customWidth="1"/>
    <col min="6" max="6" width="12.85546875" customWidth="1"/>
    <col min="7" max="7" width="15.42578125" customWidth="1"/>
    <col min="8" max="8" width="15.140625" customWidth="1"/>
    <col min="9" max="9" width="16.28515625" customWidth="1"/>
    <col min="10" max="10" width="14" customWidth="1"/>
    <col min="11" max="11" width="13.7109375" customWidth="1"/>
    <col min="12" max="12" width="14.85546875" customWidth="1"/>
    <col min="13" max="13" width="18.7109375" customWidth="1"/>
    <col min="14" max="14" width="18.42578125" customWidth="1"/>
    <col min="15" max="15" width="19.5703125" customWidth="1"/>
    <col min="16" max="18" width="20.140625" customWidth="1"/>
    <col min="19" max="19" width="17.7109375" customWidth="1"/>
    <col min="20" max="20" width="19" customWidth="1"/>
    <col min="21" max="21" width="17.5703125" customWidth="1"/>
    <col min="22" max="22" width="23" customWidth="1"/>
    <col min="24" max="24" width="19.28515625" customWidth="1"/>
    <col min="26" max="26" width="12.28515625" bestFit="1" customWidth="1"/>
    <col min="27" max="27" width="17.42578125" customWidth="1"/>
    <col min="28" max="28" width="12.140625" customWidth="1"/>
    <col min="29" max="29" width="13.5703125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66</v>
      </c>
      <c r="Q1" t="s">
        <v>67</v>
      </c>
      <c r="R1" t="s">
        <v>15</v>
      </c>
      <c r="S1" t="s">
        <v>68</v>
      </c>
      <c r="T1" t="s">
        <v>16</v>
      </c>
      <c r="U1" t="s">
        <v>17</v>
      </c>
      <c r="V1" t="s">
        <v>46</v>
      </c>
      <c r="W1" t="s">
        <v>18</v>
      </c>
      <c r="X1" t="s">
        <v>47</v>
      </c>
      <c r="Y1" t="s">
        <v>19</v>
      </c>
      <c r="Z1" t="s">
        <v>48</v>
      </c>
      <c r="AA1" t="s">
        <v>53</v>
      </c>
    </row>
    <row r="2" spans="1:27" x14ac:dyDescent="0.25">
      <c r="A2">
        <v>1001</v>
      </c>
      <c r="B2" t="s">
        <v>20</v>
      </c>
      <c r="C2" t="s">
        <v>21</v>
      </c>
      <c r="D2">
        <v>43</v>
      </c>
      <c r="E2" t="s">
        <v>22</v>
      </c>
      <c r="F2" t="s">
        <v>23</v>
      </c>
      <c r="G2">
        <v>6</v>
      </c>
      <c r="H2" s="1" t="str">
        <f>IF(Table1[[#This Row],[anxiety_score]]&lt;=10, "Normal", IF(Table1[[#This Row],[anxiety_score]]&lt;=20, "Moderate", IF(Table1[[#This Row],[anxiety_score]]&lt;=30, "Severe", "Extremely Severe")))</f>
        <v>Normal</v>
      </c>
      <c r="I2">
        <v>-0.41028870000000001</v>
      </c>
      <c r="J2">
        <v>12</v>
      </c>
      <c r="K2" s="1" t="str">
        <f>IF(Table1[[#This Row],[stress_score]]&lt;=10, "Normal", IF(Table1[[#This Row],[stress_score]]&lt;=20, "Moderate", IF(Table1[[#This Row],[stress_score]]&lt;=30, "Severe", "Extremely Severe")))</f>
        <v>Moderate</v>
      </c>
      <c r="L2">
        <v>5.496318E-3</v>
      </c>
      <c r="M2">
        <v>8</v>
      </c>
      <c r="N2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2">
        <v>-0.33828637</v>
      </c>
      <c r="P2">
        <v>8.6666670000000003</v>
      </c>
      <c r="Q2">
        <f>ROUND(Table1[[#This Row],[dass21_raw_score]],0)</f>
        <v>9</v>
      </c>
      <c r="R2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2">
        <v>-0.24769290999999999</v>
      </c>
      <c r="T2">
        <v>0.84721696000000002</v>
      </c>
      <c r="U2">
        <v>1400</v>
      </c>
      <c r="V2" s="1">
        <f>ROUND(Table1[[#This Row],[fmpce]],0)</f>
        <v>1400</v>
      </c>
      <c r="W2">
        <v>19.046530000000001</v>
      </c>
      <c r="X2" s="4">
        <f>Table1[[#This Row],[mpce]]*89</f>
        <v>1695.1411700000001</v>
      </c>
      <c r="Y2" s="2" t="s">
        <v>24</v>
      </c>
      <c r="Z2" s="3">
        <f>VLOOKUP(Y2, rmpce_reference!$B$1:$D$7,3,FALSE) * 89</f>
        <v>2225</v>
      </c>
      <c r="AA2" s="1" t="str">
        <f>IF(Table1[rmpce_inr]&lt;=rmpce_reference!$F$2, "Low Income", IF(Table1[rmpce_inr]&lt;=rmpce_reference!$F$3, "Middle Income", "High Income"))</f>
        <v>Low Income</v>
      </c>
    </row>
    <row r="3" spans="1:27" x14ac:dyDescent="0.25">
      <c r="A3">
        <v>1002</v>
      </c>
      <c r="B3" t="s">
        <v>20</v>
      </c>
      <c r="C3" t="s">
        <v>21</v>
      </c>
      <c r="D3">
        <v>50</v>
      </c>
      <c r="E3" t="s">
        <v>25</v>
      </c>
      <c r="F3" t="s">
        <v>26</v>
      </c>
      <c r="G3">
        <v>2</v>
      </c>
      <c r="H3" s="1" t="str">
        <f>IF(Table1[[#This Row],[anxiety_score]]&lt;=10, "Normal", IF(Table1[[#This Row],[anxiety_score]]&lt;=20, "Moderate", IF(Table1[[#This Row],[anxiety_score]]&lt;=30, "Severe", "Extremely Severe")))</f>
        <v>Normal</v>
      </c>
      <c r="I3">
        <v>-0.81237789999999999</v>
      </c>
      <c r="J3">
        <v>4</v>
      </c>
      <c r="K3" s="1" t="str">
        <f>IF(Table1[[#This Row],[stress_score]]&lt;=10, "Normal", IF(Table1[[#This Row],[stress_score]]&lt;=20, "Moderate", IF(Table1[[#This Row],[stress_score]]&lt;=30, "Severe", "Extremely Severe")))</f>
        <v>Normal</v>
      </c>
      <c r="L3">
        <v>-0.77314866000000004</v>
      </c>
      <c r="M3">
        <v>2</v>
      </c>
      <c r="N3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3">
        <v>-0.91619854999999994</v>
      </c>
      <c r="P3">
        <v>2.6666666999999999</v>
      </c>
      <c r="Q3">
        <f>ROUND(Table1[[#This Row],[dass21_raw_score]],0)</f>
        <v>3</v>
      </c>
      <c r="R3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3">
        <v>-0.83390839999999999</v>
      </c>
      <c r="T3">
        <v>0.26100152999999998</v>
      </c>
      <c r="U3">
        <v>1666.6666</v>
      </c>
      <c r="V3" s="1">
        <f>ROUND(Table1[[#This Row],[fmpce]],0)</f>
        <v>1667</v>
      </c>
      <c r="W3">
        <v>22.674440000000001</v>
      </c>
      <c r="X3" s="4">
        <f>Table1[[#This Row],[mpce]]*89</f>
        <v>2018.0251600000001</v>
      </c>
      <c r="Y3" s="2" t="s">
        <v>24</v>
      </c>
      <c r="Z3" s="3">
        <f>VLOOKUP(Y3, rmpce_reference!$B$1:$D$7,3,FALSE) * 89</f>
        <v>2225</v>
      </c>
      <c r="AA3" s="1" t="str">
        <f>IF(Table1[rmpce_inr]&lt;=rmpce_reference!$F$2, "Low Income", IF(Table1[rmpce_inr]&lt;=rmpce_reference!$F$3, "Middle Income", "High Income"))</f>
        <v>Low Income</v>
      </c>
    </row>
    <row r="4" spans="1:27" x14ac:dyDescent="0.25">
      <c r="A4">
        <v>1003</v>
      </c>
      <c r="B4" t="s">
        <v>20</v>
      </c>
      <c r="C4" t="s">
        <v>21</v>
      </c>
      <c r="D4">
        <v>49</v>
      </c>
      <c r="E4" t="s">
        <v>25</v>
      </c>
      <c r="F4" t="s">
        <v>27</v>
      </c>
      <c r="G4">
        <v>2</v>
      </c>
      <c r="H4" s="1" t="str">
        <f>IF(Table1[[#This Row],[anxiety_score]]&lt;=10, "Normal", IF(Table1[[#This Row],[anxiety_score]]&lt;=20, "Moderate", IF(Table1[[#This Row],[anxiety_score]]&lt;=30, "Severe", "Extremely Severe")))</f>
        <v>Normal</v>
      </c>
      <c r="I4">
        <v>-0.81237789999999999</v>
      </c>
      <c r="J4">
        <v>4</v>
      </c>
      <c r="K4" s="1" t="str">
        <f>IF(Table1[[#This Row],[stress_score]]&lt;=10, "Normal", IF(Table1[[#This Row],[stress_score]]&lt;=20, "Moderate", IF(Table1[[#This Row],[stress_score]]&lt;=30, "Severe", "Extremely Severe")))</f>
        <v>Normal</v>
      </c>
      <c r="L4">
        <v>-0.77314866000000004</v>
      </c>
      <c r="M4">
        <v>2</v>
      </c>
      <c r="N4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4">
        <v>-0.91619854999999994</v>
      </c>
      <c r="P4">
        <v>2.6666666999999999</v>
      </c>
      <c r="Q4">
        <f>ROUND(Table1[[#This Row],[dass21_raw_score]],0)</f>
        <v>3</v>
      </c>
      <c r="R4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4">
        <v>-0.83390839999999999</v>
      </c>
      <c r="T4">
        <v>0.26100152999999998</v>
      </c>
      <c r="U4">
        <v>5000</v>
      </c>
      <c r="V4" s="1">
        <f>ROUND(Table1[[#This Row],[fmpce]],0)</f>
        <v>5000</v>
      </c>
      <c r="W4">
        <v>68.023319999999998</v>
      </c>
      <c r="X4" s="4">
        <f>Table1[[#This Row],[mpce]]*89</f>
        <v>6054.0754799999995</v>
      </c>
      <c r="Y4" s="2" t="s">
        <v>28</v>
      </c>
      <c r="Z4" s="3">
        <f>VLOOKUP(Y4, rmpce_reference!$B$1:$D$7,3,FALSE) * 89</f>
        <v>6230</v>
      </c>
      <c r="AA4" s="1" t="str">
        <f>IF(Table1[rmpce_inr]&lt;=rmpce_reference!$F$2, "Low Income", IF(Table1[rmpce_inr]&lt;=rmpce_reference!$F$3, "Middle Income", "High Income"))</f>
        <v>Middle Income</v>
      </c>
    </row>
    <row r="5" spans="1:27" x14ac:dyDescent="0.25">
      <c r="A5">
        <v>1004</v>
      </c>
      <c r="B5" t="s">
        <v>20</v>
      </c>
      <c r="C5" t="s">
        <v>21</v>
      </c>
      <c r="D5">
        <v>48</v>
      </c>
      <c r="E5" t="s">
        <v>25</v>
      </c>
      <c r="F5" t="s">
        <v>26</v>
      </c>
      <c r="G5">
        <v>2</v>
      </c>
      <c r="H5" s="1" t="str">
        <f>IF(Table1[[#This Row],[anxiety_score]]&lt;=10, "Normal", IF(Table1[[#This Row],[anxiety_score]]&lt;=20, "Moderate", IF(Table1[[#This Row],[anxiety_score]]&lt;=30, "Severe", "Extremely Severe")))</f>
        <v>Normal</v>
      </c>
      <c r="I5">
        <v>-0.81237789999999999</v>
      </c>
      <c r="J5">
        <v>4</v>
      </c>
      <c r="K5" s="1" t="str">
        <f>IF(Table1[[#This Row],[stress_score]]&lt;=10, "Normal", IF(Table1[[#This Row],[stress_score]]&lt;=20, "Moderate", IF(Table1[[#This Row],[stress_score]]&lt;=30, "Severe", "Extremely Severe")))</f>
        <v>Normal</v>
      </c>
      <c r="L5">
        <v>-0.77314866000000004</v>
      </c>
      <c r="M5">
        <v>2</v>
      </c>
      <c r="N5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5">
        <v>-0.91619854999999994</v>
      </c>
      <c r="P5">
        <v>2.6666666999999999</v>
      </c>
      <c r="Q5">
        <f>ROUND(Table1[[#This Row],[dass21_raw_score]],0)</f>
        <v>3</v>
      </c>
      <c r="R5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5">
        <v>-0.83390839999999999</v>
      </c>
      <c r="T5">
        <v>0.26100152999999998</v>
      </c>
      <c r="U5">
        <v>1250</v>
      </c>
      <c r="V5" s="1">
        <f>ROUND(Table1[[#This Row],[fmpce]],0)</f>
        <v>1250</v>
      </c>
      <c r="W5">
        <v>17.00583</v>
      </c>
      <c r="X5" s="4">
        <f>Table1[[#This Row],[mpce]]*89</f>
        <v>1513.5188699999999</v>
      </c>
      <c r="Y5" s="2" t="s">
        <v>24</v>
      </c>
      <c r="Z5" s="3">
        <f>VLOOKUP(Y5, rmpce_reference!$B$1:$D$7,3,FALSE) * 89</f>
        <v>2225</v>
      </c>
      <c r="AA5" s="1" t="str">
        <f>IF(Table1[rmpce_inr]&lt;=rmpce_reference!$F$2, "Low Income", IF(Table1[rmpce_inr]&lt;=rmpce_reference!$F$3, "Middle Income", "High Income"))</f>
        <v>Low Income</v>
      </c>
    </row>
    <row r="6" spans="1:27" x14ac:dyDescent="0.25">
      <c r="A6">
        <v>1005</v>
      </c>
      <c r="B6" t="s">
        <v>20</v>
      </c>
      <c r="C6" t="s">
        <v>21</v>
      </c>
      <c r="D6">
        <v>42</v>
      </c>
      <c r="E6" t="s">
        <v>22</v>
      </c>
      <c r="F6" t="s">
        <v>23</v>
      </c>
      <c r="G6">
        <v>2</v>
      </c>
      <c r="H6" s="1" t="str">
        <f>IF(Table1[[#This Row],[anxiety_score]]&lt;=10, "Normal", IF(Table1[[#This Row],[anxiety_score]]&lt;=20, "Moderate", IF(Table1[[#This Row],[anxiety_score]]&lt;=30, "Severe", "Extremely Severe")))</f>
        <v>Normal</v>
      </c>
      <c r="I6">
        <v>-0.81237789999999999</v>
      </c>
      <c r="J6">
        <v>2</v>
      </c>
      <c r="K6" s="1" t="str">
        <f>IF(Table1[[#This Row],[stress_score]]&lt;=10, "Normal", IF(Table1[[#This Row],[stress_score]]&lt;=20, "Moderate", IF(Table1[[#This Row],[stress_score]]&lt;=30, "Severe", "Extremely Severe")))</f>
        <v>Normal</v>
      </c>
      <c r="L6">
        <v>-0.9678099</v>
      </c>
      <c r="M6">
        <v>2</v>
      </c>
      <c r="N6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6">
        <v>-0.91619854999999994</v>
      </c>
      <c r="P6">
        <v>2</v>
      </c>
      <c r="Q6">
        <f>ROUND(Table1[[#This Row],[dass21_raw_score]],0)</f>
        <v>2</v>
      </c>
      <c r="R6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6">
        <v>-0.89879549999999997</v>
      </c>
      <c r="T6">
        <v>0.19611442000000001</v>
      </c>
      <c r="U6">
        <v>1000</v>
      </c>
      <c r="V6" s="1">
        <f>ROUND(Table1[[#This Row],[fmpce]],0)</f>
        <v>1000</v>
      </c>
      <c r="W6">
        <v>13.604665000000001</v>
      </c>
      <c r="X6" s="4">
        <f>Table1[[#This Row],[mpce]]*89</f>
        <v>1210.8151850000002</v>
      </c>
      <c r="Y6" s="2" t="s">
        <v>24</v>
      </c>
      <c r="Z6" s="3">
        <f>VLOOKUP(Y6, rmpce_reference!$B$1:$D$7,3,FALSE) * 89</f>
        <v>2225</v>
      </c>
      <c r="AA6" s="1" t="str">
        <f>IF(Table1[rmpce_inr]&lt;=rmpce_reference!$F$2, "Low Income", IF(Table1[rmpce_inr]&lt;=rmpce_reference!$F$3, "Middle Income", "High Income"))</f>
        <v>Low Income</v>
      </c>
    </row>
    <row r="7" spans="1:27" x14ac:dyDescent="0.25">
      <c r="A7">
        <v>1006</v>
      </c>
      <c r="B7" t="s">
        <v>20</v>
      </c>
      <c r="C7" t="s">
        <v>21</v>
      </c>
      <c r="D7">
        <v>45</v>
      </c>
      <c r="E7" t="s">
        <v>22</v>
      </c>
      <c r="F7" t="s">
        <v>23</v>
      </c>
      <c r="G7">
        <v>8</v>
      </c>
      <c r="H7" s="1" t="str">
        <f>IF(Table1[[#This Row],[anxiety_score]]&lt;=10, "Normal", IF(Table1[[#This Row],[anxiety_score]]&lt;=20, "Moderate", IF(Table1[[#This Row],[anxiety_score]]&lt;=30, "Severe", "Extremely Severe")))</f>
        <v>Normal</v>
      </c>
      <c r="I7">
        <v>-0.20924408999999999</v>
      </c>
      <c r="J7">
        <v>16</v>
      </c>
      <c r="K7" s="1" t="str">
        <f>IF(Table1[[#This Row],[stress_score]]&lt;=10, "Normal", IF(Table1[[#This Row],[stress_score]]&lt;=20, "Moderate", IF(Table1[[#This Row],[stress_score]]&lt;=30, "Severe", "Extremely Severe")))</f>
        <v>Moderate</v>
      </c>
      <c r="L7">
        <v>0.39481880000000003</v>
      </c>
      <c r="M7">
        <v>20</v>
      </c>
      <c r="N7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7">
        <v>0.81753799999999999</v>
      </c>
      <c r="P7">
        <v>14.666667</v>
      </c>
      <c r="Q7">
        <f>ROUND(Table1[[#This Row],[dass21_raw_score]],0)</f>
        <v>15</v>
      </c>
      <c r="R7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7">
        <v>0.33437090000000003</v>
      </c>
      <c r="T7">
        <v>1.4292807999999999</v>
      </c>
      <c r="U7">
        <v>1250</v>
      </c>
      <c r="V7" s="1">
        <f>ROUND(Table1[[#This Row],[fmpce]],0)</f>
        <v>1250</v>
      </c>
      <c r="W7">
        <v>17.00583</v>
      </c>
      <c r="X7" s="4">
        <f>Table1[[#This Row],[mpce]]*89</f>
        <v>1513.5188699999999</v>
      </c>
      <c r="Y7" s="2" t="s">
        <v>24</v>
      </c>
      <c r="Z7" s="3">
        <f>VLOOKUP(Y7, rmpce_reference!$B$1:$D$7,3,FALSE) * 89</f>
        <v>2225</v>
      </c>
      <c r="AA7" s="1" t="str">
        <f>IF(Table1[rmpce_inr]&lt;=rmpce_reference!$F$2, "Low Income", IF(Table1[rmpce_inr]&lt;=rmpce_reference!$F$3, "Middle Income", "High Income"))</f>
        <v>Low Income</v>
      </c>
    </row>
    <row r="8" spans="1:27" x14ac:dyDescent="0.25">
      <c r="A8">
        <v>1007</v>
      </c>
      <c r="B8" t="s">
        <v>20</v>
      </c>
      <c r="C8" t="s">
        <v>29</v>
      </c>
      <c r="D8">
        <v>31</v>
      </c>
      <c r="E8" t="s">
        <v>25</v>
      </c>
      <c r="F8" t="s">
        <v>26</v>
      </c>
      <c r="G8">
        <v>8</v>
      </c>
      <c r="H8" s="1" t="str">
        <f>IF(Table1[[#This Row],[anxiety_score]]&lt;=10, "Normal", IF(Table1[[#This Row],[anxiety_score]]&lt;=20, "Moderate", IF(Table1[[#This Row],[anxiety_score]]&lt;=30, "Severe", "Extremely Severe")))</f>
        <v>Normal</v>
      </c>
      <c r="I8">
        <v>-0.20924408999999999</v>
      </c>
      <c r="J8">
        <v>16</v>
      </c>
      <c r="K8" s="1" t="str">
        <f>IF(Table1[[#This Row],[stress_score]]&lt;=10, "Normal", IF(Table1[[#This Row],[stress_score]]&lt;=20, "Moderate", IF(Table1[[#This Row],[stress_score]]&lt;=30, "Severe", "Extremely Severe")))</f>
        <v>Moderate</v>
      </c>
      <c r="L8">
        <v>0.39481880000000003</v>
      </c>
      <c r="M8">
        <v>20</v>
      </c>
      <c r="N8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8">
        <v>0.81753799999999999</v>
      </c>
      <c r="P8">
        <v>14.666667</v>
      </c>
      <c r="Q8">
        <f>ROUND(Table1[[#This Row],[dass21_raw_score]],0)</f>
        <v>15</v>
      </c>
      <c r="R8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8">
        <v>0.33437090000000003</v>
      </c>
      <c r="T8">
        <v>1.4292807999999999</v>
      </c>
      <c r="U8">
        <v>1250</v>
      </c>
      <c r="V8" s="1">
        <f>ROUND(Table1[[#This Row],[fmpce]],0)</f>
        <v>1250</v>
      </c>
      <c r="W8">
        <v>17.00583</v>
      </c>
      <c r="X8" s="4">
        <f>Table1[[#This Row],[mpce]]*89</f>
        <v>1513.5188699999999</v>
      </c>
      <c r="Y8" s="2" t="s">
        <v>24</v>
      </c>
      <c r="Z8" s="3">
        <f>VLOOKUP(Y8, rmpce_reference!$B$1:$D$7,3,FALSE) * 89</f>
        <v>2225</v>
      </c>
      <c r="AA8" s="1" t="str">
        <f>IF(Table1[rmpce_inr]&lt;=rmpce_reference!$F$2, "Low Income", IF(Table1[rmpce_inr]&lt;=rmpce_reference!$F$3, "Middle Income", "High Income"))</f>
        <v>Low Income</v>
      </c>
    </row>
    <row r="9" spans="1:27" x14ac:dyDescent="0.25">
      <c r="A9">
        <v>1008</v>
      </c>
      <c r="B9" t="s">
        <v>20</v>
      </c>
      <c r="C9" t="s">
        <v>29</v>
      </c>
      <c r="D9">
        <v>40</v>
      </c>
      <c r="E9" t="s">
        <v>25</v>
      </c>
      <c r="F9" t="s">
        <v>23</v>
      </c>
      <c r="G9">
        <v>10</v>
      </c>
      <c r="H9" s="1" t="str">
        <f>IF(Table1[[#This Row],[anxiety_score]]&lt;=10, "Normal", IF(Table1[[#This Row],[anxiety_score]]&lt;=20, "Moderate", IF(Table1[[#This Row],[anxiety_score]]&lt;=30, "Severe", "Extremely Severe")))</f>
        <v>Normal</v>
      </c>
      <c r="I9">
        <v>-8.1994660000000007E-3</v>
      </c>
      <c r="J9">
        <v>14</v>
      </c>
      <c r="K9" s="1" t="str">
        <f>IF(Table1[[#This Row],[stress_score]]&lt;=10, "Normal", IF(Table1[[#This Row],[stress_score]]&lt;=20, "Moderate", IF(Table1[[#This Row],[stress_score]]&lt;=30, "Severe", "Extremely Severe")))</f>
        <v>Moderate</v>
      </c>
      <c r="L9">
        <v>0.20015757000000001</v>
      </c>
      <c r="M9">
        <v>18</v>
      </c>
      <c r="N9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9">
        <v>0.62490060000000003</v>
      </c>
      <c r="P9">
        <v>14</v>
      </c>
      <c r="Q9">
        <f>ROUND(Table1[[#This Row],[dass21_raw_score]],0)</f>
        <v>14</v>
      </c>
      <c r="R9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9">
        <v>0.27228624000000001</v>
      </c>
      <c r="T9">
        <v>1.3671960999999999</v>
      </c>
      <c r="U9">
        <v>1600</v>
      </c>
      <c r="V9" s="1">
        <f>ROUND(Table1[[#This Row],[fmpce]],0)</f>
        <v>1600</v>
      </c>
      <c r="W9">
        <v>21.767464</v>
      </c>
      <c r="X9" s="4">
        <f>Table1[[#This Row],[mpce]]*89</f>
        <v>1937.304296</v>
      </c>
      <c r="Y9" s="2" t="s">
        <v>24</v>
      </c>
      <c r="Z9" s="3">
        <f>VLOOKUP(Y9, rmpce_reference!$B$1:$D$7,3,FALSE) * 89</f>
        <v>2225</v>
      </c>
      <c r="AA9" s="1" t="str">
        <f>IF(Table1[rmpce_inr]&lt;=rmpce_reference!$F$2, "Low Income", IF(Table1[rmpce_inr]&lt;=rmpce_reference!$F$3, "Middle Income", "High Income"))</f>
        <v>Low Income</v>
      </c>
    </row>
    <row r="10" spans="1:27" x14ac:dyDescent="0.25">
      <c r="A10">
        <v>1009</v>
      </c>
      <c r="B10" t="s">
        <v>20</v>
      </c>
      <c r="C10" t="s">
        <v>29</v>
      </c>
      <c r="D10">
        <v>35</v>
      </c>
      <c r="E10" t="s">
        <v>25</v>
      </c>
      <c r="F10" t="s">
        <v>30</v>
      </c>
      <c r="G10">
        <v>10</v>
      </c>
      <c r="H10" s="1" t="str">
        <f>IF(Table1[[#This Row],[anxiety_score]]&lt;=10, "Normal", IF(Table1[[#This Row],[anxiety_score]]&lt;=20, "Moderate", IF(Table1[[#This Row],[anxiety_score]]&lt;=30, "Severe", "Extremely Severe")))</f>
        <v>Normal</v>
      </c>
      <c r="I10">
        <v>-8.1994660000000007E-3</v>
      </c>
      <c r="J10">
        <v>14</v>
      </c>
      <c r="K10" s="1" t="str">
        <f>IF(Table1[[#This Row],[stress_score]]&lt;=10, "Normal", IF(Table1[[#This Row],[stress_score]]&lt;=20, "Moderate", IF(Table1[[#This Row],[stress_score]]&lt;=30, "Severe", "Extremely Severe")))</f>
        <v>Moderate</v>
      </c>
      <c r="L10">
        <v>0.20015757000000001</v>
      </c>
      <c r="M10">
        <v>18</v>
      </c>
      <c r="N10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10">
        <v>0.62490060000000003</v>
      </c>
      <c r="P10">
        <v>14</v>
      </c>
      <c r="Q10">
        <f>ROUND(Table1[[#This Row],[dass21_raw_score]],0)</f>
        <v>14</v>
      </c>
      <c r="R10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10">
        <v>0.27228624000000001</v>
      </c>
      <c r="T10">
        <v>1.3671960999999999</v>
      </c>
      <c r="U10">
        <v>1666.6666</v>
      </c>
      <c r="V10" s="1">
        <f>ROUND(Table1[[#This Row],[fmpce]],0)</f>
        <v>1667</v>
      </c>
      <c r="W10">
        <v>22.674440000000001</v>
      </c>
      <c r="X10" s="4">
        <f>Table1[[#This Row],[mpce]]*89</f>
        <v>2018.0251600000001</v>
      </c>
      <c r="Y10" s="2" t="s">
        <v>24</v>
      </c>
      <c r="Z10" s="3">
        <f>VLOOKUP(Y10, rmpce_reference!$B$1:$D$7,3,FALSE) * 89</f>
        <v>2225</v>
      </c>
      <c r="AA10" s="1" t="str">
        <f>IF(Table1[rmpce_inr]&lt;=rmpce_reference!$F$2, "Low Income", IF(Table1[rmpce_inr]&lt;=rmpce_reference!$F$3, "Middle Income", "High Income"))</f>
        <v>Low Income</v>
      </c>
    </row>
    <row r="11" spans="1:27" x14ac:dyDescent="0.25">
      <c r="A11">
        <v>1010</v>
      </c>
      <c r="B11" t="s">
        <v>20</v>
      </c>
      <c r="C11" t="s">
        <v>29</v>
      </c>
      <c r="D11">
        <v>40</v>
      </c>
      <c r="E11" t="s">
        <v>25</v>
      </c>
      <c r="F11" t="s">
        <v>30</v>
      </c>
      <c r="G11">
        <v>10</v>
      </c>
      <c r="H11" s="1" t="str">
        <f>IF(Table1[[#This Row],[anxiety_score]]&lt;=10, "Normal", IF(Table1[[#This Row],[anxiety_score]]&lt;=20, "Moderate", IF(Table1[[#This Row],[anxiety_score]]&lt;=30, "Severe", "Extremely Severe")))</f>
        <v>Normal</v>
      </c>
      <c r="I11">
        <v>-8.1994660000000007E-3</v>
      </c>
      <c r="J11">
        <v>14</v>
      </c>
      <c r="K11" s="1" t="str">
        <f>IF(Table1[[#This Row],[stress_score]]&lt;=10, "Normal", IF(Table1[[#This Row],[stress_score]]&lt;=20, "Moderate", IF(Table1[[#This Row],[stress_score]]&lt;=30, "Severe", "Extremely Severe")))</f>
        <v>Moderate</v>
      </c>
      <c r="L11">
        <v>0.20015757000000001</v>
      </c>
      <c r="M11">
        <v>16</v>
      </c>
      <c r="N11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11">
        <v>0.43226320000000001</v>
      </c>
      <c r="P11">
        <v>13.333333</v>
      </c>
      <c r="Q11">
        <f>ROUND(Table1[[#This Row],[dass21_raw_score]],0)</f>
        <v>13</v>
      </c>
      <c r="R11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11">
        <v>0.20807376999999999</v>
      </c>
      <c r="T11">
        <v>1.3029835999999999</v>
      </c>
      <c r="U11">
        <v>6000</v>
      </c>
      <c r="V11" s="1">
        <f>ROUND(Table1[[#This Row],[fmpce]],0)</f>
        <v>6000</v>
      </c>
      <c r="W11">
        <v>81.627989999999997</v>
      </c>
      <c r="X11" s="4">
        <f>Table1[[#This Row],[mpce]]*89</f>
        <v>7264.8911099999996</v>
      </c>
      <c r="Y11" s="2" t="s">
        <v>31</v>
      </c>
      <c r="Z11" s="3">
        <f>VLOOKUP(Y11, rmpce_reference!$B$1:$D$7,3,FALSE) * 89</f>
        <v>8010</v>
      </c>
      <c r="AA11" s="1" t="str">
        <f>IF(Table1[rmpce_inr]&lt;=rmpce_reference!$F$2, "Low Income", IF(Table1[rmpce_inr]&lt;=rmpce_reference!$F$3, "Middle Income", "High Income"))</f>
        <v>High Income</v>
      </c>
    </row>
    <row r="12" spans="1:27" x14ac:dyDescent="0.25">
      <c r="A12">
        <v>1011</v>
      </c>
      <c r="B12" t="s">
        <v>20</v>
      </c>
      <c r="C12" t="s">
        <v>21</v>
      </c>
      <c r="D12">
        <v>45</v>
      </c>
      <c r="E12" t="s">
        <v>25</v>
      </c>
      <c r="F12" t="s">
        <v>26</v>
      </c>
      <c r="G12">
        <v>10</v>
      </c>
      <c r="H12" s="1" t="str">
        <f>IF(Table1[[#This Row],[anxiety_score]]&lt;=10, "Normal", IF(Table1[[#This Row],[anxiety_score]]&lt;=20, "Moderate", IF(Table1[[#This Row],[anxiety_score]]&lt;=30, "Severe", "Extremely Severe")))</f>
        <v>Normal</v>
      </c>
      <c r="I12">
        <v>-8.1994660000000007E-3</v>
      </c>
      <c r="J12">
        <v>16</v>
      </c>
      <c r="K12" s="1" t="str">
        <f>IF(Table1[[#This Row],[stress_score]]&lt;=10, "Normal", IF(Table1[[#This Row],[stress_score]]&lt;=20, "Moderate", IF(Table1[[#This Row],[stress_score]]&lt;=30, "Severe", "Extremely Severe")))</f>
        <v>Moderate</v>
      </c>
      <c r="L12">
        <v>0.39481880000000003</v>
      </c>
      <c r="M12">
        <v>14</v>
      </c>
      <c r="N12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12">
        <v>0.23962580999999999</v>
      </c>
      <c r="P12">
        <v>13.333333</v>
      </c>
      <c r="Q12">
        <f>ROUND(Table1[[#This Row],[dass21_raw_score]],0)</f>
        <v>13</v>
      </c>
      <c r="R12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12">
        <v>0.20874839000000001</v>
      </c>
      <c r="T12">
        <v>1.3036582000000001</v>
      </c>
      <c r="U12">
        <v>1400</v>
      </c>
      <c r="V12" s="1">
        <f>ROUND(Table1[[#This Row],[fmpce]],0)</f>
        <v>1400</v>
      </c>
      <c r="W12">
        <v>19.046530000000001</v>
      </c>
      <c r="X12" s="4">
        <f>Table1[[#This Row],[mpce]]*89</f>
        <v>1695.1411700000001</v>
      </c>
      <c r="Y12" s="2" t="s">
        <v>24</v>
      </c>
      <c r="Z12" s="3">
        <f>VLOOKUP(Y12, rmpce_reference!$B$1:$D$7,3,FALSE) * 89</f>
        <v>2225</v>
      </c>
      <c r="AA12" s="1" t="str">
        <f>IF(Table1[rmpce_inr]&lt;=rmpce_reference!$F$2, "Low Income", IF(Table1[rmpce_inr]&lt;=rmpce_reference!$F$3, "Middle Income", "High Income"))</f>
        <v>Low Income</v>
      </c>
    </row>
    <row r="13" spans="1:27" x14ac:dyDescent="0.25">
      <c r="A13">
        <v>1012</v>
      </c>
      <c r="B13" t="s">
        <v>20</v>
      </c>
      <c r="C13" t="s">
        <v>29</v>
      </c>
      <c r="D13">
        <v>34</v>
      </c>
      <c r="E13" t="s">
        <v>25</v>
      </c>
      <c r="F13" t="s">
        <v>26</v>
      </c>
      <c r="G13">
        <v>10</v>
      </c>
      <c r="H13" s="1" t="str">
        <f>IF(Table1[[#This Row],[anxiety_score]]&lt;=10, "Normal", IF(Table1[[#This Row],[anxiety_score]]&lt;=20, "Moderate", IF(Table1[[#This Row],[anxiety_score]]&lt;=30, "Severe", "Extremely Severe")))</f>
        <v>Normal</v>
      </c>
      <c r="I13">
        <v>-8.1994660000000007E-3</v>
      </c>
      <c r="J13">
        <v>16</v>
      </c>
      <c r="K13" s="1" t="str">
        <f>IF(Table1[[#This Row],[stress_score]]&lt;=10, "Normal", IF(Table1[[#This Row],[stress_score]]&lt;=20, "Moderate", IF(Table1[[#This Row],[stress_score]]&lt;=30, "Severe", "Extremely Severe")))</f>
        <v>Moderate</v>
      </c>
      <c r="L13">
        <v>0.39481880000000003</v>
      </c>
      <c r="M13">
        <v>14</v>
      </c>
      <c r="N13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13">
        <v>0.23962580999999999</v>
      </c>
      <c r="P13">
        <v>13.333333</v>
      </c>
      <c r="Q13">
        <f>ROUND(Table1[[#This Row],[dass21_raw_score]],0)</f>
        <v>13</v>
      </c>
      <c r="R13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13">
        <v>0.20874839000000001</v>
      </c>
      <c r="T13">
        <v>1.3036582000000001</v>
      </c>
      <c r="U13">
        <v>1250</v>
      </c>
      <c r="V13" s="1">
        <f>ROUND(Table1[[#This Row],[fmpce]],0)</f>
        <v>1250</v>
      </c>
      <c r="W13">
        <v>17.00583</v>
      </c>
      <c r="X13" s="4">
        <f>Table1[[#This Row],[mpce]]*89</f>
        <v>1513.5188699999999</v>
      </c>
      <c r="Y13" s="2" t="s">
        <v>24</v>
      </c>
      <c r="Z13" s="3">
        <f>VLOOKUP(Y13, rmpce_reference!$B$1:$D$7,3,FALSE) * 89</f>
        <v>2225</v>
      </c>
      <c r="AA13" s="1" t="str">
        <f>IF(Table1[rmpce_inr]&lt;=rmpce_reference!$F$2, "Low Income", IF(Table1[rmpce_inr]&lt;=rmpce_reference!$F$3, "Middle Income", "High Income"))</f>
        <v>Low Income</v>
      </c>
    </row>
    <row r="14" spans="1:27" x14ac:dyDescent="0.25">
      <c r="A14">
        <v>1013</v>
      </c>
      <c r="B14" t="s">
        <v>20</v>
      </c>
      <c r="C14" t="s">
        <v>29</v>
      </c>
      <c r="D14">
        <v>35</v>
      </c>
      <c r="E14" t="s">
        <v>22</v>
      </c>
      <c r="F14" t="s">
        <v>27</v>
      </c>
      <c r="G14">
        <v>10</v>
      </c>
      <c r="H14" s="1" t="str">
        <f>IF(Table1[[#This Row],[anxiety_score]]&lt;=10, "Normal", IF(Table1[[#This Row],[anxiety_score]]&lt;=20, "Moderate", IF(Table1[[#This Row],[anxiety_score]]&lt;=30, "Severe", "Extremely Severe")))</f>
        <v>Normal</v>
      </c>
      <c r="I14">
        <v>-8.1994660000000007E-3</v>
      </c>
      <c r="J14">
        <v>6</v>
      </c>
      <c r="K14" s="1" t="str">
        <f>IF(Table1[[#This Row],[stress_score]]&lt;=10, "Normal", IF(Table1[[#This Row],[stress_score]]&lt;=20, "Moderate", IF(Table1[[#This Row],[stress_score]]&lt;=30, "Severe", "Extremely Severe")))</f>
        <v>Normal</v>
      </c>
      <c r="L14">
        <v>-0.57848745999999995</v>
      </c>
      <c r="M14">
        <v>0</v>
      </c>
      <c r="N14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4">
        <v>-1.1088359000000001</v>
      </c>
      <c r="P14">
        <v>5.3333335000000002</v>
      </c>
      <c r="Q14">
        <f>ROUND(Table1[[#This Row],[dass21_raw_score]],0)</f>
        <v>5</v>
      </c>
      <c r="R14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4">
        <v>-0.56517430000000002</v>
      </c>
      <c r="T14">
        <v>0.52973559999999997</v>
      </c>
      <c r="U14">
        <v>4000</v>
      </c>
      <c r="V14" s="1">
        <f>ROUND(Table1[[#This Row],[fmpce]],0)</f>
        <v>4000</v>
      </c>
      <c r="W14">
        <v>54.418660000000003</v>
      </c>
      <c r="X14" s="4">
        <f>Table1[[#This Row],[mpce]]*89</f>
        <v>4843.2607400000006</v>
      </c>
      <c r="Y14" s="2" t="s">
        <v>32</v>
      </c>
      <c r="Z14" s="3">
        <f>VLOOKUP(Y14, rmpce_reference!$B$1:$D$7,3,FALSE) * 89</f>
        <v>4450</v>
      </c>
      <c r="AA14" s="1" t="str">
        <f>IF(Table1[rmpce_inr]&lt;=rmpce_reference!$F$2, "Low Income", IF(Table1[rmpce_inr]&lt;=rmpce_reference!$F$3, "Middle Income", "High Income"))</f>
        <v>Low Income</v>
      </c>
    </row>
    <row r="15" spans="1:27" x14ac:dyDescent="0.25">
      <c r="A15">
        <v>1014</v>
      </c>
      <c r="B15" t="s">
        <v>20</v>
      </c>
      <c r="C15" t="s">
        <v>21</v>
      </c>
      <c r="D15">
        <v>46</v>
      </c>
      <c r="E15" t="s">
        <v>25</v>
      </c>
      <c r="F15" t="s">
        <v>26</v>
      </c>
      <c r="G15">
        <v>6</v>
      </c>
      <c r="H15" s="1" t="str">
        <f>IF(Table1[[#This Row],[anxiety_score]]&lt;=10, "Normal", IF(Table1[[#This Row],[anxiety_score]]&lt;=20, "Moderate", IF(Table1[[#This Row],[anxiety_score]]&lt;=30, "Severe", "Extremely Severe")))</f>
        <v>Normal</v>
      </c>
      <c r="I15">
        <v>-0.41028870000000001</v>
      </c>
      <c r="J15">
        <v>16</v>
      </c>
      <c r="K15" s="1" t="str">
        <f>IF(Table1[[#This Row],[stress_score]]&lt;=10, "Normal", IF(Table1[[#This Row],[stress_score]]&lt;=20, "Moderate", IF(Table1[[#This Row],[stress_score]]&lt;=30, "Severe", "Extremely Severe")))</f>
        <v>Moderate</v>
      </c>
      <c r="L15">
        <v>0.39481880000000003</v>
      </c>
      <c r="M15">
        <v>12</v>
      </c>
      <c r="N15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15">
        <v>4.6988415999999998E-2</v>
      </c>
      <c r="P15">
        <v>11.333333</v>
      </c>
      <c r="Q15">
        <f>ROUND(Table1[[#This Row],[dass21_raw_score]],0)</f>
        <v>11</v>
      </c>
      <c r="R15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15">
        <v>1.0506178999999999E-2</v>
      </c>
      <c r="T15">
        <v>1.105416</v>
      </c>
      <c r="U15">
        <v>1500</v>
      </c>
      <c r="V15" s="1">
        <f>ROUND(Table1[[#This Row],[fmpce]],0)</f>
        <v>1500</v>
      </c>
      <c r="W15">
        <v>20.406998000000002</v>
      </c>
      <c r="X15" s="4">
        <f>Table1[[#This Row],[mpce]]*89</f>
        <v>1816.2228220000002</v>
      </c>
      <c r="Y15" s="2" t="s">
        <v>24</v>
      </c>
      <c r="Z15" s="3">
        <f>VLOOKUP(Y15, rmpce_reference!$B$1:$D$7,3,FALSE) * 89</f>
        <v>2225</v>
      </c>
      <c r="AA15" s="1" t="str">
        <f>IF(Table1[rmpce_inr]&lt;=rmpce_reference!$F$2, "Low Income", IF(Table1[rmpce_inr]&lt;=rmpce_reference!$F$3, "Middle Income", "High Income"))</f>
        <v>Low Income</v>
      </c>
    </row>
    <row r="16" spans="1:27" x14ac:dyDescent="0.25">
      <c r="A16">
        <v>1015</v>
      </c>
      <c r="B16" t="s">
        <v>20</v>
      </c>
      <c r="C16" t="s">
        <v>21</v>
      </c>
      <c r="D16">
        <v>45</v>
      </c>
      <c r="E16" t="s">
        <v>22</v>
      </c>
      <c r="F16" t="s">
        <v>23</v>
      </c>
      <c r="G16">
        <v>8</v>
      </c>
      <c r="H16" s="1" t="str">
        <f>IF(Table1[[#This Row],[anxiety_score]]&lt;=10, "Normal", IF(Table1[[#This Row],[anxiety_score]]&lt;=20, "Moderate", IF(Table1[[#This Row],[anxiety_score]]&lt;=30, "Severe", "Extremely Severe")))</f>
        <v>Normal</v>
      </c>
      <c r="I16">
        <v>-0.20924408999999999</v>
      </c>
      <c r="J16">
        <v>14</v>
      </c>
      <c r="K16" s="1" t="str">
        <f>IF(Table1[[#This Row],[stress_score]]&lt;=10, "Normal", IF(Table1[[#This Row],[stress_score]]&lt;=20, "Moderate", IF(Table1[[#This Row],[stress_score]]&lt;=30, "Severe", "Extremely Severe")))</f>
        <v>Moderate</v>
      </c>
      <c r="L16">
        <v>0.20015757000000001</v>
      </c>
      <c r="M16">
        <v>20</v>
      </c>
      <c r="N16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16">
        <v>0.81753799999999999</v>
      </c>
      <c r="P16">
        <v>14</v>
      </c>
      <c r="Q16">
        <f>ROUND(Table1[[#This Row],[dass21_raw_score]],0)</f>
        <v>14</v>
      </c>
      <c r="R16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16">
        <v>0.26948382999999998</v>
      </c>
      <c r="T16">
        <v>1.3643936999999999</v>
      </c>
      <c r="U16">
        <v>5000</v>
      </c>
      <c r="V16" s="1">
        <f>ROUND(Table1[[#This Row],[fmpce]],0)</f>
        <v>5000</v>
      </c>
      <c r="W16">
        <v>68.023319999999998</v>
      </c>
      <c r="X16" s="4">
        <f>Table1[[#This Row],[mpce]]*89</f>
        <v>6054.0754799999995</v>
      </c>
      <c r="Y16" s="2" t="s">
        <v>28</v>
      </c>
      <c r="Z16" s="3">
        <f>VLOOKUP(Y16, rmpce_reference!$B$1:$D$7,3,FALSE) * 89</f>
        <v>6230</v>
      </c>
      <c r="AA16" s="1" t="str">
        <f>IF(Table1[rmpce_inr]&lt;=rmpce_reference!$F$2, "Low Income", IF(Table1[rmpce_inr]&lt;=rmpce_reference!$F$3, "Middle Income", "High Income"))</f>
        <v>Middle Income</v>
      </c>
    </row>
    <row r="17" spans="1:27" x14ac:dyDescent="0.25">
      <c r="A17">
        <v>1016</v>
      </c>
      <c r="B17" t="s">
        <v>20</v>
      </c>
      <c r="C17" t="s">
        <v>29</v>
      </c>
      <c r="D17">
        <v>36</v>
      </c>
      <c r="E17" t="s">
        <v>25</v>
      </c>
      <c r="F17" t="s">
        <v>26</v>
      </c>
      <c r="G17">
        <v>4</v>
      </c>
      <c r="H17" s="1" t="str">
        <f>IF(Table1[[#This Row],[anxiety_score]]&lt;=10, "Normal", IF(Table1[[#This Row],[anxiety_score]]&lt;=20, "Moderate", IF(Table1[[#This Row],[anxiety_score]]&lt;=30, "Severe", "Extremely Severe")))</f>
        <v>Normal</v>
      </c>
      <c r="I17">
        <v>-0.61133329999999997</v>
      </c>
      <c r="J17">
        <v>16</v>
      </c>
      <c r="K17" s="1" t="str">
        <f>IF(Table1[[#This Row],[stress_score]]&lt;=10, "Normal", IF(Table1[[#This Row],[stress_score]]&lt;=20, "Moderate", IF(Table1[[#This Row],[stress_score]]&lt;=30, "Severe", "Extremely Severe")))</f>
        <v>Moderate</v>
      </c>
      <c r="L17">
        <v>0.39481880000000003</v>
      </c>
      <c r="M17">
        <v>12</v>
      </c>
      <c r="N17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17">
        <v>4.6988415999999998E-2</v>
      </c>
      <c r="P17">
        <v>10.666667</v>
      </c>
      <c r="Q17">
        <f>ROUND(Table1[[#This Row],[dass21_raw_score]],0)</f>
        <v>11</v>
      </c>
      <c r="R17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17">
        <v>-5.6508693999999998E-2</v>
      </c>
      <c r="T17">
        <v>1.0384012</v>
      </c>
      <c r="U17">
        <v>1250</v>
      </c>
      <c r="V17" s="1">
        <f>ROUND(Table1[[#This Row],[fmpce]],0)</f>
        <v>1250</v>
      </c>
      <c r="W17">
        <v>17.00583</v>
      </c>
      <c r="X17" s="4">
        <f>Table1[[#This Row],[mpce]]*89</f>
        <v>1513.5188699999999</v>
      </c>
      <c r="Y17" s="2" t="s">
        <v>24</v>
      </c>
      <c r="Z17" s="3">
        <f>VLOOKUP(Y17, rmpce_reference!$B$1:$D$7,3,FALSE) * 89</f>
        <v>2225</v>
      </c>
      <c r="AA17" s="1" t="str">
        <f>IF(Table1[rmpce_inr]&lt;=rmpce_reference!$F$2, "Low Income", IF(Table1[rmpce_inr]&lt;=rmpce_reference!$F$3, "Middle Income", "High Income"))</f>
        <v>Low Income</v>
      </c>
    </row>
    <row r="18" spans="1:27" x14ac:dyDescent="0.25">
      <c r="A18">
        <v>1017</v>
      </c>
      <c r="B18" t="s">
        <v>20</v>
      </c>
      <c r="C18" t="s">
        <v>29</v>
      </c>
      <c r="D18">
        <v>37</v>
      </c>
      <c r="E18" t="s">
        <v>22</v>
      </c>
      <c r="F18" t="s">
        <v>27</v>
      </c>
      <c r="G18">
        <v>8</v>
      </c>
      <c r="H18" s="1" t="str">
        <f>IF(Table1[[#This Row],[anxiety_score]]&lt;=10, "Normal", IF(Table1[[#This Row],[anxiety_score]]&lt;=20, "Moderate", IF(Table1[[#This Row],[anxiety_score]]&lt;=30, "Severe", "Extremely Severe")))</f>
        <v>Normal</v>
      </c>
      <c r="I18">
        <v>-0.20924408999999999</v>
      </c>
      <c r="J18">
        <v>16</v>
      </c>
      <c r="K18" s="1" t="str">
        <f>IF(Table1[[#This Row],[stress_score]]&lt;=10, "Normal", IF(Table1[[#This Row],[stress_score]]&lt;=20, "Moderate", IF(Table1[[#This Row],[stress_score]]&lt;=30, "Severe", "Extremely Severe")))</f>
        <v>Moderate</v>
      </c>
      <c r="L18">
        <v>0.39481880000000003</v>
      </c>
      <c r="M18">
        <v>12</v>
      </c>
      <c r="N18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18">
        <v>4.6988415999999998E-2</v>
      </c>
      <c r="P18">
        <v>12</v>
      </c>
      <c r="Q18">
        <f>ROUND(Table1[[#This Row],[dass21_raw_score]],0)</f>
        <v>12</v>
      </c>
      <c r="R18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18">
        <v>7.7521049999999994E-2</v>
      </c>
      <c r="T18">
        <v>1.172431</v>
      </c>
      <c r="U18">
        <v>1750</v>
      </c>
      <c r="V18" s="1">
        <f>ROUND(Table1[[#This Row],[fmpce]],0)</f>
        <v>1750</v>
      </c>
      <c r="W18">
        <v>23.808163</v>
      </c>
      <c r="X18" s="4">
        <f>Table1[[#This Row],[mpce]]*89</f>
        <v>2118.9265070000001</v>
      </c>
      <c r="Y18" s="2" t="s">
        <v>24</v>
      </c>
      <c r="Z18" s="3">
        <f>VLOOKUP(Y18, rmpce_reference!$B$1:$D$7,3,FALSE) * 89</f>
        <v>2225</v>
      </c>
      <c r="AA18" s="1" t="str">
        <f>IF(Table1[rmpce_inr]&lt;=rmpce_reference!$F$2, "Low Income", IF(Table1[rmpce_inr]&lt;=rmpce_reference!$F$3, "Middle Income", "High Income"))</f>
        <v>Low Income</v>
      </c>
    </row>
    <row r="19" spans="1:27" x14ac:dyDescent="0.25">
      <c r="A19">
        <v>1018</v>
      </c>
      <c r="B19" t="s">
        <v>20</v>
      </c>
      <c r="C19" t="s">
        <v>33</v>
      </c>
      <c r="D19">
        <v>28</v>
      </c>
      <c r="E19" t="s">
        <v>25</v>
      </c>
      <c r="F19" t="s">
        <v>26</v>
      </c>
      <c r="G19">
        <v>8</v>
      </c>
      <c r="H19" s="1" t="str">
        <f>IF(Table1[[#This Row],[anxiety_score]]&lt;=10, "Normal", IF(Table1[[#This Row],[anxiety_score]]&lt;=20, "Moderate", IF(Table1[[#This Row],[anxiety_score]]&lt;=30, "Severe", "Extremely Severe")))</f>
        <v>Normal</v>
      </c>
      <c r="I19">
        <v>-0.20924408999999999</v>
      </c>
      <c r="J19">
        <v>16</v>
      </c>
      <c r="K19" s="1" t="str">
        <f>IF(Table1[[#This Row],[stress_score]]&lt;=10, "Normal", IF(Table1[[#This Row],[stress_score]]&lt;=20, "Moderate", IF(Table1[[#This Row],[stress_score]]&lt;=30, "Severe", "Extremely Severe")))</f>
        <v>Moderate</v>
      </c>
      <c r="L19">
        <v>0.39481880000000003</v>
      </c>
      <c r="M19">
        <v>10</v>
      </c>
      <c r="N19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9">
        <v>-0.14564899000000001</v>
      </c>
      <c r="P19">
        <v>11.333333</v>
      </c>
      <c r="Q19">
        <f>ROUND(Table1[[#This Row],[dass21_raw_score]],0)</f>
        <v>11</v>
      </c>
      <c r="R19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19">
        <v>1.330858E-2</v>
      </c>
      <c r="T19">
        <v>1.1082183999999999</v>
      </c>
      <c r="U19">
        <v>1400</v>
      </c>
      <c r="V19" s="1">
        <f>ROUND(Table1[[#This Row],[fmpce]],0)</f>
        <v>1400</v>
      </c>
      <c r="W19">
        <v>19.046530000000001</v>
      </c>
      <c r="X19" s="4">
        <f>Table1[[#This Row],[mpce]]*89</f>
        <v>1695.1411700000001</v>
      </c>
      <c r="Y19" s="2" t="s">
        <v>24</v>
      </c>
      <c r="Z19" s="3">
        <f>VLOOKUP(Y19, rmpce_reference!$B$1:$D$7,3,FALSE) * 89</f>
        <v>2225</v>
      </c>
      <c r="AA19" s="1" t="str">
        <f>IF(Table1[rmpce_inr]&lt;=rmpce_reference!$F$2, "Low Income", IF(Table1[rmpce_inr]&lt;=rmpce_reference!$F$3, "Middle Income", "High Income"))</f>
        <v>Low Income</v>
      </c>
    </row>
    <row r="20" spans="1:27" x14ac:dyDescent="0.25">
      <c r="A20">
        <v>1019</v>
      </c>
      <c r="B20" t="s">
        <v>20</v>
      </c>
      <c r="C20" t="s">
        <v>33</v>
      </c>
      <c r="D20">
        <v>28</v>
      </c>
      <c r="E20" t="s">
        <v>25</v>
      </c>
      <c r="F20" t="s">
        <v>26</v>
      </c>
      <c r="G20">
        <v>4</v>
      </c>
      <c r="H20" s="1" t="str">
        <f>IF(Table1[[#This Row],[anxiety_score]]&lt;=10, "Normal", IF(Table1[[#This Row],[anxiety_score]]&lt;=20, "Moderate", IF(Table1[[#This Row],[anxiety_score]]&lt;=30, "Severe", "Extremely Severe")))</f>
        <v>Normal</v>
      </c>
      <c r="I20">
        <v>-0.61133329999999997</v>
      </c>
      <c r="J20">
        <v>16</v>
      </c>
      <c r="K20" s="1" t="str">
        <f>IF(Table1[[#This Row],[stress_score]]&lt;=10, "Normal", IF(Table1[[#This Row],[stress_score]]&lt;=20, "Moderate", IF(Table1[[#This Row],[stress_score]]&lt;=30, "Severe", "Extremely Severe")))</f>
        <v>Moderate</v>
      </c>
      <c r="L20">
        <v>0.39481880000000003</v>
      </c>
      <c r="M20">
        <v>12</v>
      </c>
      <c r="N20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20">
        <v>4.6988415999999998E-2</v>
      </c>
      <c r="P20">
        <v>10.666667</v>
      </c>
      <c r="Q20">
        <f>ROUND(Table1[[#This Row],[dass21_raw_score]],0)</f>
        <v>11</v>
      </c>
      <c r="R20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20">
        <v>-5.6508693999999998E-2</v>
      </c>
      <c r="T20">
        <v>1.0384012</v>
      </c>
      <c r="U20">
        <v>1250</v>
      </c>
      <c r="V20" s="1">
        <f>ROUND(Table1[[#This Row],[fmpce]],0)</f>
        <v>1250</v>
      </c>
      <c r="W20">
        <v>17.00583</v>
      </c>
      <c r="X20" s="4">
        <f>Table1[[#This Row],[mpce]]*89</f>
        <v>1513.5188699999999</v>
      </c>
      <c r="Y20" s="2" t="s">
        <v>24</v>
      </c>
      <c r="Z20" s="3">
        <f>VLOOKUP(Y20, rmpce_reference!$B$1:$D$7,3,FALSE) * 89</f>
        <v>2225</v>
      </c>
      <c r="AA20" s="1" t="str">
        <f>IF(Table1[rmpce_inr]&lt;=rmpce_reference!$F$2, "Low Income", IF(Table1[rmpce_inr]&lt;=rmpce_reference!$F$3, "Middle Income", "High Income"))</f>
        <v>Low Income</v>
      </c>
    </row>
    <row r="21" spans="1:27" x14ac:dyDescent="0.25">
      <c r="A21">
        <v>1020</v>
      </c>
      <c r="B21" t="s">
        <v>20</v>
      </c>
      <c r="C21" t="s">
        <v>33</v>
      </c>
      <c r="D21">
        <v>30</v>
      </c>
      <c r="E21" t="s">
        <v>22</v>
      </c>
      <c r="F21" t="s">
        <v>30</v>
      </c>
      <c r="G21">
        <v>4</v>
      </c>
      <c r="H21" s="1" t="str">
        <f>IF(Table1[[#This Row],[anxiety_score]]&lt;=10, "Normal", IF(Table1[[#This Row],[anxiety_score]]&lt;=20, "Moderate", IF(Table1[[#This Row],[anxiety_score]]&lt;=30, "Severe", "Extremely Severe")))</f>
        <v>Normal</v>
      </c>
      <c r="I21">
        <v>-0.61133329999999997</v>
      </c>
      <c r="J21">
        <v>2</v>
      </c>
      <c r="K21" s="1" t="str">
        <f>IF(Table1[[#This Row],[stress_score]]&lt;=10, "Normal", IF(Table1[[#This Row],[stress_score]]&lt;=20, "Moderate", IF(Table1[[#This Row],[stress_score]]&lt;=30, "Severe", "Extremely Severe")))</f>
        <v>Normal</v>
      </c>
      <c r="L21">
        <v>-0.9678099</v>
      </c>
      <c r="M21">
        <v>2</v>
      </c>
      <c r="N21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21">
        <v>-0.91619854999999994</v>
      </c>
      <c r="P21">
        <v>2.6666666999999999</v>
      </c>
      <c r="Q21">
        <f>ROUND(Table1[[#This Row],[dass21_raw_score]],0)</f>
        <v>3</v>
      </c>
      <c r="R21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21">
        <v>-0.83178059999999998</v>
      </c>
      <c r="T21">
        <v>0.26312930000000001</v>
      </c>
      <c r="U21">
        <v>3333.3332999999998</v>
      </c>
      <c r="V21" s="1">
        <f>ROUND(Table1[[#This Row],[fmpce]],0)</f>
        <v>3333</v>
      </c>
      <c r="W21">
        <v>45.348880000000001</v>
      </c>
      <c r="X21" s="4">
        <f>Table1[[#This Row],[mpce]]*89</f>
        <v>4036.0503200000003</v>
      </c>
      <c r="Y21" s="2" t="s">
        <v>32</v>
      </c>
      <c r="Z21" s="3">
        <f>VLOOKUP(Y21, rmpce_reference!$B$1:$D$7,3,FALSE) * 89</f>
        <v>4450</v>
      </c>
      <c r="AA21" s="1" t="str">
        <f>IF(Table1[rmpce_inr]&lt;=rmpce_reference!$F$2, "Low Income", IF(Table1[rmpce_inr]&lt;=rmpce_reference!$F$3, "Middle Income", "High Income"))</f>
        <v>Low Income</v>
      </c>
    </row>
    <row r="22" spans="1:27" x14ac:dyDescent="0.25">
      <c r="A22">
        <v>1021</v>
      </c>
      <c r="B22" t="s">
        <v>20</v>
      </c>
      <c r="C22" t="s">
        <v>21</v>
      </c>
      <c r="D22">
        <v>48</v>
      </c>
      <c r="E22" t="s">
        <v>22</v>
      </c>
      <c r="F22" t="s">
        <v>30</v>
      </c>
      <c r="G22">
        <v>6</v>
      </c>
      <c r="H22" s="1" t="str">
        <f>IF(Table1[[#This Row],[anxiety_score]]&lt;=10, "Normal", IF(Table1[[#This Row],[anxiety_score]]&lt;=20, "Moderate", IF(Table1[[#This Row],[anxiety_score]]&lt;=30, "Severe", "Extremely Severe")))</f>
        <v>Normal</v>
      </c>
      <c r="I22">
        <v>-0.41028870000000001</v>
      </c>
      <c r="J22">
        <v>6</v>
      </c>
      <c r="K22" s="1" t="str">
        <f>IF(Table1[[#This Row],[stress_score]]&lt;=10, "Normal", IF(Table1[[#This Row],[stress_score]]&lt;=20, "Moderate", IF(Table1[[#This Row],[stress_score]]&lt;=30, "Severe", "Extremely Severe")))</f>
        <v>Normal</v>
      </c>
      <c r="L22">
        <v>-0.57848745999999995</v>
      </c>
      <c r="M22">
        <v>2</v>
      </c>
      <c r="N22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22">
        <v>-0.91619854999999994</v>
      </c>
      <c r="P22">
        <v>4.6666664999999998</v>
      </c>
      <c r="Q22">
        <f>ROUND(Table1[[#This Row],[dass21_raw_score]],0)</f>
        <v>5</v>
      </c>
      <c r="R22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22">
        <v>-0.63499159999999999</v>
      </c>
      <c r="T22">
        <v>0.45991831999999999</v>
      </c>
      <c r="U22">
        <v>2000</v>
      </c>
      <c r="V22" s="1">
        <f>ROUND(Table1[[#This Row],[fmpce]],0)</f>
        <v>2000</v>
      </c>
      <c r="W22">
        <v>27.209330000000001</v>
      </c>
      <c r="X22" s="4">
        <f>Table1[[#This Row],[mpce]]*89</f>
        <v>2421.6303700000003</v>
      </c>
      <c r="Y22" s="2" t="s">
        <v>34</v>
      </c>
      <c r="Z22" s="3">
        <f>VLOOKUP(Y22, rmpce_reference!$B$1:$D$7,3,FALSE) * 89</f>
        <v>2848</v>
      </c>
      <c r="AA22" s="1" t="str">
        <f>IF(Table1[rmpce_inr]&lt;=rmpce_reference!$F$2, "Low Income", IF(Table1[rmpce_inr]&lt;=rmpce_reference!$F$3, "Middle Income", "High Income"))</f>
        <v>Low Income</v>
      </c>
    </row>
    <row r="23" spans="1:27" x14ac:dyDescent="0.25">
      <c r="A23">
        <v>1022</v>
      </c>
      <c r="B23" t="s">
        <v>20</v>
      </c>
      <c r="C23" t="s">
        <v>29</v>
      </c>
      <c r="D23">
        <v>40</v>
      </c>
      <c r="E23" t="s">
        <v>22</v>
      </c>
      <c r="F23" t="s">
        <v>30</v>
      </c>
      <c r="G23">
        <v>10</v>
      </c>
      <c r="H23" s="1" t="str">
        <f>IF(Table1[[#This Row],[anxiety_score]]&lt;=10, "Normal", IF(Table1[[#This Row],[anxiety_score]]&lt;=20, "Moderate", IF(Table1[[#This Row],[anxiety_score]]&lt;=30, "Severe", "Extremely Severe")))</f>
        <v>Normal</v>
      </c>
      <c r="I23">
        <v>-8.1994660000000007E-3</v>
      </c>
      <c r="J23">
        <v>12</v>
      </c>
      <c r="K23" s="1" t="str">
        <f>IF(Table1[[#This Row],[stress_score]]&lt;=10, "Normal", IF(Table1[[#This Row],[stress_score]]&lt;=20, "Moderate", IF(Table1[[#This Row],[stress_score]]&lt;=30, "Severe", "Extremely Severe")))</f>
        <v>Moderate</v>
      </c>
      <c r="L23">
        <v>5.496318E-3</v>
      </c>
      <c r="M23">
        <v>8</v>
      </c>
      <c r="N23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23">
        <v>-0.33828637</v>
      </c>
      <c r="P23">
        <v>10</v>
      </c>
      <c r="Q23">
        <f>ROUND(Table1[[#This Row],[dass21_raw_score]],0)</f>
        <v>10</v>
      </c>
      <c r="R23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23">
        <v>-0.11366317400000001</v>
      </c>
      <c r="T23">
        <v>0.98124670000000003</v>
      </c>
      <c r="U23">
        <v>2500</v>
      </c>
      <c r="V23" s="1">
        <f>ROUND(Table1[[#This Row],[fmpce]],0)</f>
        <v>2500</v>
      </c>
      <c r="W23">
        <v>34.011659999999999</v>
      </c>
      <c r="X23" s="4">
        <f>Table1[[#This Row],[mpce]]*89</f>
        <v>3027.0377399999998</v>
      </c>
      <c r="Y23" s="2" t="s">
        <v>34</v>
      </c>
      <c r="Z23" s="3">
        <f>VLOOKUP(Y23, rmpce_reference!$B$1:$D$7,3,FALSE) * 89</f>
        <v>2848</v>
      </c>
      <c r="AA23" s="1" t="str">
        <f>IF(Table1[rmpce_inr]&lt;=rmpce_reference!$F$2, "Low Income", IF(Table1[rmpce_inr]&lt;=rmpce_reference!$F$3, "Middle Income", "High Income"))</f>
        <v>Low Income</v>
      </c>
    </row>
    <row r="24" spans="1:27" x14ac:dyDescent="0.25">
      <c r="A24">
        <v>1023</v>
      </c>
      <c r="B24" t="s">
        <v>20</v>
      </c>
      <c r="C24" t="s">
        <v>29</v>
      </c>
      <c r="D24">
        <v>34</v>
      </c>
      <c r="E24" t="s">
        <v>25</v>
      </c>
      <c r="F24" t="s">
        <v>26</v>
      </c>
      <c r="G24">
        <v>8</v>
      </c>
      <c r="H24" s="1" t="str">
        <f>IF(Table1[[#This Row],[anxiety_score]]&lt;=10, "Normal", IF(Table1[[#This Row],[anxiety_score]]&lt;=20, "Moderate", IF(Table1[[#This Row],[anxiety_score]]&lt;=30, "Severe", "Extremely Severe")))</f>
        <v>Normal</v>
      </c>
      <c r="I24">
        <v>-0.20924408999999999</v>
      </c>
      <c r="J24">
        <v>6</v>
      </c>
      <c r="K24" s="1" t="str">
        <f>IF(Table1[[#This Row],[stress_score]]&lt;=10, "Normal", IF(Table1[[#This Row],[stress_score]]&lt;=20, "Moderate", IF(Table1[[#This Row],[stress_score]]&lt;=30, "Severe", "Extremely Severe")))</f>
        <v>Normal</v>
      </c>
      <c r="L24">
        <v>-0.57848745999999995</v>
      </c>
      <c r="M24">
        <v>2</v>
      </c>
      <c r="N24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24">
        <v>-0.91619854999999994</v>
      </c>
      <c r="P24">
        <v>5.3333335000000002</v>
      </c>
      <c r="Q24">
        <f>ROUND(Table1[[#This Row],[dass21_raw_score]],0)</f>
        <v>5</v>
      </c>
      <c r="R24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24">
        <v>-0.5679767</v>
      </c>
      <c r="T24">
        <v>0.52693319999999999</v>
      </c>
      <c r="U24">
        <v>2500</v>
      </c>
      <c r="V24" s="1">
        <f>ROUND(Table1[[#This Row],[fmpce]],0)</f>
        <v>2500</v>
      </c>
      <c r="W24">
        <v>34.011659999999999</v>
      </c>
      <c r="X24" s="4">
        <f>Table1[[#This Row],[mpce]]*89</f>
        <v>3027.0377399999998</v>
      </c>
      <c r="Y24" s="2" t="s">
        <v>34</v>
      </c>
      <c r="Z24" s="3">
        <f>VLOOKUP(Y24, rmpce_reference!$B$1:$D$7,3,FALSE) * 89</f>
        <v>2848</v>
      </c>
      <c r="AA24" s="1" t="str">
        <f>IF(Table1[rmpce_inr]&lt;=rmpce_reference!$F$2, "Low Income", IF(Table1[rmpce_inr]&lt;=rmpce_reference!$F$3, "Middle Income", "High Income"))</f>
        <v>Low Income</v>
      </c>
    </row>
    <row r="25" spans="1:27" x14ac:dyDescent="0.25">
      <c r="A25">
        <v>1024</v>
      </c>
      <c r="B25" t="s">
        <v>20</v>
      </c>
      <c r="C25" t="s">
        <v>29</v>
      </c>
      <c r="D25">
        <v>31</v>
      </c>
      <c r="E25" t="s">
        <v>25</v>
      </c>
      <c r="F25" t="s">
        <v>26</v>
      </c>
      <c r="G25">
        <v>2</v>
      </c>
      <c r="H25" s="1" t="str">
        <f>IF(Table1[[#This Row],[anxiety_score]]&lt;=10, "Normal", IF(Table1[[#This Row],[anxiety_score]]&lt;=20, "Moderate", IF(Table1[[#This Row],[anxiety_score]]&lt;=30, "Severe", "Extremely Severe")))</f>
        <v>Normal</v>
      </c>
      <c r="I25">
        <v>-0.81237789999999999</v>
      </c>
      <c r="J25">
        <v>2</v>
      </c>
      <c r="K25" s="1" t="str">
        <f>IF(Table1[[#This Row],[stress_score]]&lt;=10, "Normal", IF(Table1[[#This Row],[stress_score]]&lt;=20, "Moderate", IF(Table1[[#This Row],[stress_score]]&lt;=30, "Severe", "Extremely Severe")))</f>
        <v>Normal</v>
      </c>
      <c r="L25">
        <v>-0.9678099</v>
      </c>
      <c r="M25">
        <v>0</v>
      </c>
      <c r="N25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25">
        <v>-1.1088359000000001</v>
      </c>
      <c r="P25">
        <v>1.3333333999999999</v>
      </c>
      <c r="Q25">
        <f>ROUND(Table1[[#This Row],[dass21_raw_score]],0)</f>
        <v>1</v>
      </c>
      <c r="R25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25">
        <v>-0.96300790000000003</v>
      </c>
      <c r="T25">
        <v>0.13190198</v>
      </c>
      <c r="U25">
        <v>7500</v>
      </c>
      <c r="V25" s="1">
        <f>ROUND(Table1[[#This Row],[fmpce]],0)</f>
        <v>7500</v>
      </c>
      <c r="W25">
        <v>102.03498999999999</v>
      </c>
      <c r="X25" s="4">
        <f>Table1[[#This Row],[mpce]]*89</f>
        <v>9081.1141099999986</v>
      </c>
      <c r="Y25" s="2" t="s">
        <v>35</v>
      </c>
      <c r="Z25" s="3">
        <f>VLOOKUP(Y25, rmpce_reference!$B$1:$D$7,3,FALSE) * 89</f>
        <v>9790</v>
      </c>
      <c r="AA25" s="1" t="str">
        <f>IF(Table1[rmpce_inr]&lt;=rmpce_reference!$F$2, "Low Income", IF(Table1[rmpce_inr]&lt;=rmpce_reference!$F$3, "Middle Income", "High Income"))</f>
        <v>High Income</v>
      </c>
    </row>
    <row r="26" spans="1:27" x14ac:dyDescent="0.25">
      <c r="A26">
        <v>1025</v>
      </c>
      <c r="B26" t="s">
        <v>20</v>
      </c>
      <c r="C26" t="s">
        <v>21</v>
      </c>
      <c r="D26">
        <v>45</v>
      </c>
      <c r="E26" t="s">
        <v>22</v>
      </c>
      <c r="F26" t="s">
        <v>23</v>
      </c>
      <c r="G26">
        <v>8</v>
      </c>
      <c r="H26" s="1" t="str">
        <f>IF(Table1[[#This Row],[anxiety_score]]&lt;=10, "Normal", IF(Table1[[#This Row],[anxiety_score]]&lt;=20, "Moderate", IF(Table1[[#This Row],[anxiety_score]]&lt;=30, "Severe", "Extremely Severe")))</f>
        <v>Normal</v>
      </c>
      <c r="I26">
        <v>-0.20924408999999999</v>
      </c>
      <c r="J26">
        <v>4</v>
      </c>
      <c r="K26" s="1" t="str">
        <f>IF(Table1[[#This Row],[stress_score]]&lt;=10, "Normal", IF(Table1[[#This Row],[stress_score]]&lt;=20, "Moderate", IF(Table1[[#This Row],[stress_score]]&lt;=30, "Severe", "Extremely Severe")))</f>
        <v>Normal</v>
      </c>
      <c r="L26">
        <v>-0.77314866000000004</v>
      </c>
      <c r="M26">
        <v>6</v>
      </c>
      <c r="N26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26">
        <v>-0.53092379999999995</v>
      </c>
      <c r="P26">
        <v>6</v>
      </c>
      <c r="Q26">
        <f>ROUND(Table1[[#This Row],[dass21_raw_score]],0)</f>
        <v>6</v>
      </c>
      <c r="R26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26">
        <v>-0.50443879999999996</v>
      </c>
      <c r="T26">
        <v>0.59047110000000003</v>
      </c>
      <c r="U26">
        <v>500091</v>
      </c>
      <c r="V26" s="1">
        <f>ROUND(Table1[[#This Row],[fmpce]],0)</f>
        <v>500091</v>
      </c>
      <c r="W26">
        <v>6803.5703000000003</v>
      </c>
      <c r="X26" s="4">
        <f>Table1[[#This Row],[mpce]]*89</f>
        <v>605517.75670000003</v>
      </c>
      <c r="Y26" s="2" t="s">
        <v>35</v>
      </c>
      <c r="Z26" s="3">
        <f>VLOOKUP(Y26, rmpce_reference!$B$1:$D$7,3,FALSE) * 89</f>
        <v>9790</v>
      </c>
      <c r="AA26" s="1" t="str">
        <f>IF(Table1[rmpce_inr]&lt;=rmpce_reference!$F$2, "Low Income", IF(Table1[rmpce_inr]&lt;=rmpce_reference!$F$3, "Middle Income", "High Income"))</f>
        <v>High Income</v>
      </c>
    </row>
    <row r="27" spans="1:27" x14ac:dyDescent="0.25">
      <c r="A27">
        <v>1026</v>
      </c>
      <c r="B27" t="s">
        <v>20</v>
      </c>
      <c r="C27" t="s">
        <v>29</v>
      </c>
      <c r="D27">
        <v>39</v>
      </c>
      <c r="E27" t="s">
        <v>25</v>
      </c>
      <c r="F27" t="s">
        <v>26</v>
      </c>
      <c r="G27">
        <v>2</v>
      </c>
      <c r="H27" s="1" t="str">
        <f>IF(Table1[[#This Row],[anxiety_score]]&lt;=10, "Normal", IF(Table1[[#This Row],[anxiety_score]]&lt;=20, "Moderate", IF(Table1[[#This Row],[anxiety_score]]&lt;=30, "Severe", "Extremely Severe")))</f>
        <v>Normal</v>
      </c>
      <c r="I27">
        <v>-0.81237789999999999</v>
      </c>
      <c r="J27">
        <v>6</v>
      </c>
      <c r="K27" s="1" t="str">
        <f>IF(Table1[[#This Row],[stress_score]]&lt;=10, "Normal", IF(Table1[[#This Row],[stress_score]]&lt;=20, "Moderate", IF(Table1[[#This Row],[stress_score]]&lt;=30, "Severe", "Extremely Severe")))</f>
        <v>Normal</v>
      </c>
      <c r="L27">
        <v>-0.57848745999999995</v>
      </c>
      <c r="M27">
        <v>4</v>
      </c>
      <c r="N27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27">
        <v>-0.72356116999999998</v>
      </c>
      <c r="P27">
        <v>4</v>
      </c>
      <c r="Q27">
        <f>ROUND(Table1[[#This Row],[dass21_raw_score]],0)</f>
        <v>4</v>
      </c>
      <c r="R27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27">
        <v>-0.70480883000000005</v>
      </c>
      <c r="T27">
        <v>0.39010107999999999</v>
      </c>
      <c r="U27">
        <v>5000</v>
      </c>
      <c r="V27" s="1">
        <f>ROUND(Table1[[#This Row],[fmpce]],0)</f>
        <v>5000</v>
      </c>
      <c r="W27">
        <v>68.023319999999998</v>
      </c>
      <c r="X27" s="4">
        <f>Table1[[#This Row],[mpce]]*89</f>
        <v>6054.0754799999995</v>
      </c>
      <c r="Y27" s="2" t="s">
        <v>28</v>
      </c>
      <c r="Z27" s="3">
        <f>VLOOKUP(Y27, rmpce_reference!$B$1:$D$7,3,FALSE) * 89</f>
        <v>6230</v>
      </c>
      <c r="AA27" s="1" t="str">
        <f>IF(Table1[rmpce_inr]&lt;=rmpce_reference!$F$2, "Low Income", IF(Table1[rmpce_inr]&lt;=rmpce_reference!$F$3, "Middle Income", "High Income"))</f>
        <v>Middle Income</v>
      </c>
    </row>
    <row r="28" spans="1:27" x14ac:dyDescent="0.25">
      <c r="A28">
        <v>1027</v>
      </c>
      <c r="B28" t="s">
        <v>20</v>
      </c>
      <c r="C28" t="s">
        <v>21</v>
      </c>
      <c r="D28">
        <v>41</v>
      </c>
      <c r="E28" t="s">
        <v>22</v>
      </c>
      <c r="F28" t="s">
        <v>23</v>
      </c>
      <c r="G28">
        <v>14</v>
      </c>
      <c r="H28" s="1" t="str">
        <f>IF(Table1[[#This Row],[anxiety_score]]&lt;=10, "Normal", IF(Table1[[#This Row],[anxiety_score]]&lt;=20, "Moderate", IF(Table1[[#This Row],[anxiety_score]]&lt;=30, "Severe", "Extremely Severe")))</f>
        <v>Moderate</v>
      </c>
      <c r="I28">
        <v>0.39388975999999998</v>
      </c>
      <c r="J28">
        <v>18</v>
      </c>
      <c r="K28" s="1" t="str">
        <f>IF(Table1[[#This Row],[stress_score]]&lt;=10, "Normal", IF(Table1[[#This Row],[stress_score]]&lt;=20, "Moderate", IF(Table1[[#This Row],[stress_score]]&lt;=30, "Severe", "Extremely Severe")))</f>
        <v>Moderate</v>
      </c>
      <c r="L28">
        <v>0.58948003999999998</v>
      </c>
      <c r="M28">
        <v>14</v>
      </c>
      <c r="N28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28">
        <v>0.23962580999999999</v>
      </c>
      <c r="P28">
        <v>15.333333</v>
      </c>
      <c r="Q28">
        <f>ROUND(Table1[[#This Row],[dass21_raw_score]],0)</f>
        <v>15</v>
      </c>
      <c r="R28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28">
        <v>0.40766520000000001</v>
      </c>
      <c r="T28">
        <v>1.5025752000000001</v>
      </c>
      <c r="U28">
        <v>4000</v>
      </c>
      <c r="V28" s="1">
        <f>ROUND(Table1[[#This Row],[fmpce]],0)</f>
        <v>4000</v>
      </c>
      <c r="W28">
        <v>54.418660000000003</v>
      </c>
      <c r="X28" s="4">
        <f>Table1[[#This Row],[mpce]]*89</f>
        <v>4843.2607400000006</v>
      </c>
      <c r="Y28" s="2" t="s">
        <v>32</v>
      </c>
      <c r="Z28" s="3">
        <f>VLOOKUP(Y28, rmpce_reference!$B$1:$D$7,3,FALSE) * 89</f>
        <v>4450</v>
      </c>
      <c r="AA28" s="1" t="str">
        <f>IF(Table1[rmpce_inr]&lt;=rmpce_reference!$F$2, "Low Income", IF(Table1[rmpce_inr]&lt;=rmpce_reference!$F$3, "Middle Income", "High Income"))</f>
        <v>Low Income</v>
      </c>
    </row>
    <row r="29" spans="1:27" x14ac:dyDescent="0.25">
      <c r="A29">
        <v>1028</v>
      </c>
      <c r="B29" t="s">
        <v>20</v>
      </c>
      <c r="C29" t="s">
        <v>36</v>
      </c>
      <c r="D29">
        <v>58</v>
      </c>
      <c r="E29" t="s">
        <v>25</v>
      </c>
      <c r="F29" t="s">
        <v>26</v>
      </c>
      <c r="G29">
        <v>4</v>
      </c>
      <c r="H29" s="1" t="str">
        <f>IF(Table1[[#This Row],[anxiety_score]]&lt;=10, "Normal", IF(Table1[[#This Row],[anxiety_score]]&lt;=20, "Moderate", IF(Table1[[#This Row],[anxiety_score]]&lt;=30, "Severe", "Extremely Severe")))</f>
        <v>Normal</v>
      </c>
      <c r="I29">
        <v>-0.61133329999999997</v>
      </c>
      <c r="J29">
        <v>8</v>
      </c>
      <c r="K29" s="1" t="str">
        <f>IF(Table1[[#This Row],[stress_score]]&lt;=10, "Normal", IF(Table1[[#This Row],[stress_score]]&lt;=20, "Moderate", IF(Table1[[#This Row],[stress_score]]&lt;=30, "Severe", "Extremely Severe")))</f>
        <v>Normal</v>
      </c>
      <c r="L29">
        <v>-0.38382620000000001</v>
      </c>
      <c r="M29">
        <v>2</v>
      </c>
      <c r="N29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29">
        <v>-0.91619854999999994</v>
      </c>
      <c r="P29">
        <v>4.6666664999999998</v>
      </c>
      <c r="Q29">
        <f>ROUND(Table1[[#This Row],[dass21_raw_score]],0)</f>
        <v>5</v>
      </c>
      <c r="R29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29">
        <v>-0.63711934999999997</v>
      </c>
      <c r="T29">
        <v>0.45779055000000002</v>
      </c>
      <c r="U29">
        <v>1000</v>
      </c>
      <c r="V29" s="1">
        <f>ROUND(Table1[[#This Row],[fmpce]],0)</f>
        <v>1000</v>
      </c>
      <c r="W29">
        <v>13.604665000000001</v>
      </c>
      <c r="X29" s="4">
        <f>Table1[[#This Row],[mpce]]*89</f>
        <v>1210.8151850000002</v>
      </c>
      <c r="Y29" s="2" t="s">
        <v>24</v>
      </c>
      <c r="Z29" s="3">
        <f>VLOOKUP(Y29, rmpce_reference!$B$1:$D$7,3,FALSE) * 89</f>
        <v>2225</v>
      </c>
      <c r="AA29" s="1" t="str">
        <f>IF(Table1[rmpce_inr]&lt;=rmpce_reference!$F$2, "Low Income", IF(Table1[rmpce_inr]&lt;=rmpce_reference!$F$3, "Middle Income", "High Income"))</f>
        <v>Low Income</v>
      </c>
    </row>
    <row r="30" spans="1:27" x14ac:dyDescent="0.25">
      <c r="A30">
        <v>1029</v>
      </c>
      <c r="B30" t="s">
        <v>20</v>
      </c>
      <c r="C30" t="s">
        <v>21</v>
      </c>
      <c r="D30">
        <v>42</v>
      </c>
      <c r="E30" t="s">
        <v>25</v>
      </c>
      <c r="F30" t="s">
        <v>30</v>
      </c>
      <c r="G30">
        <v>6</v>
      </c>
      <c r="H30" s="1" t="str">
        <f>IF(Table1[[#This Row],[anxiety_score]]&lt;=10, "Normal", IF(Table1[[#This Row],[anxiety_score]]&lt;=20, "Moderate", IF(Table1[[#This Row],[anxiety_score]]&lt;=30, "Severe", "Extremely Severe")))</f>
        <v>Normal</v>
      </c>
      <c r="I30">
        <v>-0.41028870000000001</v>
      </c>
      <c r="J30">
        <v>6</v>
      </c>
      <c r="K30" s="1" t="str">
        <f>IF(Table1[[#This Row],[stress_score]]&lt;=10, "Normal", IF(Table1[[#This Row],[stress_score]]&lt;=20, "Moderate", IF(Table1[[#This Row],[stress_score]]&lt;=30, "Severe", "Extremely Severe")))</f>
        <v>Normal</v>
      </c>
      <c r="L30">
        <v>-0.57848745999999995</v>
      </c>
      <c r="M30">
        <v>0</v>
      </c>
      <c r="N30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30">
        <v>-1.1088359000000001</v>
      </c>
      <c r="P30">
        <v>4</v>
      </c>
      <c r="Q30">
        <f>ROUND(Table1[[#This Row],[dass21_raw_score]],0)</f>
        <v>4</v>
      </c>
      <c r="R30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30">
        <v>-0.69920400000000005</v>
      </c>
      <c r="T30">
        <v>0.39570588000000001</v>
      </c>
      <c r="U30">
        <v>1500</v>
      </c>
      <c r="V30" s="1">
        <f>ROUND(Table1[[#This Row],[fmpce]],0)</f>
        <v>1500</v>
      </c>
      <c r="W30">
        <v>20.406998000000002</v>
      </c>
      <c r="X30" s="4">
        <f>Table1[[#This Row],[mpce]]*89</f>
        <v>1816.2228220000002</v>
      </c>
      <c r="Y30" s="2" t="s">
        <v>24</v>
      </c>
      <c r="Z30" s="3">
        <f>VLOOKUP(Y30, rmpce_reference!$B$1:$D$7,3,FALSE) * 89</f>
        <v>2225</v>
      </c>
      <c r="AA30" s="1" t="str">
        <f>IF(Table1[rmpce_inr]&lt;=rmpce_reference!$F$2, "Low Income", IF(Table1[rmpce_inr]&lt;=rmpce_reference!$F$3, "Middle Income", "High Income"))</f>
        <v>Low Income</v>
      </c>
    </row>
    <row r="31" spans="1:27" x14ac:dyDescent="0.25">
      <c r="A31">
        <v>1030</v>
      </c>
      <c r="B31" t="s">
        <v>20</v>
      </c>
      <c r="C31" t="s">
        <v>29</v>
      </c>
      <c r="D31">
        <v>40</v>
      </c>
      <c r="E31" t="s">
        <v>22</v>
      </c>
      <c r="F31" t="s">
        <v>30</v>
      </c>
      <c r="G31">
        <v>4</v>
      </c>
      <c r="H31" s="1" t="str">
        <f>IF(Table1[[#This Row],[anxiety_score]]&lt;=10, "Normal", IF(Table1[[#This Row],[anxiety_score]]&lt;=20, "Moderate", IF(Table1[[#This Row],[anxiety_score]]&lt;=30, "Severe", "Extremely Severe")))</f>
        <v>Normal</v>
      </c>
      <c r="I31">
        <v>-0.61133329999999997</v>
      </c>
      <c r="J31">
        <v>10</v>
      </c>
      <c r="K31" s="1" t="str">
        <f>IF(Table1[[#This Row],[stress_score]]&lt;=10, "Normal", IF(Table1[[#This Row],[stress_score]]&lt;=20, "Moderate", IF(Table1[[#This Row],[stress_score]]&lt;=30, "Severe", "Extremely Severe")))</f>
        <v>Normal</v>
      </c>
      <c r="L31">
        <v>-0.18916494</v>
      </c>
      <c r="M31">
        <v>6</v>
      </c>
      <c r="N31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31">
        <v>-0.53092379999999995</v>
      </c>
      <c r="P31">
        <v>6.6666664999999998</v>
      </c>
      <c r="Q31">
        <f>ROUND(Table1[[#This Row],[dass21_raw_score]],0)</f>
        <v>7</v>
      </c>
      <c r="R31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31">
        <v>-0.44380733</v>
      </c>
      <c r="T31">
        <v>0.65110254000000001</v>
      </c>
      <c r="U31">
        <v>2000</v>
      </c>
      <c r="V31" s="1">
        <f>ROUND(Table1[[#This Row],[fmpce]],0)</f>
        <v>2000</v>
      </c>
      <c r="W31">
        <v>27.209330000000001</v>
      </c>
      <c r="X31" s="4">
        <f>Table1[[#This Row],[mpce]]*89</f>
        <v>2421.6303700000003</v>
      </c>
      <c r="Y31" s="2" t="s">
        <v>34</v>
      </c>
      <c r="Z31" s="3">
        <f>VLOOKUP(Y31, rmpce_reference!$B$1:$D$7,3,FALSE) * 89</f>
        <v>2848</v>
      </c>
      <c r="AA31" s="1" t="str">
        <f>IF(Table1[rmpce_inr]&lt;=rmpce_reference!$F$2, "Low Income", IF(Table1[rmpce_inr]&lt;=rmpce_reference!$F$3, "Middle Income", "High Income"))</f>
        <v>Low Income</v>
      </c>
    </row>
    <row r="32" spans="1:27" x14ac:dyDescent="0.25">
      <c r="A32">
        <v>1031</v>
      </c>
      <c r="B32" t="s">
        <v>20</v>
      </c>
      <c r="C32" t="s">
        <v>21</v>
      </c>
      <c r="D32">
        <v>42</v>
      </c>
      <c r="E32" t="s">
        <v>22</v>
      </c>
      <c r="F32" t="s">
        <v>23</v>
      </c>
      <c r="G32">
        <v>10</v>
      </c>
      <c r="H32" s="1" t="str">
        <f>IF(Table1[[#This Row],[anxiety_score]]&lt;=10, "Normal", IF(Table1[[#This Row],[anxiety_score]]&lt;=20, "Moderate", IF(Table1[[#This Row],[anxiety_score]]&lt;=30, "Severe", "Extremely Severe")))</f>
        <v>Normal</v>
      </c>
      <c r="I32">
        <v>-8.1994660000000007E-3</v>
      </c>
      <c r="J32">
        <v>16</v>
      </c>
      <c r="K32" s="1" t="str">
        <f>IF(Table1[[#This Row],[stress_score]]&lt;=10, "Normal", IF(Table1[[#This Row],[stress_score]]&lt;=20, "Moderate", IF(Table1[[#This Row],[stress_score]]&lt;=30, "Severe", "Extremely Severe")))</f>
        <v>Moderate</v>
      </c>
      <c r="L32">
        <v>0.39481880000000003</v>
      </c>
      <c r="M32">
        <v>12</v>
      </c>
      <c r="N32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32">
        <v>4.6988415999999998E-2</v>
      </c>
      <c r="P32">
        <v>12.666667</v>
      </c>
      <c r="Q32">
        <f>ROUND(Table1[[#This Row],[dass21_raw_score]],0)</f>
        <v>13</v>
      </c>
      <c r="R32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32">
        <v>0.14453590999999999</v>
      </c>
      <c r="T32">
        <v>1.2394457999999999</v>
      </c>
      <c r="U32">
        <v>3750</v>
      </c>
      <c r="V32" s="1">
        <f>ROUND(Table1[[#This Row],[fmpce]],0)</f>
        <v>3750</v>
      </c>
      <c r="W32">
        <v>51.017493999999999</v>
      </c>
      <c r="X32" s="4">
        <f>Table1[[#This Row],[mpce]]*89</f>
        <v>4540.5569660000001</v>
      </c>
      <c r="Y32" s="2" t="s">
        <v>32</v>
      </c>
      <c r="Z32" s="3">
        <f>VLOOKUP(Y32, rmpce_reference!$B$1:$D$7,3,FALSE) * 89</f>
        <v>4450</v>
      </c>
      <c r="AA32" s="1" t="str">
        <f>IF(Table1[rmpce_inr]&lt;=rmpce_reference!$F$2, "Low Income", IF(Table1[rmpce_inr]&lt;=rmpce_reference!$F$3, "Middle Income", "High Income"))</f>
        <v>Low Income</v>
      </c>
    </row>
    <row r="33" spans="1:27" x14ac:dyDescent="0.25">
      <c r="A33">
        <v>1032</v>
      </c>
      <c r="B33" t="s">
        <v>20</v>
      </c>
      <c r="C33" t="s">
        <v>29</v>
      </c>
      <c r="D33">
        <v>32</v>
      </c>
      <c r="E33" t="s">
        <v>22</v>
      </c>
      <c r="F33" t="s">
        <v>23</v>
      </c>
      <c r="G33">
        <v>16</v>
      </c>
      <c r="H33" s="1" t="str">
        <f>IF(Table1[[#This Row],[anxiety_score]]&lt;=10, "Normal", IF(Table1[[#This Row],[anxiety_score]]&lt;=20, "Moderate", IF(Table1[[#This Row],[anxiety_score]]&lt;=30, "Severe", "Extremely Severe")))</f>
        <v>Moderate</v>
      </c>
      <c r="I33">
        <v>0.59493434000000001</v>
      </c>
      <c r="J33">
        <v>22</v>
      </c>
      <c r="K33" s="1" t="str">
        <f>IF(Table1[[#This Row],[stress_score]]&lt;=10, "Normal", IF(Table1[[#This Row],[stress_score]]&lt;=20, "Moderate", IF(Table1[[#This Row],[stress_score]]&lt;=30, "Severe", "Extremely Severe")))</f>
        <v>Severe</v>
      </c>
      <c r="L33">
        <v>0.97880255999999999</v>
      </c>
      <c r="M33">
        <v>16</v>
      </c>
      <c r="N33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33">
        <v>0.43226320000000001</v>
      </c>
      <c r="P33">
        <v>18</v>
      </c>
      <c r="Q33">
        <f>ROUND(Table1[[#This Row],[dass21_raw_score]],0)</f>
        <v>18</v>
      </c>
      <c r="R33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33">
        <v>0.66866669999999995</v>
      </c>
      <c r="T33">
        <v>1.7635765999999999</v>
      </c>
      <c r="U33">
        <v>2000</v>
      </c>
      <c r="V33" s="1">
        <f>ROUND(Table1[[#This Row],[fmpce]],0)</f>
        <v>2000</v>
      </c>
      <c r="W33">
        <v>27.209330000000001</v>
      </c>
      <c r="X33" s="4">
        <f>Table1[[#This Row],[mpce]]*89</f>
        <v>2421.6303700000003</v>
      </c>
      <c r="Y33" s="2" t="s">
        <v>34</v>
      </c>
      <c r="Z33" s="3">
        <f>VLOOKUP(Y33, rmpce_reference!$B$1:$D$7,3,FALSE) * 89</f>
        <v>2848</v>
      </c>
      <c r="AA33" s="1" t="str">
        <f>IF(Table1[rmpce_inr]&lt;=rmpce_reference!$F$2, "Low Income", IF(Table1[rmpce_inr]&lt;=rmpce_reference!$F$3, "Middle Income", "High Income"))</f>
        <v>Low Income</v>
      </c>
    </row>
    <row r="34" spans="1:27" x14ac:dyDescent="0.25">
      <c r="A34">
        <v>1033</v>
      </c>
      <c r="B34" t="s">
        <v>20</v>
      </c>
      <c r="C34" t="s">
        <v>29</v>
      </c>
      <c r="D34">
        <v>40</v>
      </c>
      <c r="E34" t="s">
        <v>25</v>
      </c>
      <c r="F34" t="s">
        <v>23</v>
      </c>
      <c r="G34">
        <v>6</v>
      </c>
      <c r="H34" s="1" t="str">
        <f>IF(Table1[[#This Row],[anxiety_score]]&lt;=10, "Normal", IF(Table1[[#This Row],[anxiety_score]]&lt;=20, "Moderate", IF(Table1[[#This Row],[anxiety_score]]&lt;=30, "Severe", "Extremely Severe")))</f>
        <v>Normal</v>
      </c>
      <c r="I34">
        <v>-0.41028870000000001</v>
      </c>
      <c r="J34">
        <v>12</v>
      </c>
      <c r="K34" s="1" t="str">
        <f>IF(Table1[[#This Row],[stress_score]]&lt;=10, "Normal", IF(Table1[[#This Row],[stress_score]]&lt;=20, "Moderate", IF(Table1[[#This Row],[stress_score]]&lt;=30, "Severe", "Extremely Severe")))</f>
        <v>Moderate</v>
      </c>
      <c r="L34">
        <v>5.496318E-3</v>
      </c>
      <c r="M34">
        <v>8</v>
      </c>
      <c r="N34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34">
        <v>-0.33828637</v>
      </c>
      <c r="P34">
        <v>8.6666670000000003</v>
      </c>
      <c r="Q34">
        <f>ROUND(Table1[[#This Row],[dass21_raw_score]],0)</f>
        <v>9</v>
      </c>
      <c r="R34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34">
        <v>-0.24769290999999999</v>
      </c>
      <c r="T34">
        <v>0.84721696000000002</v>
      </c>
      <c r="U34">
        <v>2500</v>
      </c>
      <c r="V34" s="1">
        <f>ROUND(Table1[[#This Row],[fmpce]],0)</f>
        <v>2500</v>
      </c>
      <c r="W34">
        <v>34.011659999999999</v>
      </c>
      <c r="X34" s="4">
        <f>Table1[[#This Row],[mpce]]*89</f>
        <v>3027.0377399999998</v>
      </c>
      <c r="Y34" s="2" t="s">
        <v>34</v>
      </c>
      <c r="Z34" s="3">
        <f>VLOOKUP(Y34, rmpce_reference!$B$1:$D$7,3,FALSE) * 89</f>
        <v>2848</v>
      </c>
      <c r="AA34" s="1" t="str">
        <f>IF(Table1[rmpce_inr]&lt;=rmpce_reference!$F$2, "Low Income", IF(Table1[rmpce_inr]&lt;=rmpce_reference!$F$3, "Middle Income", "High Income"))</f>
        <v>Low Income</v>
      </c>
    </row>
    <row r="35" spans="1:27" x14ac:dyDescent="0.25">
      <c r="A35">
        <v>1034</v>
      </c>
      <c r="B35" t="s">
        <v>20</v>
      </c>
      <c r="C35" t="s">
        <v>21</v>
      </c>
      <c r="D35">
        <v>46</v>
      </c>
      <c r="E35" t="s">
        <v>22</v>
      </c>
      <c r="F35" t="s">
        <v>23</v>
      </c>
      <c r="G35">
        <v>16</v>
      </c>
      <c r="H35" s="1" t="str">
        <f>IF(Table1[[#This Row],[anxiety_score]]&lt;=10, "Normal", IF(Table1[[#This Row],[anxiety_score]]&lt;=20, "Moderate", IF(Table1[[#This Row],[anxiety_score]]&lt;=30, "Severe", "Extremely Severe")))</f>
        <v>Moderate</v>
      </c>
      <c r="I35">
        <v>0.59493434000000001</v>
      </c>
      <c r="J35">
        <v>12</v>
      </c>
      <c r="K35" s="1" t="str">
        <f>IF(Table1[[#This Row],[stress_score]]&lt;=10, "Normal", IF(Table1[[#This Row],[stress_score]]&lt;=20, "Moderate", IF(Table1[[#This Row],[stress_score]]&lt;=30, "Severe", "Extremely Severe")))</f>
        <v>Moderate</v>
      </c>
      <c r="L35">
        <v>5.496318E-3</v>
      </c>
      <c r="M35">
        <v>12</v>
      </c>
      <c r="N35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35">
        <v>4.6988415999999998E-2</v>
      </c>
      <c r="P35">
        <v>13.333333</v>
      </c>
      <c r="Q35">
        <f>ROUND(Table1[[#This Row],[dass21_raw_score]],0)</f>
        <v>13</v>
      </c>
      <c r="R35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35">
        <v>0.21580637</v>
      </c>
      <c r="T35">
        <v>1.3107162999999999</v>
      </c>
      <c r="U35">
        <v>3333.3332999999998</v>
      </c>
      <c r="V35" s="1">
        <f>ROUND(Table1[[#This Row],[fmpce]],0)</f>
        <v>3333</v>
      </c>
      <c r="W35">
        <v>45.348880000000001</v>
      </c>
      <c r="X35" s="4">
        <f>Table1[[#This Row],[mpce]]*89</f>
        <v>4036.0503200000003</v>
      </c>
      <c r="Y35" s="2" t="s">
        <v>32</v>
      </c>
      <c r="Z35" s="3">
        <f>VLOOKUP(Y35, rmpce_reference!$B$1:$D$7,3,FALSE) * 89</f>
        <v>4450</v>
      </c>
      <c r="AA35" s="1" t="str">
        <f>IF(Table1[rmpce_inr]&lt;=rmpce_reference!$F$2, "Low Income", IF(Table1[rmpce_inr]&lt;=rmpce_reference!$F$3, "Middle Income", "High Income"))</f>
        <v>Low Income</v>
      </c>
    </row>
    <row r="36" spans="1:27" x14ac:dyDescent="0.25">
      <c r="A36">
        <v>1035</v>
      </c>
      <c r="B36" t="s">
        <v>20</v>
      </c>
      <c r="C36" t="s">
        <v>21</v>
      </c>
      <c r="D36">
        <v>45</v>
      </c>
      <c r="E36" t="s">
        <v>25</v>
      </c>
      <c r="F36" t="s">
        <v>30</v>
      </c>
      <c r="G36">
        <v>12</v>
      </c>
      <c r="H36" s="1" t="str">
        <f>IF(Table1[[#This Row],[anxiety_score]]&lt;=10, "Normal", IF(Table1[[#This Row],[anxiety_score]]&lt;=20, "Moderate", IF(Table1[[#This Row],[anxiety_score]]&lt;=30, "Severe", "Extremely Severe")))</f>
        <v>Moderate</v>
      </c>
      <c r="I36">
        <v>0.19284514999999999</v>
      </c>
      <c r="J36">
        <v>8</v>
      </c>
      <c r="K36" s="1" t="str">
        <f>IF(Table1[[#This Row],[stress_score]]&lt;=10, "Normal", IF(Table1[[#This Row],[stress_score]]&lt;=20, "Moderate", IF(Table1[[#This Row],[stress_score]]&lt;=30, "Severe", "Extremely Severe")))</f>
        <v>Normal</v>
      </c>
      <c r="L36">
        <v>-0.38382620000000001</v>
      </c>
      <c r="M36">
        <v>26</v>
      </c>
      <c r="N36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36">
        <v>1.3954502</v>
      </c>
      <c r="P36">
        <v>15.333333</v>
      </c>
      <c r="Q36">
        <f>ROUND(Table1[[#This Row],[dass21_raw_score]],0)</f>
        <v>15</v>
      </c>
      <c r="R36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36">
        <v>0.40148972999999999</v>
      </c>
      <c r="T36">
        <v>1.4963995999999999</v>
      </c>
      <c r="U36">
        <v>2666.6667000000002</v>
      </c>
      <c r="V36" s="1">
        <f>ROUND(Table1[[#This Row],[fmpce]],0)</f>
        <v>2667</v>
      </c>
      <c r="W36">
        <v>36.279105999999999</v>
      </c>
      <c r="X36" s="4">
        <f>Table1[[#This Row],[mpce]]*89</f>
        <v>3228.8404339999997</v>
      </c>
      <c r="Y36" s="2" t="s">
        <v>34</v>
      </c>
      <c r="Z36" s="3">
        <f>VLOOKUP(Y36, rmpce_reference!$B$1:$D$7,3,FALSE) * 89</f>
        <v>2848</v>
      </c>
      <c r="AA36" s="1" t="str">
        <f>IF(Table1[rmpce_inr]&lt;=rmpce_reference!$F$2, "Low Income", IF(Table1[rmpce_inr]&lt;=rmpce_reference!$F$3, "Middle Income", "High Income"))</f>
        <v>Low Income</v>
      </c>
    </row>
    <row r="37" spans="1:27" x14ac:dyDescent="0.25">
      <c r="A37">
        <v>1036</v>
      </c>
      <c r="B37" t="s">
        <v>20</v>
      </c>
      <c r="C37" t="s">
        <v>21</v>
      </c>
      <c r="D37">
        <v>43</v>
      </c>
      <c r="E37" t="s">
        <v>22</v>
      </c>
      <c r="F37" t="s">
        <v>23</v>
      </c>
      <c r="G37">
        <v>8</v>
      </c>
      <c r="H37" s="1" t="str">
        <f>IF(Table1[[#This Row],[anxiety_score]]&lt;=10, "Normal", IF(Table1[[#This Row],[anxiety_score]]&lt;=20, "Moderate", IF(Table1[[#This Row],[anxiety_score]]&lt;=30, "Severe", "Extremely Severe")))</f>
        <v>Normal</v>
      </c>
      <c r="I37">
        <v>-0.20924408999999999</v>
      </c>
      <c r="J37">
        <v>8</v>
      </c>
      <c r="K37" s="1" t="str">
        <f>IF(Table1[[#This Row],[stress_score]]&lt;=10, "Normal", IF(Table1[[#This Row],[stress_score]]&lt;=20, "Moderate", IF(Table1[[#This Row],[stress_score]]&lt;=30, "Severe", "Extremely Severe")))</f>
        <v>Normal</v>
      </c>
      <c r="L37">
        <v>-0.38382620000000001</v>
      </c>
      <c r="M37">
        <v>10</v>
      </c>
      <c r="N37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37">
        <v>-0.14564899000000001</v>
      </c>
      <c r="P37">
        <v>8.6666670000000003</v>
      </c>
      <c r="Q37">
        <f>ROUND(Table1[[#This Row],[dass21_raw_score]],0)</f>
        <v>9</v>
      </c>
      <c r="R37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37">
        <v>-0.24623975000000001</v>
      </c>
      <c r="T37">
        <v>0.84867009999999998</v>
      </c>
      <c r="U37">
        <v>3333.3332999999998</v>
      </c>
      <c r="V37" s="1">
        <f>ROUND(Table1[[#This Row],[fmpce]],0)</f>
        <v>3333</v>
      </c>
      <c r="W37">
        <v>45.348880000000001</v>
      </c>
      <c r="X37" s="4">
        <f>Table1[[#This Row],[mpce]]*89</f>
        <v>4036.0503200000003</v>
      </c>
      <c r="Y37" s="2" t="s">
        <v>32</v>
      </c>
      <c r="Z37" s="3">
        <f>VLOOKUP(Y37, rmpce_reference!$B$1:$D$7,3,FALSE) * 89</f>
        <v>4450</v>
      </c>
      <c r="AA37" s="1" t="str">
        <f>IF(Table1[rmpce_inr]&lt;=rmpce_reference!$F$2, "Low Income", IF(Table1[rmpce_inr]&lt;=rmpce_reference!$F$3, "Middle Income", "High Income"))</f>
        <v>Low Income</v>
      </c>
    </row>
    <row r="38" spans="1:27" x14ac:dyDescent="0.25">
      <c r="A38">
        <v>1037</v>
      </c>
      <c r="B38" t="s">
        <v>20</v>
      </c>
      <c r="C38" t="s">
        <v>33</v>
      </c>
      <c r="D38">
        <v>28</v>
      </c>
      <c r="E38" t="s">
        <v>25</v>
      </c>
      <c r="F38" t="s">
        <v>26</v>
      </c>
      <c r="G38">
        <v>8</v>
      </c>
      <c r="H38" s="1" t="str">
        <f>IF(Table1[[#This Row],[anxiety_score]]&lt;=10, "Normal", IF(Table1[[#This Row],[anxiety_score]]&lt;=20, "Moderate", IF(Table1[[#This Row],[anxiety_score]]&lt;=30, "Severe", "Extremely Severe")))</f>
        <v>Normal</v>
      </c>
      <c r="I38">
        <v>-0.20924408999999999</v>
      </c>
      <c r="J38">
        <v>12</v>
      </c>
      <c r="K38" s="1" t="str">
        <f>IF(Table1[[#This Row],[stress_score]]&lt;=10, "Normal", IF(Table1[[#This Row],[stress_score]]&lt;=20, "Moderate", IF(Table1[[#This Row],[stress_score]]&lt;=30, "Severe", "Extremely Severe")))</f>
        <v>Moderate</v>
      </c>
      <c r="L38">
        <v>5.496318E-3</v>
      </c>
      <c r="M38">
        <v>12</v>
      </c>
      <c r="N38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38">
        <v>4.6988415999999998E-2</v>
      </c>
      <c r="P38">
        <v>10.666667</v>
      </c>
      <c r="Q38">
        <f>ROUND(Table1[[#This Row],[dass21_raw_score]],0)</f>
        <v>11</v>
      </c>
      <c r="R38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38">
        <v>-5.225312E-2</v>
      </c>
      <c r="T38">
        <v>1.0426568000000001</v>
      </c>
      <c r="U38">
        <v>2000</v>
      </c>
      <c r="V38" s="1">
        <f>ROUND(Table1[[#This Row],[fmpce]],0)</f>
        <v>2000</v>
      </c>
      <c r="W38">
        <v>27.209330000000001</v>
      </c>
      <c r="X38" s="4">
        <f>Table1[[#This Row],[mpce]]*89</f>
        <v>2421.6303700000003</v>
      </c>
      <c r="Y38" s="2" t="s">
        <v>34</v>
      </c>
      <c r="Z38" s="3">
        <f>VLOOKUP(Y38, rmpce_reference!$B$1:$D$7,3,FALSE) * 89</f>
        <v>2848</v>
      </c>
      <c r="AA38" s="1" t="str">
        <f>IF(Table1[rmpce_inr]&lt;=rmpce_reference!$F$2, "Low Income", IF(Table1[rmpce_inr]&lt;=rmpce_reference!$F$3, "Middle Income", "High Income"))</f>
        <v>Low Income</v>
      </c>
    </row>
    <row r="39" spans="1:27" x14ac:dyDescent="0.25">
      <c r="A39">
        <v>1038</v>
      </c>
      <c r="B39" t="s">
        <v>20</v>
      </c>
      <c r="C39" t="s">
        <v>21</v>
      </c>
      <c r="D39">
        <v>46</v>
      </c>
      <c r="E39" t="s">
        <v>25</v>
      </c>
      <c r="F39" t="s">
        <v>23</v>
      </c>
      <c r="G39">
        <v>12</v>
      </c>
      <c r="H39" s="1" t="str">
        <f>IF(Table1[[#This Row],[anxiety_score]]&lt;=10, "Normal", IF(Table1[[#This Row],[anxiety_score]]&lt;=20, "Moderate", IF(Table1[[#This Row],[anxiety_score]]&lt;=30, "Severe", "Extremely Severe")))</f>
        <v>Moderate</v>
      </c>
      <c r="I39">
        <v>0.19284514999999999</v>
      </c>
      <c r="J39">
        <v>10</v>
      </c>
      <c r="K39" s="1" t="str">
        <f>IF(Table1[[#This Row],[stress_score]]&lt;=10, "Normal", IF(Table1[[#This Row],[stress_score]]&lt;=20, "Moderate", IF(Table1[[#This Row],[stress_score]]&lt;=30, "Severe", "Extremely Severe")))</f>
        <v>Normal</v>
      </c>
      <c r="L39">
        <v>-0.18916494</v>
      </c>
      <c r="M39">
        <v>16</v>
      </c>
      <c r="N39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39">
        <v>0.43226320000000001</v>
      </c>
      <c r="P39">
        <v>12.666667</v>
      </c>
      <c r="Q39">
        <f>ROUND(Table1[[#This Row],[dass21_raw_score]],0)</f>
        <v>13</v>
      </c>
      <c r="R39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39">
        <v>0.14531447</v>
      </c>
      <c r="T39">
        <v>1.2402244</v>
      </c>
      <c r="U39">
        <v>1750</v>
      </c>
      <c r="V39" s="1">
        <f>ROUND(Table1[[#This Row],[fmpce]],0)</f>
        <v>1750</v>
      </c>
      <c r="W39">
        <v>23.808163</v>
      </c>
      <c r="X39" s="4">
        <f>Table1[[#This Row],[mpce]]*89</f>
        <v>2118.9265070000001</v>
      </c>
      <c r="Y39" s="2" t="s">
        <v>24</v>
      </c>
      <c r="Z39" s="3">
        <f>VLOOKUP(Y39, rmpce_reference!$B$1:$D$7,3,FALSE) * 89</f>
        <v>2225</v>
      </c>
      <c r="AA39" s="1" t="str">
        <f>IF(Table1[rmpce_inr]&lt;=rmpce_reference!$F$2, "Low Income", IF(Table1[rmpce_inr]&lt;=rmpce_reference!$F$3, "Middle Income", "High Income"))</f>
        <v>Low Income</v>
      </c>
    </row>
    <row r="40" spans="1:27" x14ac:dyDescent="0.25">
      <c r="A40">
        <v>1039</v>
      </c>
      <c r="B40" t="s">
        <v>20</v>
      </c>
      <c r="C40" t="s">
        <v>21</v>
      </c>
      <c r="D40">
        <v>47</v>
      </c>
      <c r="E40" t="s">
        <v>25</v>
      </c>
      <c r="F40" t="s">
        <v>26</v>
      </c>
      <c r="G40">
        <v>10</v>
      </c>
      <c r="H40" s="1" t="str">
        <f>IF(Table1[[#This Row],[anxiety_score]]&lt;=10, "Normal", IF(Table1[[#This Row],[anxiety_score]]&lt;=20, "Moderate", IF(Table1[[#This Row],[anxiety_score]]&lt;=30, "Severe", "Extremely Severe")))</f>
        <v>Normal</v>
      </c>
      <c r="I40">
        <v>-8.1994660000000007E-3</v>
      </c>
      <c r="J40">
        <v>14</v>
      </c>
      <c r="K40" s="1" t="str">
        <f>IF(Table1[[#This Row],[stress_score]]&lt;=10, "Normal", IF(Table1[[#This Row],[stress_score]]&lt;=20, "Moderate", IF(Table1[[#This Row],[stress_score]]&lt;=30, "Severe", "Extremely Severe")))</f>
        <v>Moderate</v>
      </c>
      <c r="L40">
        <v>0.20015757000000001</v>
      </c>
      <c r="M40">
        <v>14</v>
      </c>
      <c r="N40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40">
        <v>0.23962580999999999</v>
      </c>
      <c r="P40">
        <v>12.666667</v>
      </c>
      <c r="Q40">
        <f>ROUND(Table1[[#This Row],[dass21_raw_score]],0)</f>
        <v>13</v>
      </c>
      <c r="R40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40">
        <v>0.14386130999999999</v>
      </c>
      <c r="T40">
        <v>1.2387712</v>
      </c>
      <c r="U40">
        <v>1000</v>
      </c>
      <c r="V40" s="1">
        <f>ROUND(Table1[[#This Row],[fmpce]],0)</f>
        <v>1000</v>
      </c>
      <c r="W40">
        <v>13.604665000000001</v>
      </c>
      <c r="X40" s="4">
        <f>Table1[[#This Row],[mpce]]*89</f>
        <v>1210.8151850000002</v>
      </c>
      <c r="Y40" s="2" t="s">
        <v>24</v>
      </c>
      <c r="Z40" s="3">
        <f>VLOOKUP(Y40, rmpce_reference!$B$1:$D$7,3,FALSE) * 89</f>
        <v>2225</v>
      </c>
      <c r="AA40" s="1" t="str">
        <f>IF(Table1[rmpce_inr]&lt;=rmpce_reference!$F$2, "Low Income", IF(Table1[rmpce_inr]&lt;=rmpce_reference!$F$3, "Middle Income", "High Income"))</f>
        <v>Low Income</v>
      </c>
    </row>
    <row r="41" spans="1:27" x14ac:dyDescent="0.25">
      <c r="A41">
        <v>1040</v>
      </c>
      <c r="B41" t="s">
        <v>20</v>
      </c>
      <c r="C41" t="s">
        <v>21</v>
      </c>
      <c r="D41">
        <v>41</v>
      </c>
      <c r="E41" t="s">
        <v>22</v>
      </c>
      <c r="F41" t="s">
        <v>30</v>
      </c>
      <c r="G41">
        <v>6</v>
      </c>
      <c r="H41" s="1" t="str">
        <f>IF(Table1[[#This Row],[anxiety_score]]&lt;=10, "Normal", IF(Table1[[#This Row],[anxiety_score]]&lt;=20, "Moderate", IF(Table1[[#This Row],[anxiety_score]]&lt;=30, "Severe", "Extremely Severe")))</f>
        <v>Normal</v>
      </c>
      <c r="I41">
        <v>-0.41028870000000001</v>
      </c>
      <c r="J41">
        <v>8</v>
      </c>
      <c r="K41" s="1" t="str">
        <f>IF(Table1[[#This Row],[stress_score]]&lt;=10, "Normal", IF(Table1[[#This Row],[stress_score]]&lt;=20, "Moderate", IF(Table1[[#This Row],[stress_score]]&lt;=30, "Severe", "Extremely Severe")))</f>
        <v>Normal</v>
      </c>
      <c r="L41">
        <v>-0.38382620000000001</v>
      </c>
      <c r="M41">
        <v>8</v>
      </c>
      <c r="N41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41">
        <v>-0.33828637</v>
      </c>
      <c r="P41">
        <v>7.3333335000000002</v>
      </c>
      <c r="Q41">
        <f>ROUND(Table1[[#This Row],[dass21_raw_score]],0)</f>
        <v>7</v>
      </c>
      <c r="R41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41">
        <v>-0.3774671</v>
      </c>
      <c r="T41">
        <v>0.71744280000000005</v>
      </c>
      <c r="U41">
        <v>3333.3332999999998</v>
      </c>
      <c r="V41" s="1">
        <f>ROUND(Table1[[#This Row],[fmpce]],0)</f>
        <v>3333</v>
      </c>
      <c r="W41">
        <v>45.348880000000001</v>
      </c>
      <c r="X41" s="4">
        <f>Table1[[#This Row],[mpce]]*89</f>
        <v>4036.0503200000003</v>
      </c>
      <c r="Y41" s="2" t="s">
        <v>32</v>
      </c>
      <c r="Z41" s="3">
        <f>VLOOKUP(Y41, rmpce_reference!$B$1:$D$7,3,FALSE) * 89</f>
        <v>4450</v>
      </c>
      <c r="AA41" s="1" t="str">
        <f>IF(Table1[rmpce_inr]&lt;=rmpce_reference!$F$2, "Low Income", IF(Table1[rmpce_inr]&lt;=rmpce_reference!$F$3, "Middle Income", "High Income"))</f>
        <v>Low Income</v>
      </c>
    </row>
    <row r="42" spans="1:27" x14ac:dyDescent="0.25">
      <c r="A42">
        <v>1041</v>
      </c>
      <c r="B42" t="s">
        <v>20</v>
      </c>
      <c r="C42" t="s">
        <v>29</v>
      </c>
      <c r="D42">
        <v>33</v>
      </c>
      <c r="E42" t="s">
        <v>25</v>
      </c>
      <c r="F42" t="s">
        <v>23</v>
      </c>
      <c r="G42">
        <v>14</v>
      </c>
      <c r="H42" s="1" t="str">
        <f>IF(Table1[[#This Row],[anxiety_score]]&lt;=10, "Normal", IF(Table1[[#This Row],[anxiety_score]]&lt;=20, "Moderate", IF(Table1[[#This Row],[anxiety_score]]&lt;=30, "Severe", "Extremely Severe")))</f>
        <v>Moderate</v>
      </c>
      <c r="I42">
        <v>0.39388975999999998</v>
      </c>
      <c r="J42">
        <v>16</v>
      </c>
      <c r="K42" s="1" t="str">
        <f>IF(Table1[[#This Row],[stress_score]]&lt;=10, "Normal", IF(Table1[[#This Row],[stress_score]]&lt;=20, "Moderate", IF(Table1[[#This Row],[stress_score]]&lt;=30, "Severe", "Extremely Severe")))</f>
        <v>Moderate</v>
      </c>
      <c r="L42">
        <v>0.39481880000000003</v>
      </c>
      <c r="M42">
        <v>10</v>
      </c>
      <c r="N42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42">
        <v>-0.14564899000000001</v>
      </c>
      <c r="P42">
        <v>13.333333</v>
      </c>
      <c r="Q42">
        <f>ROUND(Table1[[#This Row],[dass21_raw_score]],0)</f>
        <v>13</v>
      </c>
      <c r="R42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42">
        <v>0.21435319</v>
      </c>
      <c r="T42">
        <v>1.3092630999999999</v>
      </c>
      <c r="U42">
        <v>1600</v>
      </c>
      <c r="V42" s="1">
        <f>ROUND(Table1[[#This Row],[fmpce]],0)</f>
        <v>1600</v>
      </c>
      <c r="W42">
        <v>21.767464</v>
      </c>
      <c r="X42" s="4">
        <f>Table1[[#This Row],[mpce]]*89</f>
        <v>1937.304296</v>
      </c>
      <c r="Y42" s="2" t="s">
        <v>24</v>
      </c>
      <c r="Z42" s="3">
        <f>VLOOKUP(Y42, rmpce_reference!$B$1:$D$7,3,FALSE) * 89</f>
        <v>2225</v>
      </c>
      <c r="AA42" s="1" t="str">
        <f>IF(Table1[rmpce_inr]&lt;=rmpce_reference!$F$2, "Low Income", IF(Table1[rmpce_inr]&lt;=rmpce_reference!$F$3, "Middle Income", "High Income"))</f>
        <v>Low Income</v>
      </c>
    </row>
    <row r="43" spans="1:27" x14ac:dyDescent="0.25">
      <c r="A43">
        <v>1042</v>
      </c>
      <c r="B43" t="s">
        <v>20</v>
      </c>
      <c r="C43" t="s">
        <v>33</v>
      </c>
      <c r="D43">
        <v>29</v>
      </c>
      <c r="E43" t="s">
        <v>25</v>
      </c>
      <c r="F43" t="s">
        <v>30</v>
      </c>
      <c r="G43">
        <v>6</v>
      </c>
      <c r="H43" s="1" t="str">
        <f>IF(Table1[[#This Row],[anxiety_score]]&lt;=10, "Normal", IF(Table1[[#This Row],[anxiety_score]]&lt;=20, "Moderate", IF(Table1[[#This Row],[anxiety_score]]&lt;=30, "Severe", "Extremely Severe")))</f>
        <v>Normal</v>
      </c>
      <c r="I43">
        <v>-0.41028870000000001</v>
      </c>
      <c r="J43">
        <v>4</v>
      </c>
      <c r="K43" s="1" t="str">
        <f>IF(Table1[[#This Row],[stress_score]]&lt;=10, "Normal", IF(Table1[[#This Row],[stress_score]]&lt;=20, "Moderate", IF(Table1[[#This Row],[stress_score]]&lt;=30, "Severe", "Extremely Severe")))</f>
        <v>Normal</v>
      </c>
      <c r="L43">
        <v>-0.77314866000000004</v>
      </c>
      <c r="M43">
        <v>4</v>
      </c>
      <c r="N43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43">
        <v>-0.72356116999999998</v>
      </c>
      <c r="P43">
        <v>4.6666664999999998</v>
      </c>
      <c r="Q43">
        <f>ROUND(Table1[[#This Row],[dass21_raw_score]],0)</f>
        <v>5</v>
      </c>
      <c r="R43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43">
        <v>-0.63566619999999996</v>
      </c>
      <c r="T43">
        <v>0.45924369999999998</v>
      </c>
      <c r="U43">
        <v>1500</v>
      </c>
      <c r="V43" s="1">
        <f>ROUND(Table1[[#This Row],[fmpce]],0)</f>
        <v>1500</v>
      </c>
      <c r="W43">
        <v>20.406998000000002</v>
      </c>
      <c r="X43" s="4">
        <f>Table1[[#This Row],[mpce]]*89</f>
        <v>1816.2228220000002</v>
      </c>
      <c r="Y43" s="2" t="s">
        <v>24</v>
      </c>
      <c r="Z43" s="3">
        <f>VLOOKUP(Y43, rmpce_reference!$B$1:$D$7,3,FALSE) * 89</f>
        <v>2225</v>
      </c>
      <c r="AA43" s="1" t="str">
        <f>IF(Table1[rmpce_inr]&lt;=rmpce_reference!$F$2, "Low Income", IF(Table1[rmpce_inr]&lt;=rmpce_reference!$F$3, "Middle Income", "High Income"))</f>
        <v>Low Income</v>
      </c>
    </row>
    <row r="44" spans="1:27" x14ac:dyDescent="0.25">
      <c r="A44">
        <v>1043</v>
      </c>
      <c r="B44" t="s">
        <v>20</v>
      </c>
      <c r="C44" t="s">
        <v>21</v>
      </c>
      <c r="D44">
        <v>42</v>
      </c>
      <c r="E44" t="s">
        <v>25</v>
      </c>
      <c r="F44" t="s">
        <v>23</v>
      </c>
      <c r="G44">
        <v>10</v>
      </c>
      <c r="H44" s="1" t="str">
        <f>IF(Table1[[#This Row],[anxiety_score]]&lt;=10, "Normal", IF(Table1[[#This Row],[anxiety_score]]&lt;=20, "Moderate", IF(Table1[[#This Row],[anxiety_score]]&lt;=30, "Severe", "Extremely Severe")))</f>
        <v>Normal</v>
      </c>
      <c r="I44">
        <v>-8.1994660000000007E-3</v>
      </c>
      <c r="J44">
        <v>10</v>
      </c>
      <c r="K44" s="1" t="str">
        <f>IF(Table1[[#This Row],[stress_score]]&lt;=10, "Normal", IF(Table1[[#This Row],[stress_score]]&lt;=20, "Moderate", IF(Table1[[#This Row],[stress_score]]&lt;=30, "Severe", "Extremely Severe")))</f>
        <v>Normal</v>
      </c>
      <c r="L44">
        <v>-0.18916494</v>
      </c>
      <c r="M44">
        <v>6</v>
      </c>
      <c r="N44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44">
        <v>-0.53092379999999995</v>
      </c>
      <c r="P44">
        <v>8.6666670000000003</v>
      </c>
      <c r="Q44">
        <f>ROUND(Table1[[#This Row],[dass21_raw_score]],0)</f>
        <v>9</v>
      </c>
      <c r="R44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44">
        <v>-0.24276273000000001</v>
      </c>
      <c r="T44">
        <v>0.85214716000000001</v>
      </c>
      <c r="U44">
        <v>1666.6666</v>
      </c>
      <c r="V44" s="1">
        <f>ROUND(Table1[[#This Row],[fmpce]],0)</f>
        <v>1667</v>
      </c>
      <c r="W44">
        <v>22.674440000000001</v>
      </c>
      <c r="X44" s="4">
        <f>Table1[[#This Row],[mpce]]*89</f>
        <v>2018.0251600000001</v>
      </c>
      <c r="Y44" s="2" t="s">
        <v>24</v>
      </c>
      <c r="Z44" s="3">
        <f>VLOOKUP(Y44, rmpce_reference!$B$1:$D$7,3,FALSE) * 89</f>
        <v>2225</v>
      </c>
      <c r="AA44" s="1" t="str">
        <f>IF(Table1[rmpce_inr]&lt;=rmpce_reference!$F$2, "Low Income", IF(Table1[rmpce_inr]&lt;=rmpce_reference!$F$3, "Middle Income", "High Income"))</f>
        <v>Low Income</v>
      </c>
    </row>
    <row r="45" spans="1:27" x14ac:dyDescent="0.25">
      <c r="A45">
        <v>1044</v>
      </c>
      <c r="B45" t="s">
        <v>20</v>
      </c>
      <c r="C45" t="s">
        <v>21</v>
      </c>
      <c r="D45">
        <v>46</v>
      </c>
      <c r="E45" t="s">
        <v>22</v>
      </c>
      <c r="F45" t="s">
        <v>23</v>
      </c>
      <c r="G45">
        <v>16</v>
      </c>
      <c r="H45" s="1" t="str">
        <f>IF(Table1[[#This Row],[anxiety_score]]&lt;=10, "Normal", IF(Table1[[#This Row],[anxiety_score]]&lt;=20, "Moderate", IF(Table1[[#This Row],[anxiety_score]]&lt;=30, "Severe", "Extremely Severe")))</f>
        <v>Moderate</v>
      </c>
      <c r="I45">
        <v>0.59493434000000001</v>
      </c>
      <c r="J45">
        <v>14</v>
      </c>
      <c r="K45" s="1" t="str">
        <f>IF(Table1[[#This Row],[stress_score]]&lt;=10, "Normal", IF(Table1[[#This Row],[stress_score]]&lt;=20, "Moderate", IF(Table1[[#This Row],[stress_score]]&lt;=30, "Severe", "Extremely Severe")))</f>
        <v>Moderate</v>
      </c>
      <c r="L45">
        <v>0.20015757000000001</v>
      </c>
      <c r="M45">
        <v>16</v>
      </c>
      <c r="N45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45">
        <v>0.43226320000000001</v>
      </c>
      <c r="P45">
        <v>15.333333</v>
      </c>
      <c r="Q45">
        <f>ROUND(Table1[[#This Row],[dass21_raw_score]],0)</f>
        <v>15</v>
      </c>
      <c r="R45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45">
        <v>0.40911835000000002</v>
      </c>
      <c r="T45">
        <v>1.5040283000000001</v>
      </c>
      <c r="U45">
        <v>1200</v>
      </c>
      <c r="V45" s="1">
        <f>ROUND(Table1[[#This Row],[fmpce]],0)</f>
        <v>1200</v>
      </c>
      <c r="W45">
        <v>16.325597999999999</v>
      </c>
      <c r="X45" s="4">
        <f>Table1[[#This Row],[mpce]]*89</f>
        <v>1452.978222</v>
      </c>
      <c r="Y45" s="2" t="s">
        <v>24</v>
      </c>
      <c r="Z45" s="3">
        <f>VLOOKUP(Y45, rmpce_reference!$B$1:$D$7,3,FALSE) * 89</f>
        <v>2225</v>
      </c>
      <c r="AA45" s="1" t="str">
        <f>IF(Table1[rmpce_inr]&lt;=rmpce_reference!$F$2, "Low Income", IF(Table1[rmpce_inr]&lt;=rmpce_reference!$F$3, "Middle Income", "High Income"))</f>
        <v>Low Income</v>
      </c>
    </row>
    <row r="46" spans="1:27" x14ac:dyDescent="0.25">
      <c r="A46">
        <v>1045</v>
      </c>
      <c r="B46" t="s">
        <v>20</v>
      </c>
      <c r="C46" t="s">
        <v>21</v>
      </c>
      <c r="D46">
        <v>45</v>
      </c>
      <c r="E46" t="s">
        <v>22</v>
      </c>
      <c r="F46" t="s">
        <v>23</v>
      </c>
      <c r="G46">
        <v>10</v>
      </c>
      <c r="H46" s="1" t="str">
        <f>IF(Table1[[#This Row],[anxiety_score]]&lt;=10, "Normal", IF(Table1[[#This Row],[anxiety_score]]&lt;=20, "Moderate", IF(Table1[[#This Row],[anxiety_score]]&lt;=30, "Severe", "Extremely Severe")))</f>
        <v>Normal</v>
      </c>
      <c r="I46">
        <v>-8.1994660000000007E-3</v>
      </c>
      <c r="J46">
        <v>10</v>
      </c>
      <c r="K46" s="1" t="str">
        <f>IF(Table1[[#This Row],[stress_score]]&lt;=10, "Normal", IF(Table1[[#This Row],[stress_score]]&lt;=20, "Moderate", IF(Table1[[#This Row],[stress_score]]&lt;=30, "Severe", "Extremely Severe")))</f>
        <v>Normal</v>
      </c>
      <c r="L46">
        <v>-0.18916494</v>
      </c>
      <c r="M46">
        <v>18</v>
      </c>
      <c r="N46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46">
        <v>0.62490060000000003</v>
      </c>
      <c r="P46">
        <v>12.666667</v>
      </c>
      <c r="Q46">
        <f>ROUND(Table1[[#This Row],[dass21_raw_score]],0)</f>
        <v>13</v>
      </c>
      <c r="R46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46">
        <v>0.14251205</v>
      </c>
      <c r="T46">
        <v>1.237422</v>
      </c>
      <c r="U46">
        <v>5000</v>
      </c>
      <c r="V46" s="1">
        <f>ROUND(Table1[[#This Row],[fmpce]],0)</f>
        <v>5000</v>
      </c>
      <c r="W46">
        <v>68.023319999999998</v>
      </c>
      <c r="X46" s="4">
        <f>Table1[[#This Row],[mpce]]*89</f>
        <v>6054.0754799999995</v>
      </c>
      <c r="Y46" s="2" t="s">
        <v>28</v>
      </c>
      <c r="Z46" s="3">
        <f>VLOOKUP(Y46, rmpce_reference!$B$1:$D$7,3,FALSE) * 89</f>
        <v>6230</v>
      </c>
      <c r="AA46" s="1" t="str">
        <f>IF(Table1[rmpce_inr]&lt;=rmpce_reference!$F$2, "Low Income", IF(Table1[rmpce_inr]&lt;=rmpce_reference!$F$3, "Middle Income", "High Income"))</f>
        <v>Middle Income</v>
      </c>
    </row>
    <row r="47" spans="1:27" x14ac:dyDescent="0.25">
      <c r="A47">
        <v>1046</v>
      </c>
      <c r="B47" t="s">
        <v>20</v>
      </c>
      <c r="C47" t="s">
        <v>29</v>
      </c>
      <c r="D47">
        <v>33</v>
      </c>
      <c r="E47" t="s">
        <v>25</v>
      </c>
      <c r="F47" t="s">
        <v>30</v>
      </c>
      <c r="G47">
        <v>6</v>
      </c>
      <c r="H47" s="1" t="str">
        <f>IF(Table1[[#This Row],[anxiety_score]]&lt;=10, "Normal", IF(Table1[[#This Row],[anxiety_score]]&lt;=20, "Moderate", IF(Table1[[#This Row],[anxiety_score]]&lt;=30, "Severe", "Extremely Severe")))</f>
        <v>Normal</v>
      </c>
      <c r="I47">
        <v>-0.41028870000000001</v>
      </c>
      <c r="J47">
        <v>18</v>
      </c>
      <c r="K47" s="1" t="str">
        <f>IF(Table1[[#This Row],[stress_score]]&lt;=10, "Normal", IF(Table1[[#This Row],[stress_score]]&lt;=20, "Moderate", IF(Table1[[#This Row],[stress_score]]&lt;=30, "Severe", "Extremely Severe")))</f>
        <v>Moderate</v>
      </c>
      <c r="L47">
        <v>0.58948003999999998</v>
      </c>
      <c r="M47">
        <v>12</v>
      </c>
      <c r="N47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47">
        <v>4.6988415999999998E-2</v>
      </c>
      <c r="P47">
        <v>12</v>
      </c>
      <c r="Q47">
        <f>ROUND(Table1[[#This Row],[dass21_raw_score]],0)</f>
        <v>12</v>
      </c>
      <c r="R47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47">
        <v>7.5393260000000004E-2</v>
      </c>
      <c r="T47">
        <v>1.1703030999999999</v>
      </c>
      <c r="U47">
        <v>1250</v>
      </c>
      <c r="V47" s="1">
        <f>ROUND(Table1[[#This Row],[fmpce]],0)</f>
        <v>1250</v>
      </c>
      <c r="W47">
        <v>17.00583</v>
      </c>
      <c r="X47" s="4">
        <f>Table1[[#This Row],[mpce]]*89</f>
        <v>1513.5188699999999</v>
      </c>
      <c r="Y47" s="2" t="s">
        <v>24</v>
      </c>
      <c r="Z47" s="3">
        <f>VLOOKUP(Y47, rmpce_reference!$B$1:$D$7,3,FALSE) * 89</f>
        <v>2225</v>
      </c>
      <c r="AA47" s="1" t="str">
        <f>IF(Table1[rmpce_inr]&lt;=rmpce_reference!$F$2, "Low Income", IF(Table1[rmpce_inr]&lt;=rmpce_reference!$F$3, "Middle Income", "High Income"))</f>
        <v>Low Income</v>
      </c>
    </row>
    <row r="48" spans="1:27" x14ac:dyDescent="0.25">
      <c r="A48">
        <v>1047</v>
      </c>
      <c r="B48" t="s">
        <v>20</v>
      </c>
      <c r="C48" t="s">
        <v>29</v>
      </c>
      <c r="D48">
        <v>33</v>
      </c>
      <c r="E48" t="s">
        <v>25</v>
      </c>
      <c r="F48" t="s">
        <v>26</v>
      </c>
      <c r="G48">
        <v>4</v>
      </c>
      <c r="H48" s="1" t="str">
        <f>IF(Table1[[#This Row],[anxiety_score]]&lt;=10, "Normal", IF(Table1[[#This Row],[anxiety_score]]&lt;=20, "Moderate", IF(Table1[[#This Row],[anxiety_score]]&lt;=30, "Severe", "Extremely Severe")))</f>
        <v>Normal</v>
      </c>
      <c r="I48">
        <v>-0.61133329999999997</v>
      </c>
      <c r="J48">
        <v>4</v>
      </c>
      <c r="K48" s="1" t="str">
        <f>IF(Table1[[#This Row],[stress_score]]&lt;=10, "Normal", IF(Table1[[#This Row],[stress_score]]&lt;=20, "Moderate", IF(Table1[[#This Row],[stress_score]]&lt;=30, "Severe", "Extremely Severe")))</f>
        <v>Normal</v>
      </c>
      <c r="L48">
        <v>-0.77314866000000004</v>
      </c>
      <c r="M48">
        <v>4</v>
      </c>
      <c r="N48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48">
        <v>-0.72356116999999998</v>
      </c>
      <c r="P48">
        <v>4</v>
      </c>
      <c r="Q48">
        <f>ROUND(Table1[[#This Row],[dass21_raw_score]],0)</f>
        <v>4</v>
      </c>
      <c r="R48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48">
        <v>-0.70268105999999997</v>
      </c>
      <c r="T48">
        <v>0.39222884000000002</v>
      </c>
      <c r="U48">
        <v>1666.6666</v>
      </c>
      <c r="V48" s="1">
        <f>ROUND(Table1[[#This Row],[fmpce]],0)</f>
        <v>1667</v>
      </c>
      <c r="W48">
        <v>22.674440000000001</v>
      </c>
      <c r="X48" s="4">
        <f>Table1[[#This Row],[mpce]]*89</f>
        <v>2018.0251600000001</v>
      </c>
      <c r="Y48" s="2" t="s">
        <v>24</v>
      </c>
      <c r="Z48" s="3">
        <f>VLOOKUP(Y48, rmpce_reference!$B$1:$D$7,3,FALSE) * 89</f>
        <v>2225</v>
      </c>
      <c r="AA48" s="1" t="str">
        <f>IF(Table1[rmpce_inr]&lt;=rmpce_reference!$F$2, "Low Income", IF(Table1[rmpce_inr]&lt;=rmpce_reference!$F$3, "Middle Income", "High Income"))</f>
        <v>Low Income</v>
      </c>
    </row>
    <row r="49" spans="1:27" x14ac:dyDescent="0.25">
      <c r="A49">
        <v>1048</v>
      </c>
      <c r="B49" t="s">
        <v>20</v>
      </c>
      <c r="C49" t="s">
        <v>33</v>
      </c>
      <c r="D49">
        <v>28</v>
      </c>
      <c r="E49" t="s">
        <v>25</v>
      </c>
      <c r="F49" t="s">
        <v>23</v>
      </c>
      <c r="G49">
        <v>4</v>
      </c>
      <c r="H49" s="1" t="str">
        <f>IF(Table1[[#This Row],[anxiety_score]]&lt;=10, "Normal", IF(Table1[[#This Row],[anxiety_score]]&lt;=20, "Moderate", IF(Table1[[#This Row],[anxiety_score]]&lt;=30, "Severe", "Extremely Severe")))</f>
        <v>Normal</v>
      </c>
      <c r="I49">
        <v>-0.61133329999999997</v>
      </c>
      <c r="J49">
        <v>8</v>
      </c>
      <c r="K49" s="1" t="str">
        <f>IF(Table1[[#This Row],[stress_score]]&lt;=10, "Normal", IF(Table1[[#This Row],[stress_score]]&lt;=20, "Moderate", IF(Table1[[#This Row],[stress_score]]&lt;=30, "Severe", "Extremely Severe")))</f>
        <v>Normal</v>
      </c>
      <c r="L49">
        <v>-0.38382620000000001</v>
      </c>
      <c r="M49">
        <v>0</v>
      </c>
      <c r="N49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49">
        <v>-1.1088359000000001</v>
      </c>
      <c r="P49">
        <v>4</v>
      </c>
      <c r="Q49">
        <f>ROUND(Table1[[#This Row],[dass21_raw_score]],0)</f>
        <v>4</v>
      </c>
      <c r="R49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49">
        <v>-0.70133179999999995</v>
      </c>
      <c r="T49">
        <v>0.39357809999999999</v>
      </c>
      <c r="U49">
        <v>1750</v>
      </c>
      <c r="V49" s="1">
        <f>ROUND(Table1[[#This Row],[fmpce]],0)</f>
        <v>1750</v>
      </c>
      <c r="W49">
        <v>23.808163</v>
      </c>
      <c r="X49" s="4">
        <f>Table1[[#This Row],[mpce]]*89</f>
        <v>2118.9265070000001</v>
      </c>
      <c r="Y49" s="2" t="s">
        <v>24</v>
      </c>
      <c r="Z49" s="3">
        <f>VLOOKUP(Y49, rmpce_reference!$B$1:$D$7,3,FALSE) * 89</f>
        <v>2225</v>
      </c>
      <c r="AA49" s="1" t="str">
        <f>IF(Table1[rmpce_inr]&lt;=rmpce_reference!$F$2, "Low Income", IF(Table1[rmpce_inr]&lt;=rmpce_reference!$F$3, "Middle Income", "High Income"))</f>
        <v>Low Income</v>
      </c>
    </row>
    <row r="50" spans="1:27" x14ac:dyDescent="0.25">
      <c r="A50">
        <v>1049</v>
      </c>
      <c r="B50" t="s">
        <v>20</v>
      </c>
      <c r="C50" t="s">
        <v>21</v>
      </c>
      <c r="D50">
        <v>50</v>
      </c>
      <c r="E50" t="s">
        <v>25</v>
      </c>
      <c r="F50" t="s">
        <v>26</v>
      </c>
      <c r="G50">
        <v>2</v>
      </c>
      <c r="H50" s="1" t="str">
        <f>IF(Table1[[#This Row],[anxiety_score]]&lt;=10, "Normal", IF(Table1[[#This Row],[anxiety_score]]&lt;=20, "Moderate", IF(Table1[[#This Row],[anxiety_score]]&lt;=30, "Severe", "Extremely Severe")))</f>
        <v>Normal</v>
      </c>
      <c r="I50">
        <v>-0.81237789999999999</v>
      </c>
      <c r="J50">
        <v>8</v>
      </c>
      <c r="K50" s="1" t="str">
        <f>IF(Table1[[#This Row],[stress_score]]&lt;=10, "Normal", IF(Table1[[#This Row],[stress_score]]&lt;=20, "Moderate", IF(Table1[[#This Row],[stress_score]]&lt;=30, "Severe", "Extremely Severe")))</f>
        <v>Normal</v>
      </c>
      <c r="L50">
        <v>-0.38382620000000001</v>
      </c>
      <c r="M50">
        <v>0</v>
      </c>
      <c r="N50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50">
        <v>-1.1088359000000001</v>
      </c>
      <c r="P50">
        <v>3.3333333000000001</v>
      </c>
      <c r="Q50">
        <f>ROUND(Table1[[#This Row],[dass21_raw_score]],0)</f>
        <v>3</v>
      </c>
      <c r="R50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50">
        <v>-0.76834667000000001</v>
      </c>
      <c r="T50">
        <v>0.32656323999999998</v>
      </c>
      <c r="U50">
        <v>1500</v>
      </c>
      <c r="V50" s="1">
        <f>ROUND(Table1[[#This Row],[fmpce]],0)</f>
        <v>1500</v>
      </c>
      <c r="W50">
        <v>20.406998000000002</v>
      </c>
      <c r="X50" s="4">
        <f>Table1[[#This Row],[mpce]]*89</f>
        <v>1816.2228220000002</v>
      </c>
      <c r="Y50" s="2" t="s">
        <v>24</v>
      </c>
      <c r="Z50" s="3">
        <f>VLOOKUP(Y50, rmpce_reference!$B$1:$D$7,3,FALSE) * 89</f>
        <v>2225</v>
      </c>
      <c r="AA50" s="1" t="str">
        <f>IF(Table1[rmpce_inr]&lt;=rmpce_reference!$F$2, "Low Income", IF(Table1[rmpce_inr]&lt;=rmpce_reference!$F$3, "Middle Income", "High Income"))</f>
        <v>Low Income</v>
      </c>
    </row>
    <row r="51" spans="1:27" x14ac:dyDescent="0.25">
      <c r="A51">
        <v>1050</v>
      </c>
      <c r="B51" t="s">
        <v>20</v>
      </c>
      <c r="C51" t="s">
        <v>29</v>
      </c>
      <c r="D51">
        <v>35</v>
      </c>
      <c r="E51" t="s">
        <v>25</v>
      </c>
      <c r="F51" t="s">
        <v>23</v>
      </c>
      <c r="G51">
        <v>8</v>
      </c>
      <c r="H51" s="1" t="str">
        <f>IF(Table1[[#This Row],[anxiety_score]]&lt;=10, "Normal", IF(Table1[[#This Row],[anxiety_score]]&lt;=20, "Moderate", IF(Table1[[#This Row],[anxiety_score]]&lt;=30, "Severe", "Extremely Severe")))</f>
        <v>Normal</v>
      </c>
      <c r="I51">
        <v>-0.20924408999999999</v>
      </c>
      <c r="J51">
        <v>4</v>
      </c>
      <c r="K51" s="1" t="str">
        <f>IF(Table1[[#This Row],[stress_score]]&lt;=10, "Normal", IF(Table1[[#This Row],[stress_score]]&lt;=20, "Moderate", IF(Table1[[#This Row],[stress_score]]&lt;=30, "Severe", "Extremely Severe")))</f>
        <v>Normal</v>
      </c>
      <c r="L51">
        <v>-0.77314866000000004</v>
      </c>
      <c r="M51">
        <v>4</v>
      </c>
      <c r="N51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51">
        <v>-0.72356116999999998</v>
      </c>
      <c r="P51">
        <v>5.3333335000000002</v>
      </c>
      <c r="Q51">
        <f>ROUND(Table1[[#This Row],[dass21_raw_score]],0)</f>
        <v>5</v>
      </c>
      <c r="R51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51">
        <v>-0.56865129999999997</v>
      </c>
      <c r="T51">
        <v>0.52625860000000002</v>
      </c>
      <c r="U51">
        <v>1500</v>
      </c>
      <c r="V51" s="1">
        <f>ROUND(Table1[[#This Row],[fmpce]],0)</f>
        <v>1500</v>
      </c>
      <c r="W51">
        <v>20.406998000000002</v>
      </c>
      <c r="X51" s="4">
        <f>Table1[[#This Row],[mpce]]*89</f>
        <v>1816.2228220000002</v>
      </c>
      <c r="Y51" s="2" t="s">
        <v>24</v>
      </c>
      <c r="Z51" s="3">
        <f>VLOOKUP(Y51, rmpce_reference!$B$1:$D$7,3,FALSE) * 89</f>
        <v>2225</v>
      </c>
      <c r="AA51" s="1" t="str">
        <f>IF(Table1[rmpce_inr]&lt;=rmpce_reference!$F$2, "Low Income", IF(Table1[rmpce_inr]&lt;=rmpce_reference!$F$3, "Middle Income", "High Income"))</f>
        <v>Low Income</v>
      </c>
    </row>
    <row r="52" spans="1:27" x14ac:dyDescent="0.25">
      <c r="A52">
        <v>1051</v>
      </c>
      <c r="B52" t="s">
        <v>20</v>
      </c>
      <c r="C52" t="s">
        <v>29</v>
      </c>
      <c r="D52">
        <v>31</v>
      </c>
      <c r="E52" t="s">
        <v>25</v>
      </c>
      <c r="F52" t="s">
        <v>30</v>
      </c>
      <c r="G52">
        <v>6</v>
      </c>
      <c r="H52" s="1" t="str">
        <f>IF(Table1[[#This Row],[anxiety_score]]&lt;=10, "Normal", IF(Table1[[#This Row],[anxiety_score]]&lt;=20, "Moderate", IF(Table1[[#This Row],[anxiety_score]]&lt;=30, "Severe", "Extremely Severe")))</f>
        <v>Normal</v>
      </c>
      <c r="I52">
        <v>-0.41028870000000001</v>
      </c>
      <c r="J52">
        <v>10</v>
      </c>
      <c r="K52" s="1" t="str">
        <f>IF(Table1[[#This Row],[stress_score]]&lt;=10, "Normal", IF(Table1[[#This Row],[stress_score]]&lt;=20, "Moderate", IF(Table1[[#This Row],[stress_score]]&lt;=30, "Severe", "Extremely Severe")))</f>
        <v>Normal</v>
      </c>
      <c r="L52">
        <v>-0.18916494</v>
      </c>
      <c r="M52">
        <v>0</v>
      </c>
      <c r="N52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52">
        <v>-1.1088359000000001</v>
      </c>
      <c r="P52">
        <v>5.3333335000000002</v>
      </c>
      <c r="Q52">
        <f>ROUND(Table1[[#This Row],[dass21_raw_score]],0)</f>
        <v>5</v>
      </c>
      <c r="R52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52">
        <v>-0.56942990000000004</v>
      </c>
      <c r="T52">
        <v>0.52548002999999999</v>
      </c>
      <c r="U52">
        <v>1500</v>
      </c>
      <c r="V52" s="1">
        <f>ROUND(Table1[[#This Row],[fmpce]],0)</f>
        <v>1500</v>
      </c>
      <c r="W52">
        <v>20.406998000000002</v>
      </c>
      <c r="X52" s="4">
        <f>Table1[[#This Row],[mpce]]*89</f>
        <v>1816.2228220000002</v>
      </c>
      <c r="Y52" s="2" t="s">
        <v>24</v>
      </c>
      <c r="Z52" s="3">
        <f>VLOOKUP(Y52, rmpce_reference!$B$1:$D$7,3,FALSE) * 89</f>
        <v>2225</v>
      </c>
      <c r="AA52" s="1" t="str">
        <f>IF(Table1[rmpce_inr]&lt;=rmpce_reference!$F$2, "Low Income", IF(Table1[rmpce_inr]&lt;=rmpce_reference!$F$3, "Middle Income", "High Income"))</f>
        <v>Low Income</v>
      </c>
    </row>
    <row r="53" spans="1:27" x14ac:dyDescent="0.25">
      <c r="A53">
        <v>1052</v>
      </c>
      <c r="B53" t="s">
        <v>20</v>
      </c>
      <c r="C53" t="s">
        <v>33</v>
      </c>
      <c r="D53">
        <v>29</v>
      </c>
      <c r="E53" t="s">
        <v>25</v>
      </c>
      <c r="F53" t="s">
        <v>26</v>
      </c>
      <c r="G53">
        <v>4</v>
      </c>
      <c r="H53" s="1" t="str">
        <f>IF(Table1[[#This Row],[anxiety_score]]&lt;=10, "Normal", IF(Table1[[#This Row],[anxiety_score]]&lt;=20, "Moderate", IF(Table1[[#This Row],[anxiety_score]]&lt;=30, "Severe", "Extremely Severe")))</f>
        <v>Normal</v>
      </c>
      <c r="I53">
        <v>-0.61133329999999997</v>
      </c>
      <c r="J53">
        <v>4</v>
      </c>
      <c r="K53" s="1" t="str">
        <f>IF(Table1[[#This Row],[stress_score]]&lt;=10, "Normal", IF(Table1[[#This Row],[stress_score]]&lt;=20, "Moderate", IF(Table1[[#This Row],[stress_score]]&lt;=30, "Severe", "Extremely Severe")))</f>
        <v>Normal</v>
      </c>
      <c r="L53">
        <v>-0.77314866000000004</v>
      </c>
      <c r="M53">
        <v>0</v>
      </c>
      <c r="N53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53">
        <v>-1.1088359000000001</v>
      </c>
      <c r="P53">
        <v>2.6666666999999999</v>
      </c>
      <c r="Q53">
        <f>ROUND(Table1[[#This Row],[dass21_raw_score]],0)</f>
        <v>3</v>
      </c>
      <c r="R53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53">
        <v>-0.83110594999999998</v>
      </c>
      <c r="T53">
        <v>0.26380396</v>
      </c>
      <c r="U53">
        <v>1500</v>
      </c>
      <c r="V53" s="1">
        <f>ROUND(Table1[[#This Row],[fmpce]],0)</f>
        <v>1500</v>
      </c>
      <c r="W53">
        <v>20.406998000000002</v>
      </c>
      <c r="X53" s="4">
        <f>Table1[[#This Row],[mpce]]*89</f>
        <v>1816.2228220000002</v>
      </c>
      <c r="Y53" s="2" t="s">
        <v>24</v>
      </c>
      <c r="Z53" s="3">
        <f>VLOOKUP(Y53, rmpce_reference!$B$1:$D$7,3,FALSE) * 89</f>
        <v>2225</v>
      </c>
      <c r="AA53" s="1" t="str">
        <f>IF(Table1[rmpce_inr]&lt;=rmpce_reference!$F$2, "Low Income", IF(Table1[rmpce_inr]&lt;=rmpce_reference!$F$3, "Middle Income", "High Income"))</f>
        <v>Low Income</v>
      </c>
    </row>
    <row r="54" spans="1:27" x14ac:dyDescent="0.25">
      <c r="A54">
        <v>1053</v>
      </c>
      <c r="B54" t="s">
        <v>20</v>
      </c>
      <c r="C54" t="s">
        <v>33</v>
      </c>
      <c r="D54">
        <v>28</v>
      </c>
      <c r="E54" t="s">
        <v>25</v>
      </c>
      <c r="F54" t="s">
        <v>26</v>
      </c>
      <c r="G54">
        <v>4</v>
      </c>
      <c r="H54" s="1" t="str">
        <f>IF(Table1[[#This Row],[anxiety_score]]&lt;=10, "Normal", IF(Table1[[#This Row],[anxiety_score]]&lt;=20, "Moderate", IF(Table1[[#This Row],[anxiety_score]]&lt;=30, "Severe", "Extremely Severe")))</f>
        <v>Normal</v>
      </c>
      <c r="I54">
        <v>-0.61133329999999997</v>
      </c>
      <c r="J54">
        <v>6</v>
      </c>
      <c r="K54" s="1" t="str">
        <f>IF(Table1[[#This Row],[stress_score]]&lt;=10, "Normal", IF(Table1[[#This Row],[stress_score]]&lt;=20, "Moderate", IF(Table1[[#This Row],[stress_score]]&lt;=30, "Severe", "Extremely Severe")))</f>
        <v>Normal</v>
      </c>
      <c r="L54">
        <v>-0.57848745999999995</v>
      </c>
      <c r="M54">
        <v>0</v>
      </c>
      <c r="N54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54">
        <v>-1.1088359000000001</v>
      </c>
      <c r="P54">
        <v>3.3333333000000001</v>
      </c>
      <c r="Q54">
        <f>ROUND(Table1[[#This Row],[dass21_raw_score]],0)</f>
        <v>3</v>
      </c>
      <c r="R54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54">
        <v>-0.76621890000000004</v>
      </c>
      <c r="T54">
        <v>0.32869100000000001</v>
      </c>
      <c r="U54">
        <v>1500</v>
      </c>
      <c r="V54" s="1">
        <f>ROUND(Table1[[#This Row],[fmpce]],0)</f>
        <v>1500</v>
      </c>
      <c r="W54">
        <v>20.406998000000002</v>
      </c>
      <c r="X54" s="4">
        <f>Table1[[#This Row],[mpce]]*89</f>
        <v>1816.2228220000002</v>
      </c>
      <c r="Y54" s="2" t="s">
        <v>24</v>
      </c>
      <c r="Z54" s="3">
        <f>VLOOKUP(Y54, rmpce_reference!$B$1:$D$7,3,FALSE) * 89</f>
        <v>2225</v>
      </c>
      <c r="AA54" s="1" t="str">
        <f>IF(Table1[rmpce_inr]&lt;=rmpce_reference!$F$2, "Low Income", IF(Table1[rmpce_inr]&lt;=rmpce_reference!$F$3, "Middle Income", "High Income"))</f>
        <v>Low Income</v>
      </c>
    </row>
    <row r="55" spans="1:27" x14ac:dyDescent="0.25">
      <c r="A55">
        <v>1054</v>
      </c>
      <c r="B55" t="s">
        <v>20</v>
      </c>
      <c r="C55" t="s">
        <v>36</v>
      </c>
      <c r="D55">
        <v>53</v>
      </c>
      <c r="E55" t="s">
        <v>25</v>
      </c>
      <c r="F55" t="s">
        <v>26</v>
      </c>
      <c r="G55">
        <v>2</v>
      </c>
      <c r="H55" s="1" t="str">
        <f>IF(Table1[[#This Row],[anxiety_score]]&lt;=10, "Normal", IF(Table1[[#This Row],[anxiety_score]]&lt;=20, "Moderate", IF(Table1[[#This Row],[anxiety_score]]&lt;=30, "Severe", "Extremely Severe")))</f>
        <v>Normal</v>
      </c>
      <c r="I55">
        <v>-0.81237789999999999</v>
      </c>
      <c r="J55">
        <v>6</v>
      </c>
      <c r="K55" s="1" t="str">
        <f>IF(Table1[[#This Row],[stress_score]]&lt;=10, "Normal", IF(Table1[[#This Row],[stress_score]]&lt;=20, "Moderate", IF(Table1[[#This Row],[stress_score]]&lt;=30, "Severe", "Extremely Severe")))</f>
        <v>Normal</v>
      </c>
      <c r="L55">
        <v>-0.57848745999999995</v>
      </c>
      <c r="M55">
        <v>2</v>
      </c>
      <c r="N55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55">
        <v>-0.91619854999999994</v>
      </c>
      <c r="P55">
        <v>3.3333333000000001</v>
      </c>
      <c r="Q55">
        <f>ROUND(Table1[[#This Row],[dass21_raw_score]],0)</f>
        <v>3</v>
      </c>
      <c r="R55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55">
        <v>-0.76902132999999995</v>
      </c>
      <c r="T55">
        <v>0.32588856999999999</v>
      </c>
      <c r="U55">
        <v>2000</v>
      </c>
      <c r="V55" s="1">
        <f>ROUND(Table1[[#This Row],[fmpce]],0)</f>
        <v>2000</v>
      </c>
      <c r="W55">
        <v>27.209330000000001</v>
      </c>
      <c r="X55" s="4">
        <f>Table1[[#This Row],[mpce]]*89</f>
        <v>2421.6303700000003</v>
      </c>
      <c r="Y55" s="2" t="s">
        <v>34</v>
      </c>
      <c r="Z55" s="3">
        <f>VLOOKUP(Y55, rmpce_reference!$B$1:$D$7,3,FALSE) * 89</f>
        <v>2848</v>
      </c>
      <c r="AA55" s="1" t="str">
        <f>IF(Table1[rmpce_inr]&lt;=rmpce_reference!$F$2, "Low Income", IF(Table1[rmpce_inr]&lt;=rmpce_reference!$F$3, "Middle Income", "High Income"))</f>
        <v>Low Income</v>
      </c>
    </row>
    <row r="56" spans="1:27" x14ac:dyDescent="0.25">
      <c r="A56">
        <v>1055</v>
      </c>
      <c r="B56" t="s">
        <v>20</v>
      </c>
      <c r="C56" t="s">
        <v>29</v>
      </c>
      <c r="D56">
        <v>37</v>
      </c>
      <c r="E56" t="s">
        <v>25</v>
      </c>
      <c r="F56" t="s">
        <v>26</v>
      </c>
      <c r="G56">
        <v>6</v>
      </c>
      <c r="H56" s="1" t="str">
        <f>IF(Table1[[#This Row],[anxiety_score]]&lt;=10, "Normal", IF(Table1[[#This Row],[anxiety_score]]&lt;=20, "Moderate", IF(Table1[[#This Row],[anxiety_score]]&lt;=30, "Severe", "Extremely Severe")))</f>
        <v>Normal</v>
      </c>
      <c r="I56">
        <v>-0.41028870000000001</v>
      </c>
      <c r="J56">
        <v>4</v>
      </c>
      <c r="K56" s="1" t="str">
        <f>IF(Table1[[#This Row],[stress_score]]&lt;=10, "Normal", IF(Table1[[#This Row],[stress_score]]&lt;=20, "Moderate", IF(Table1[[#This Row],[stress_score]]&lt;=30, "Severe", "Extremely Severe")))</f>
        <v>Normal</v>
      </c>
      <c r="L56">
        <v>-0.77314866000000004</v>
      </c>
      <c r="M56">
        <v>4</v>
      </c>
      <c r="N56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56">
        <v>-0.72356116999999998</v>
      </c>
      <c r="P56">
        <v>4.6666664999999998</v>
      </c>
      <c r="Q56">
        <f>ROUND(Table1[[#This Row],[dass21_raw_score]],0)</f>
        <v>5</v>
      </c>
      <c r="R56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56">
        <v>-0.63566619999999996</v>
      </c>
      <c r="T56">
        <v>0.45924369999999998</v>
      </c>
      <c r="U56">
        <v>1666.6666</v>
      </c>
      <c r="V56" s="1">
        <f>ROUND(Table1[[#This Row],[fmpce]],0)</f>
        <v>1667</v>
      </c>
      <c r="W56">
        <v>22.674440000000001</v>
      </c>
      <c r="X56" s="4">
        <f>Table1[[#This Row],[mpce]]*89</f>
        <v>2018.0251600000001</v>
      </c>
      <c r="Y56" s="2" t="s">
        <v>24</v>
      </c>
      <c r="Z56" s="3">
        <f>VLOOKUP(Y56, rmpce_reference!$B$1:$D$7,3,FALSE) * 89</f>
        <v>2225</v>
      </c>
      <c r="AA56" s="1" t="str">
        <f>IF(Table1[rmpce_inr]&lt;=rmpce_reference!$F$2, "Low Income", IF(Table1[rmpce_inr]&lt;=rmpce_reference!$F$3, "Middle Income", "High Income"))</f>
        <v>Low Income</v>
      </c>
    </row>
    <row r="57" spans="1:27" x14ac:dyDescent="0.25">
      <c r="A57">
        <v>1056</v>
      </c>
      <c r="B57" t="s">
        <v>20</v>
      </c>
      <c r="C57" t="s">
        <v>29</v>
      </c>
      <c r="D57">
        <v>38</v>
      </c>
      <c r="E57" t="s">
        <v>22</v>
      </c>
      <c r="F57" t="s">
        <v>23</v>
      </c>
      <c r="G57">
        <v>10</v>
      </c>
      <c r="H57" s="1" t="str">
        <f>IF(Table1[[#This Row],[anxiety_score]]&lt;=10, "Normal", IF(Table1[[#This Row],[anxiety_score]]&lt;=20, "Moderate", IF(Table1[[#This Row],[anxiety_score]]&lt;=30, "Severe", "Extremely Severe")))</f>
        <v>Normal</v>
      </c>
      <c r="I57">
        <v>-8.1994660000000007E-3</v>
      </c>
      <c r="J57">
        <v>6</v>
      </c>
      <c r="K57" s="1" t="str">
        <f>IF(Table1[[#This Row],[stress_score]]&lt;=10, "Normal", IF(Table1[[#This Row],[stress_score]]&lt;=20, "Moderate", IF(Table1[[#This Row],[stress_score]]&lt;=30, "Severe", "Extremely Severe")))</f>
        <v>Normal</v>
      </c>
      <c r="L57">
        <v>-0.57848745999999995</v>
      </c>
      <c r="M57">
        <v>6</v>
      </c>
      <c r="N57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57">
        <v>-0.53092379999999995</v>
      </c>
      <c r="P57">
        <v>7.3333335000000002</v>
      </c>
      <c r="Q57">
        <f>ROUND(Table1[[#This Row],[dass21_raw_score]],0)</f>
        <v>7</v>
      </c>
      <c r="R57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57">
        <v>-0.3725369</v>
      </c>
      <c r="T57">
        <v>0.72237300000000004</v>
      </c>
      <c r="U57">
        <v>1333.3334</v>
      </c>
      <c r="V57" s="1">
        <f>ROUND(Table1[[#This Row],[fmpce]],0)</f>
        <v>1333</v>
      </c>
      <c r="W57">
        <v>18.139552999999999</v>
      </c>
      <c r="X57" s="4">
        <f>Table1[[#This Row],[mpce]]*89</f>
        <v>1614.4202169999999</v>
      </c>
      <c r="Y57" s="2" t="s">
        <v>24</v>
      </c>
      <c r="Z57" s="3">
        <f>VLOOKUP(Y57, rmpce_reference!$B$1:$D$7,3,FALSE) * 89</f>
        <v>2225</v>
      </c>
      <c r="AA57" s="1" t="str">
        <f>IF(Table1[rmpce_inr]&lt;=rmpce_reference!$F$2, "Low Income", IF(Table1[rmpce_inr]&lt;=rmpce_reference!$F$3, "Middle Income", "High Income"))</f>
        <v>Low Income</v>
      </c>
    </row>
    <row r="58" spans="1:27" x14ac:dyDescent="0.25">
      <c r="A58">
        <v>1057</v>
      </c>
      <c r="B58" t="s">
        <v>20</v>
      </c>
      <c r="C58" t="s">
        <v>29</v>
      </c>
      <c r="D58">
        <v>35</v>
      </c>
      <c r="E58" t="s">
        <v>25</v>
      </c>
      <c r="F58" t="s">
        <v>26</v>
      </c>
      <c r="G58">
        <v>6</v>
      </c>
      <c r="H58" s="1" t="str">
        <f>IF(Table1[[#This Row],[anxiety_score]]&lt;=10, "Normal", IF(Table1[[#This Row],[anxiety_score]]&lt;=20, "Moderate", IF(Table1[[#This Row],[anxiety_score]]&lt;=30, "Severe", "Extremely Severe")))</f>
        <v>Normal</v>
      </c>
      <c r="I58">
        <v>-0.41028870000000001</v>
      </c>
      <c r="J58">
        <v>4</v>
      </c>
      <c r="K58" s="1" t="str">
        <f>IF(Table1[[#This Row],[stress_score]]&lt;=10, "Normal", IF(Table1[[#This Row],[stress_score]]&lt;=20, "Moderate", IF(Table1[[#This Row],[stress_score]]&lt;=30, "Severe", "Extremely Severe")))</f>
        <v>Normal</v>
      </c>
      <c r="L58">
        <v>-0.77314866000000004</v>
      </c>
      <c r="M58">
        <v>4</v>
      </c>
      <c r="N58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58">
        <v>-0.72356116999999998</v>
      </c>
      <c r="P58">
        <v>4.6666664999999998</v>
      </c>
      <c r="Q58">
        <f>ROUND(Table1[[#This Row],[dass21_raw_score]],0)</f>
        <v>5</v>
      </c>
      <c r="R58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58">
        <v>-0.63566619999999996</v>
      </c>
      <c r="T58">
        <v>0.45924369999999998</v>
      </c>
      <c r="U58">
        <v>5000</v>
      </c>
      <c r="V58" s="1">
        <f>ROUND(Table1[[#This Row],[fmpce]],0)</f>
        <v>5000</v>
      </c>
      <c r="W58">
        <v>68.023319999999998</v>
      </c>
      <c r="X58" s="4">
        <f>Table1[[#This Row],[mpce]]*89</f>
        <v>6054.0754799999995</v>
      </c>
      <c r="Y58" s="2" t="s">
        <v>28</v>
      </c>
      <c r="Z58" s="3">
        <f>VLOOKUP(Y58, rmpce_reference!$B$1:$D$7,3,FALSE) * 89</f>
        <v>6230</v>
      </c>
      <c r="AA58" s="1" t="str">
        <f>IF(Table1[rmpce_inr]&lt;=rmpce_reference!$F$2, "Low Income", IF(Table1[rmpce_inr]&lt;=rmpce_reference!$F$3, "Middle Income", "High Income"))</f>
        <v>Middle Income</v>
      </c>
    </row>
    <row r="59" spans="1:27" x14ac:dyDescent="0.25">
      <c r="A59">
        <v>1058</v>
      </c>
      <c r="B59" t="s">
        <v>20</v>
      </c>
      <c r="C59" t="s">
        <v>29</v>
      </c>
      <c r="D59">
        <v>40</v>
      </c>
      <c r="E59" t="s">
        <v>25</v>
      </c>
      <c r="F59" t="s">
        <v>26</v>
      </c>
      <c r="G59">
        <v>6</v>
      </c>
      <c r="H59" s="1" t="str">
        <f>IF(Table1[[#This Row],[anxiety_score]]&lt;=10, "Normal", IF(Table1[[#This Row],[anxiety_score]]&lt;=20, "Moderate", IF(Table1[[#This Row],[anxiety_score]]&lt;=30, "Severe", "Extremely Severe")))</f>
        <v>Normal</v>
      </c>
      <c r="I59">
        <v>-0.41028870000000001</v>
      </c>
      <c r="J59">
        <v>4</v>
      </c>
      <c r="K59" s="1" t="str">
        <f>IF(Table1[[#This Row],[stress_score]]&lt;=10, "Normal", IF(Table1[[#This Row],[stress_score]]&lt;=20, "Moderate", IF(Table1[[#This Row],[stress_score]]&lt;=30, "Severe", "Extremely Severe")))</f>
        <v>Normal</v>
      </c>
      <c r="L59">
        <v>-0.77314866000000004</v>
      </c>
      <c r="M59">
        <v>0</v>
      </c>
      <c r="N59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59">
        <v>-1.1088359000000001</v>
      </c>
      <c r="P59">
        <v>3.3333333000000001</v>
      </c>
      <c r="Q59">
        <f>ROUND(Table1[[#This Row],[dass21_raw_score]],0)</f>
        <v>3</v>
      </c>
      <c r="R59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59">
        <v>-0.76409110000000002</v>
      </c>
      <c r="T59">
        <v>0.33081883000000001</v>
      </c>
      <c r="U59">
        <v>9500</v>
      </c>
      <c r="V59" s="1">
        <f>ROUND(Table1[[#This Row],[fmpce]],0)</f>
        <v>9500</v>
      </c>
      <c r="W59">
        <v>129.24431000000001</v>
      </c>
      <c r="X59" s="4">
        <f>Table1[[#This Row],[mpce]]*89</f>
        <v>11502.743590000002</v>
      </c>
      <c r="Y59" s="2" t="s">
        <v>35</v>
      </c>
      <c r="Z59" s="3">
        <f>VLOOKUP(Y59, rmpce_reference!$B$1:$D$7,3,FALSE) * 89</f>
        <v>9790</v>
      </c>
      <c r="AA59" s="1" t="str">
        <f>IF(Table1[rmpce_inr]&lt;=rmpce_reference!$F$2, "Low Income", IF(Table1[rmpce_inr]&lt;=rmpce_reference!$F$3, "Middle Income", "High Income"))</f>
        <v>High Income</v>
      </c>
    </row>
    <row r="60" spans="1:27" x14ac:dyDescent="0.25">
      <c r="A60">
        <v>1059</v>
      </c>
      <c r="B60" t="s">
        <v>20</v>
      </c>
      <c r="C60" t="s">
        <v>33</v>
      </c>
      <c r="D60">
        <v>30</v>
      </c>
      <c r="E60" t="s">
        <v>25</v>
      </c>
      <c r="F60" t="s">
        <v>30</v>
      </c>
      <c r="G60">
        <v>4</v>
      </c>
      <c r="H60" s="1" t="str">
        <f>IF(Table1[[#This Row],[anxiety_score]]&lt;=10, "Normal", IF(Table1[[#This Row],[anxiety_score]]&lt;=20, "Moderate", IF(Table1[[#This Row],[anxiety_score]]&lt;=30, "Severe", "Extremely Severe")))</f>
        <v>Normal</v>
      </c>
      <c r="I60">
        <v>-0.61133329999999997</v>
      </c>
      <c r="J60">
        <v>8</v>
      </c>
      <c r="K60" s="1" t="str">
        <f>IF(Table1[[#This Row],[stress_score]]&lt;=10, "Normal", IF(Table1[[#This Row],[stress_score]]&lt;=20, "Moderate", IF(Table1[[#This Row],[stress_score]]&lt;=30, "Severe", "Extremely Severe")))</f>
        <v>Normal</v>
      </c>
      <c r="L60">
        <v>-0.38382620000000001</v>
      </c>
      <c r="M60">
        <v>4</v>
      </c>
      <c r="N60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60">
        <v>-0.72356116999999998</v>
      </c>
      <c r="P60">
        <v>5.3333335000000002</v>
      </c>
      <c r="Q60">
        <f>ROUND(Table1[[#This Row],[dass21_raw_score]],0)</f>
        <v>5</v>
      </c>
      <c r="R60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60">
        <v>-0.5729069</v>
      </c>
      <c r="T60">
        <v>0.52200299999999999</v>
      </c>
      <c r="U60">
        <v>8333.3330000000005</v>
      </c>
      <c r="V60" s="1">
        <f>ROUND(Table1[[#This Row],[fmpce]],0)</f>
        <v>8333</v>
      </c>
      <c r="W60">
        <v>113.37220000000001</v>
      </c>
      <c r="X60" s="4">
        <f>Table1[[#This Row],[mpce]]*89</f>
        <v>10090.1258</v>
      </c>
      <c r="Y60" s="2" t="s">
        <v>35</v>
      </c>
      <c r="Z60" s="3">
        <f>VLOOKUP(Y60, rmpce_reference!$B$1:$D$7,3,FALSE) * 89</f>
        <v>9790</v>
      </c>
      <c r="AA60" s="1" t="str">
        <f>IF(Table1[rmpce_inr]&lt;=rmpce_reference!$F$2, "Low Income", IF(Table1[rmpce_inr]&lt;=rmpce_reference!$F$3, "Middle Income", "High Income"))</f>
        <v>High Income</v>
      </c>
    </row>
    <row r="61" spans="1:27" x14ac:dyDescent="0.25">
      <c r="A61">
        <v>1060</v>
      </c>
      <c r="B61" t="s">
        <v>20</v>
      </c>
      <c r="C61" t="s">
        <v>33</v>
      </c>
      <c r="D61">
        <v>28</v>
      </c>
      <c r="E61" t="s">
        <v>25</v>
      </c>
      <c r="F61" t="s">
        <v>26</v>
      </c>
      <c r="G61">
        <v>4</v>
      </c>
      <c r="H61" s="1" t="str">
        <f>IF(Table1[[#This Row],[anxiety_score]]&lt;=10, "Normal", IF(Table1[[#This Row],[anxiety_score]]&lt;=20, "Moderate", IF(Table1[[#This Row],[anxiety_score]]&lt;=30, "Severe", "Extremely Severe")))</f>
        <v>Normal</v>
      </c>
      <c r="I61">
        <v>-0.61133329999999997</v>
      </c>
      <c r="J61">
        <v>6</v>
      </c>
      <c r="K61" s="1" t="str">
        <f>IF(Table1[[#This Row],[stress_score]]&lt;=10, "Normal", IF(Table1[[#This Row],[stress_score]]&lt;=20, "Moderate", IF(Table1[[#This Row],[stress_score]]&lt;=30, "Severe", "Extremely Severe")))</f>
        <v>Normal</v>
      </c>
      <c r="L61">
        <v>-0.57848745999999995</v>
      </c>
      <c r="M61">
        <v>0</v>
      </c>
      <c r="N61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61">
        <v>-1.1088359000000001</v>
      </c>
      <c r="P61">
        <v>3.3333333000000001</v>
      </c>
      <c r="Q61">
        <f>ROUND(Table1[[#This Row],[dass21_raw_score]],0)</f>
        <v>3</v>
      </c>
      <c r="R61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61">
        <v>-0.76621890000000004</v>
      </c>
      <c r="T61">
        <v>0.32869100000000001</v>
      </c>
      <c r="U61">
        <v>5000</v>
      </c>
      <c r="V61" s="1">
        <f>ROUND(Table1[[#This Row],[fmpce]],0)</f>
        <v>5000</v>
      </c>
      <c r="W61">
        <v>68.023319999999998</v>
      </c>
      <c r="X61" s="4">
        <f>Table1[[#This Row],[mpce]]*89</f>
        <v>6054.0754799999995</v>
      </c>
      <c r="Y61" s="2" t="s">
        <v>28</v>
      </c>
      <c r="Z61" s="3">
        <f>VLOOKUP(Y61, rmpce_reference!$B$1:$D$7,3,FALSE) * 89</f>
        <v>6230</v>
      </c>
      <c r="AA61" s="1" t="str">
        <f>IF(Table1[rmpce_inr]&lt;=rmpce_reference!$F$2, "Low Income", IF(Table1[rmpce_inr]&lt;=rmpce_reference!$F$3, "Middle Income", "High Income"))</f>
        <v>Middle Income</v>
      </c>
    </row>
    <row r="62" spans="1:27" x14ac:dyDescent="0.25">
      <c r="A62">
        <v>1061</v>
      </c>
      <c r="B62" t="s">
        <v>20</v>
      </c>
      <c r="C62" t="s">
        <v>33</v>
      </c>
      <c r="D62">
        <v>29</v>
      </c>
      <c r="E62" t="s">
        <v>25</v>
      </c>
      <c r="F62" t="s">
        <v>30</v>
      </c>
      <c r="G62">
        <v>8</v>
      </c>
      <c r="H62" s="1" t="str">
        <f>IF(Table1[[#This Row],[anxiety_score]]&lt;=10, "Normal", IF(Table1[[#This Row],[anxiety_score]]&lt;=20, "Moderate", IF(Table1[[#This Row],[anxiety_score]]&lt;=30, "Severe", "Extremely Severe")))</f>
        <v>Normal</v>
      </c>
      <c r="I62">
        <v>-0.20924408999999999</v>
      </c>
      <c r="J62">
        <v>6</v>
      </c>
      <c r="K62" s="1" t="str">
        <f>IF(Table1[[#This Row],[stress_score]]&lt;=10, "Normal", IF(Table1[[#This Row],[stress_score]]&lt;=20, "Moderate", IF(Table1[[#This Row],[stress_score]]&lt;=30, "Severe", "Extremely Severe")))</f>
        <v>Normal</v>
      </c>
      <c r="L62">
        <v>-0.57848745999999995</v>
      </c>
      <c r="M62">
        <v>6</v>
      </c>
      <c r="N62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62">
        <v>-0.53092379999999995</v>
      </c>
      <c r="P62">
        <v>6.6666664999999998</v>
      </c>
      <c r="Q62">
        <f>ROUND(Table1[[#This Row],[dass21_raw_score]],0)</f>
        <v>7</v>
      </c>
      <c r="R62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62">
        <v>-0.43955177000000001</v>
      </c>
      <c r="T62">
        <v>0.65535814000000003</v>
      </c>
      <c r="U62">
        <v>8333.3330000000005</v>
      </c>
      <c r="V62" s="1">
        <f>ROUND(Table1[[#This Row],[fmpce]],0)</f>
        <v>8333</v>
      </c>
      <c r="W62">
        <v>113.37220000000001</v>
      </c>
      <c r="X62" s="4">
        <f>Table1[[#This Row],[mpce]]*89</f>
        <v>10090.1258</v>
      </c>
      <c r="Y62" s="2" t="s">
        <v>35</v>
      </c>
      <c r="Z62" s="3">
        <f>VLOOKUP(Y62, rmpce_reference!$B$1:$D$7,3,FALSE) * 89</f>
        <v>9790</v>
      </c>
      <c r="AA62" s="1" t="str">
        <f>IF(Table1[rmpce_inr]&lt;=rmpce_reference!$F$2, "Low Income", IF(Table1[rmpce_inr]&lt;=rmpce_reference!$F$3, "Middle Income", "High Income"))</f>
        <v>High Income</v>
      </c>
    </row>
    <row r="63" spans="1:27" x14ac:dyDescent="0.25">
      <c r="A63">
        <v>1062</v>
      </c>
      <c r="B63" t="s">
        <v>20</v>
      </c>
      <c r="C63" t="s">
        <v>33</v>
      </c>
      <c r="D63">
        <v>28</v>
      </c>
      <c r="E63" t="s">
        <v>25</v>
      </c>
      <c r="F63" t="s">
        <v>26</v>
      </c>
      <c r="G63">
        <v>8</v>
      </c>
      <c r="H63" s="1" t="str">
        <f>IF(Table1[[#This Row],[anxiety_score]]&lt;=10, "Normal", IF(Table1[[#This Row],[anxiety_score]]&lt;=20, "Moderate", IF(Table1[[#This Row],[anxiety_score]]&lt;=30, "Severe", "Extremely Severe")))</f>
        <v>Normal</v>
      </c>
      <c r="I63">
        <v>-0.20924408999999999</v>
      </c>
      <c r="J63">
        <v>2</v>
      </c>
      <c r="K63" s="1" t="str">
        <f>IF(Table1[[#This Row],[stress_score]]&lt;=10, "Normal", IF(Table1[[#This Row],[stress_score]]&lt;=20, "Moderate", IF(Table1[[#This Row],[stress_score]]&lt;=30, "Severe", "Extremely Severe")))</f>
        <v>Normal</v>
      </c>
      <c r="L63">
        <v>-0.9678099</v>
      </c>
      <c r="M63">
        <v>0</v>
      </c>
      <c r="N63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63">
        <v>-1.1088359000000001</v>
      </c>
      <c r="P63">
        <v>3.3333333000000001</v>
      </c>
      <c r="Q63">
        <f>ROUND(Table1[[#This Row],[dass21_raw_score]],0)</f>
        <v>3</v>
      </c>
      <c r="R63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63">
        <v>-0.76196330000000001</v>
      </c>
      <c r="T63">
        <v>0.33294659999999998</v>
      </c>
      <c r="U63">
        <v>2500</v>
      </c>
      <c r="V63" s="1">
        <f>ROUND(Table1[[#This Row],[fmpce]],0)</f>
        <v>2500</v>
      </c>
      <c r="W63">
        <v>34.011659999999999</v>
      </c>
      <c r="X63" s="4">
        <f>Table1[[#This Row],[mpce]]*89</f>
        <v>3027.0377399999998</v>
      </c>
      <c r="Y63" s="2" t="s">
        <v>34</v>
      </c>
      <c r="Z63" s="3">
        <f>VLOOKUP(Y63, rmpce_reference!$B$1:$D$7,3,FALSE) * 89</f>
        <v>2848</v>
      </c>
      <c r="AA63" s="1" t="str">
        <f>IF(Table1[rmpce_inr]&lt;=rmpce_reference!$F$2, "Low Income", IF(Table1[rmpce_inr]&lt;=rmpce_reference!$F$3, "Middle Income", "High Income"))</f>
        <v>Low Income</v>
      </c>
    </row>
    <row r="64" spans="1:27" x14ac:dyDescent="0.25">
      <c r="A64">
        <v>1063</v>
      </c>
      <c r="B64" t="s">
        <v>20</v>
      </c>
      <c r="C64" t="s">
        <v>29</v>
      </c>
      <c r="D64">
        <v>32</v>
      </c>
      <c r="E64" t="s">
        <v>25</v>
      </c>
      <c r="F64" t="s">
        <v>26</v>
      </c>
      <c r="G64">
        <v>2</v>
      </c>
      <c r="H64" s="1" t="str">
        <f>IF(Table1[[#This Row],[anxiety_score]]&lt;=10, "Normal", IF(Table1[[#This Row],[anxiety_score]]&lt;=20, "Moderate", IF(Table1[[#This Row],[anxiety_score]]&lt;=30, "Severe", "Extremely Severe")))</f>
        <v>Normal</v>
      </c>
      <c r="I64">
        <v>-0.81237789999999999</v>
      </c>
      <c r="J64">
        <v>4</v>
      </c>
      <c r="K64" s="1" t="str">
        <f>IF(Table1[[#This Row],[stress_score]]&lt;=10, "Normal", IF(Table1[[#This Row],[stress_score]]&lt;=20, "Moderate", IF(Table1[[#This Row],[stress_score]]&lt;=30, "Severe", "Extremely Severe")))</f>
        <v>Normal</v>
      </c>
      <c r="L64">
        <v>-0.77314866000000004</v>
      </c>
      <c r="M64">
        <v>4</v>
      </c>
      <c r="N64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64">
        <v>-0.72356116999999998</v>
      </c>
      <c r="P64">
        <v>3.3333333000000001</v>
      </c>
      <c r="Q64">
        <f>ROUND(Table1[[#This Row],[dass21_raw_score]],0)</f>
        <v>3</v>
      </c>
      <c r="R64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64">
        <v>-0.76969593999999997</v>
      </c>
      <c r="T64">
        <v>0.32521397000000002</v>
      </c>
      <c r="U64">
        <v>4000</v>
      </c>
      <c r="V64" s="1">
        <f>ROUND(Table1[[#This Row],[fmpce]],0)</f>
        <v>4000</v>
      </c>
      <c r="W64">
        <v>54.418660000000003</v>
      </c>
      <c r="X64" s="4">
        <f>Table1[[#This Row],[mpce]]*89</f>
        <v>4843.2607400000006</v>
      </c>
      <c r="Y64" s="2" t="s">
        <v>32</v>
      </c>
      <c r="Z64" s="3">
        <f>VLOOKUP(Y64, rmpce_reference!$B$1:$D$7,3,FALSE) * 89</f>
        <v>4450</v>
      </c>
      <c r="AA64" s="1" t="str">
        <f>IF(Table1[rmpce_inr]&lt;=rmpce_reference!$F$2, "Low Income", IF(Table1[rmpce_inr]&lt;=rmpce_reference!$F$3, "Middle Income", "High Income"))</f>
        <v>Low Income</v>
      </c>
    </row>
    <row r="65" spans="1:27" x14ac:dyDescent="0.25">
      <c r="A65">
        <v>1064</v>
      </c>
      <c r="B65" t="s">
        <v>20</v>
      </c>
      <c r="C65" t="s">
        <v>29</v>
      </c>
      <c r="D65">
        <v>35</v>
      </c>
      <c r="E65" t="s">
        <v>25</v>
      </c>
      <c r="F65" t="s">
        <v>26</v>
      </c>
      <c r="G65">
        <v>8</v>
      </c>
      <c r="H65" s="1" t="str">
        <f>IF(Table1[[#This Row],[anxiety_score]]&lt;=10, "Normal", IF(Table1[[#This Row],[anxiety_score]]&lt;=20, "Moderate", IF(Table1[[#This Row],[anxiety_score]]&lt;=30, "Severe", "Extremely Severe")))</f>
        <v>Normal</v>
      </c>
      <c r="I65">
        <v>-0.20924408999999999</v>
      </c>
      <c r="J65">
        <v>4</v>
      </c>
      <c r="K65" s="1" t="str">
        <f>IF(Table1[[#This Row],[stress_score]]&lt;=10, "Normal", IF(Table1[[#This Row],[stress_score]]&lt;=20, "Moderate", IF(Table1[[#This Row],[stress_score]]&lt;=30, "Severe", "Extremely Severe")))</f>
        <v>Normal</v>
      </c>
      <c r="L65">
        <v>-0.77314866000000004</v>
      </c>
      <c r="M65">
        <v>2</v>
      </c>
      <c r="N65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65">
        <v>-0.91619854999999994</v>
      </c>
      <c r="P65">
        <v>4.6666664999999998</v>
      </c>
      <c r="Q65">
        <f>ROUND(Table1[[#This Row],[dass21_raw_score]],0)</f>
        <v>5</v>
      </c>
      <c r="R65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65">
        <v>-0.63286376</v>
      </c>
      <c r="T65">
        <v>0.46204614999999999</v>
      </c>
      <c r="U65">
        <v>3750</v>
      </c>
      <c r="V65" s="1">
        <f>ROUND(Table1[[#This Row],[fmpce]],0)</f>
        <v>3750</v>
      </c>
      <c r="W65">
        <v>51.017493999999999</v>
      </c>
      <c r="X65" s="4">
        <f>Table1[[#This Row],[mpce]]*89</f>
        <v>4540.5569660000001</v>
      </c>
      <c r="Y65" s="2" t="s">
        <v>32</v>
      </c>
      <c r="Z65" s="3">
        <f>VLOOKUP(Y65, rmpce_reference!$B$1:$D$7,3,FALSE) * 89</f>
        <v>4450</v>
      </c>
      <c r="AA65" s="1" t="str">
        <f>IF(Table1[rmpce_inr]&lt;=rmpce_reference!$F$2, "Low Income", IF(Table1[rmpce_inr]&lt;=rmpce_reference!$F$3, "Middle Income", "High Income"))</f>
        <v>Low Income</v>
      </c>
    </row>
    <row r="66" spans="1:27" x14ac:dyDescent="0.25">
      <c r="A66">
        <v>1065</v>
      </c>
      <c r="B66" t="s">
        <v>20</v>
      </c>
      <c r="C66" t="s">
        <v>33</v>
      </c>
      <c r="D66">
        <v>27</v>
      </c>
      <c r="E66" t="s">
        <v>25</v>
      </c>
      <c r="F66" t="s">
        <v>26</v>
      </c>
      <c r="G66">
        <v>8</v>
      </c>
      <c r="H66" s="1" t="str">
        <f>IF(Table1[[#This Row],[anxiety_score]]&lt;=10, "Normal", IF(Table1[[#This Row],[anxiety_score]]&lt;=20, "Moderate", IF(Table1[[#This Row],[anxiety_score]]&lt;=30, "Severe", "Extremely Severe")))</f>
        <v>Normal</v>
      </c>
      <c r="I66">
        <v>-0.20924408999999999</v>
      </c>
      <c r="J66">
        <v>2</v>
      </c>
      <c r="K66" s="1" t="str">
        <f>IF(Table1[[#This Row],[stress_score]]&lt;=10, "Normal", IF(Table1[[#This Row],[stress_score]]&lt;=20, "Moderate", IF(Table1[[#This Row],[stress_score]]&lt;=30, "Severe", "Extremely Severe")))</f>
        <v>Normal</v>
      </c>
      <c r="L66">
        <v>-0.9678099</v>
      </c>
      <c r="M66">
        <v>4</v>
      </c>
      <c r="N66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66">
        <v>-0.72356116999999998</v>
      </c>
      <c r="P66">
        <v>4.6666664999999998</v>
      </c>
      <c r="Q66">
        <f>ROUND(Table1[[#This Row],[dass21_raw_score]],0)</f>
        <v>5</v>
      </c>
      <c r="R66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66">
        <v>-0.63353837000000002</v>
      </c>
      <c r="T66">
        <v>0.46137154000000002</v>
      </c>
      <c r="U66">
        <v>6666.6665000000003</v>
      </c>
      <c r="V66" s="1">
        <f>ROUND(Table1[[#This Row],[fmpce]],0)</f>
        <v>6667</v>
      </c>
      <c r="W66">
        <v>90.697760000000002</v>
      </c>
      <c r="X66" s="4">
        <f>Table1[[#This Row],[mpce]]*89</f>
        <v>8072.1006400000006</v>
      </c>
      <c r="Y66" s="2" t="s">
        <v>31</v>
      </c>
      <c r="Z66" s="3">
        <f>VLOOKUP(Y66, rmpce_reference!$B$1:$D$7,3,FALSE) * 89</f>
        <v>8010</v>
      </c>
      <c r="AA66" s="1" t="str">
        <f>IF(Table1[rmpce_inr]&lt;=rmpce_reference!$F$2, "Low Income", IF(Table1[rmpce_inr]&lt;=rmpce_reference!$F$3, "Middle Income", "High Income"))</f>
        <v>High Income</v>
      </c>
    </row>
    <row r="67" spans="1:27" x14ac:dyDescent="0.25">
      <c r="A67">
        <v>1066</v>
      </c>
      <c r="B67" t="s">
        <v>20</v>
      </c>
      <c r="C67" t="s">
        <v>21</v>
      </c>
      <c r="D67">
        <v>45</v>
      </c>
      <c r="E67" t="s">
        <v>25</v>
      </c>
      <c r="F67" t="s">
        <v>26</v>
      </c>
      <c r="G67">
        <v>10</v>
      </c>
      <c r="H67" s="1" t="str">
        <f>IF(Table1[[#This Row],[anxiety_score]]&lt;=10, "Normal", IF(Table1[[#This Row],[anxiety_score]]&lt;=20, "Moderate", IF(Table1[[#This Row],[anxiety_score]]&lt;=30, "Severe", "Extremely Severe")))</f>
        <v>Normal</v>
      </c>
      <c r="I67">
        <v>-8.1994660000000007E-3</v>
      </c>
      <c r="J67">
        <v>4</v>
      </c>
      <c r="K67" s="1" t="str">
        <f>IF(Table1[[#This Row],[stress_score]]&lt;=10, "Normal", IF(Table1[[#This Row],[stress_score]]&lt;=20, "Moderate", IF(Table1[[#This Row],[stress_score]]&lt;=30, "Severe", "Extremely Severe")))</f>
        <v>Normal</v>
      </c>
      <c r="L67">
        <v>-0.77314866000000004</v>
      </c>
      <c r="M67">
        <v>0</v>
      </c>
      <c r="N67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67">
        <v>-1.1088359000000001</v>
      </c>
      <c r="P67">
        <v>4.6666664999999998</v>
      </c>
      <c r="Q67">
        <f>ROUND(Table1[[#This Row],[dass21_raw_score]],0)</f>
        <v>5</v>
      </c>
      <c r="R67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67">
        <v>-0.63006130000000005</v>
      </c>
      <c r="T67">
        <v>0.46484858000000001</v>
      </c>
      <c r="U67">
        <v>5000</v>
      </c>
      <c r="V67" s="1">
        <f>ROUND(Table1[[#This Row],[fmpce]],0)</f>
        <v>5000</v>
      </c>
      <c r="W67">
        <v>68.023319999999998</v>
      </c>
      <c r="X67" s="4">
        <f>Table1[[#This Row],[mpce]]*89</f>
        <v>6054.0754799999995</v>
      </c>
      <c r="Y67" s="2" t="s">
        <v>28</v>
      </c>
      <c r="Z67" s="3">
        <f>VLOOKUP(Y67, rmpce_reference!$B$1:$D$7,3,FALSE) * 89</f>
        <v>6230</v>
      </c>
      <c r="AA67" s="1" t="str">
        <f>IF(Table1[rmpce_inr]&lt;=rmpce_reference!$F$2, "Low Income", IF(Table1[rmpce_inr]&lt;=rmpce_reference!$F$3, "Middle Income", "High Income"))</f>
        <v>Middle Income</v>
      </c>
    </row>
    <row r="68" spans="1:27" x14ac:dyDescent="0.25">
      <c r="A68">
        <v>1067</v>
      </c>
      <c r="B68" t="s">
        <v>20</v>
      </c>
      <c r="C68" t="s">
        <v>29</v>
      </c>
      <c r="D68">
        <v>35</v>
      </c>
      <c r="E68" t="s">
        <v>25</v>
      </c>
      <c r="F68" t="s">
        <v>30</v>
      </c>
      <c r="G68">
        <v>10</v>
      </c>
      <c r="H68" s="1" t="str">
        <f>IF(Table1[[#This Row],[anxiety_score]]&lt;=10, "Normal", IF(Table1[[#This Row],[anxiety_score]]&lt;=20, "Moderate", IF(Table1[[#This Row],[anxiety_score]]&lt;=30, "Severe", "Extremely Severe")))</f>
        <v>Normal</v>
      </c>
      <c r="I68">
        <v>-8.1994660000000007E-3</v>
      </c>
      <c r="J68">
        <v>4</v>
      </c>
      <c r="K68" s="1" t="str">
        <f>IF(Table1[[#This Row],[stress_score]]&lt;=10, "Normal", IF(Table1[[#This Row],[stress_score]]&lt;=20, "Moderate", IF(Table1[[#This Row],[stress_score]]&lt;=30, "Severe", "Extremely Severe")))</f>
        <v>Normal</v>
      </c>
      <c r="L68">
        <v>-0.77314866000000004</v>
      </c>
      <c r="M68">
        <v>0</v>
      </c>
      <c r="N68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68">
        <v>-1.1088359000000001</v>
      </c>
      <c r="P68">
        <v>4.6666664999999998</v>
      </c>
      <c r="Q68">
        <f>ROUND(Table1[[#This Row],[dass21_raw_score]],0)</f>
        <v>5</v>
      </c>
      <c r="R68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68">
        <v>-0.63006130000000005</v>
      </c>
      <c r="T68">
        <v>0.46484858000000001</v>
      </c>
      <c r="U68">
        <v>7500</v>
      </c>
      <c r="V68" s="1">
        <f>ROUND(Table1[[#This Row],[fmpce]],0)</f>
        <v>7500</v>
      </c>
      <c r="W68">
        <v>102.03498999999999</v>
      </c>
      <c r="X68" s="4">
        <f>Table1[[#This Row],[mpce]]*89</f>
        <v>9081.1141099999986</v>
      </c>
      <c r="Y68" s="2" t="s">
        <v>35</v>
      </c>
      <c r="Z68" s="3">
        <f>VLOOKUP(Y68, rmpce_reference!$B$1:$D$7,3,FALSE) * 89</f>
        <v>9790</v>
      </c>
      <c r="AA68" s="1" t="str">
        <f>IF(Table1[rmpce_inr]&lt;=rmpce_reference!$F$2, "Low Income", IF(Table1[rmpce_inr]&lt;=rmpce_reference!$F$3, "Middle Income", "High Income"))</f>
        <v>High Income</v>
      </c>
    </row>
    <row r="69" spans="1:27" x14ac:dyDescent="0.25">
      <c r="A69">
        <v>1068</v>
      </c>
      <c r="B69" t="s">
        <v>20</v>
      </c>
      <c r="C69" t="s">
        <v>21</v>
      </c>
      <c r="D69">
        <v>48</v>
      </c>
      <c r="E69" t="s">
        <v>22</v>
      </c>
      <c r="F69" t="s">
        <v>30</v>
      </c>
      <c r="G69">
        <v>6</v>
      </c>
      <c r="H69" s="1" t="str">
        <f>IF(Table1[[#This Row],[anxiety_score]]&lt;=10, "Normal", IF(Table1[[#This Row],[anxiety_score]]&lt;=20, "Moderate", IF(Table1[[#This Row],[anxiety_score]]&lt;=30, "Severe", "Extremely Severe")))</f>
        <v>Normal</v>
      </c>
      <c r="I69">
        <v>-0.41028870000000001</v>
      </c>
      <c r="J69">
        <v>4</v>
      </c>
      <c r="K69" s="1" t="str">
        <f>IF(Table1[[#This Row],[stress_score]]&lt;=10, "Normal", IF(Table1[[#This Row],[stress_score]]&lt;=20, "Moderate", IF(Table1[[#This Row],[stress_score]]&lt;=30, "Severe", "Extremely Severe")))</f>
        <v>Normal</v>
      </c>
      <c r="L69">
        <v>-0.77314866000000004</v>
      </c>
      <c r="M69">
        <v>2</v>
      </c>
      <c r="N69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69">
        <v>-0.91619854999999994</v>
      </c>
      <c r="P69">
        <v>4</v>
      </c>
      <c r="Q69">
        <f>ROUND(Table1[[#This Row],[dass21_raw_score]],0)</f>
        <v>4</v>
      </c>
      <c r="R69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69">
        <v>-0.69987862999999995</v>
      </c>
      <c r="T69">
        <v>0.39503126999999999</v>
      </c>
      <c r="U69">
        <v>3000</v>
      </c>
      <c r="V69" s="1">
        <f>ROUND(Table1[[#This Row],[fmpce]],0)</f>
        <v>3000</v>
      </c>
      <c r="W69">
        <v>40.813994999999998</v>
      </c>
      <c r="X69" s="4">
        <f>Table1[[#This Row],[mpce]]*89</f>
        <v>3632.4455549999998</v>
      </c>
      <c r="Y69" s="2" t="s">
        <v>32</v>
      </c>
      <c r="Z69" s="3">
        <f>VLOOKUP(Y69, rmpce_reference!$B$1:$D$7,3,FALSE) * 89</f>
        <v>4450</v>
      </c>
      <c r="AA69" s="1" t="str">
        <f>IF(Table1[rmpce_inr]&lt;=rmpce_reference!$F$2, "Low Income", IF(Table1[rmpce_inr]&lt;=rmpce_reference!$F$3, "Middle Income", "High Income"))</f>
        <v>Low Income</v>
      </c>
    </row>
    <row r="70" spans="1:27" x14ac:dyDescent="0.25">
      <c r="A70">
        <v>1069</v>
      </c>
      <c r="B70" t="s">
        <v>20</v>
      </c>
      <c r="C70" t="s">
        <v>33</v>
      </c>
      <c r="D70">
        <v>27</v>
      </c>
      <c r="E70" t="s">
        <v>25</v>
      </c>
      <c r="F70" t="s">
        <v>30</v>
      </c>
      <c r="G70">
        <v>2</v>
      </c>
      <c r="H70" s="1" t="str">
        <f>IF(Table1[[#This Row],[anxiety_score]]&lt;=10, "Normal", IF(Table1[[#This Row],[anxiety_score]]&lt;=20, "Moderate", IF(Table1[[#This Row],[anxiety_score]]&lt;=30, "Severe", "Extremely Severe")))</f>
        <v>Normal</v>
      </c>
      <c r="I70">
        <v>-0.81237789999999999</v>
      </c>
      <c r="J70">
        <v>2</v>
      </c>
      <c r="K70" s="1" t="str">
        <f>IF(Table1[[#This Row],[stress_score]]&lt;=10, "Normal", IF(Table1[[#This Row],[stress_score]]&lt;=20, "Moderate", IF(Table1[[#This Row],[stress_score]]&lt;=30, "Severe", "Extremely Severe")))</f>
        <v>Normal</v>
      </c>
      <c r="L70">
        <v>-0.9678099</v>
      </c>
      <c r="M70">
        <v>6</v>
      </c>
      <c r="N70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70">
        <v>-0.53092379999999995</v>
      </c>
      <c r="P70">
        <v>3.3333333000000001</v>
      </c>
      <c r="Q70">
        <f>ROUND(Table1[[#This Row],[dass21_raw_score]],0)</f>
        <v>3</v>
      </c>
      <c r="R70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70">
        <v>-0.77037054000000005</v>
      </c>
      <c r="T70">
        <v>0.32453936</v>
      </c>
      <c r="U70">
        <v>6333.3334999999997</v>
      </c>
      <c r="V70" s="1">
        <f>ROUND(Table1[[#This Row],[fmpce]],0)</f>
        <v>6333</v>
      </c>
      <c r="W70">
        <v>86.162880000000001</v>
      </c>
      <c r="X70" s="4">
        <f>Table1[[#This Row],[mpce]]*89</f>
        <v>7668.4963200000002</v>
      </c>
      <c r="Y70" s="2" t="s">
        <v>31</v>
      </c>
      <c r="Z70" s="3">
        <f>VLOOKUP(Y70, rmpce_reference!$B$1:$D$7,3,FALSE) * 89</f>
        <v>8010</v>
      </c>
      <c r="AA70" s="1" t="str">
        <f>IF(Table1[rmpce_inr]&lt;=rmpce_reference!$F$2, "Low Income", IF(Table1[rmpce_inr]&lt;=rmpce_reference!$F$3, "Middle Income", "High Income"))</f>
        <v>High Income</v>
      </c>
    </row>
    <row r="71" spans="1:27" x14ac:dyDescent="0.25">
      <c r="A71">
        <v>1070</v>
      </c>
      <c r="B71" t="s">
        <v>20</v>
      </c>
      <c r="C71" t="s">
        <v>29</v>
      </c>
      <c r="D71">
        <v>40</v>
      </c>
      <c r="E71" t="s">
        <v>25</v>
      </c>
      <c r="F71" t="s">
        <v>23</v>
      </c>
      <c r="G71">
        <v>4</v>
      </c>
      <c r="H71" s="1" t="str">
        <f>IF(Table1[[#This Row],[anxiety_score]]&lt;=10, "Normal", IF(Table1[[#This Row],[anxiety_score]]&lt;=20, "Moderate", IF(Table1[[#This Row],[anxiety_score]]&lt;=30, "Severe", "Extremely Severe")))</f>
        <v>Normal</v>
      </c>
      <c r="I71">
        <v>-0.61133329999999997</v>
      </c>
      <c r="J71">
        <v>2</v>
      </c>
      <c r="K71" s="1" t="str">
        <f>IF(Table1[[#This Row],[stress_score]]&lt;=10, "Normal", IF(Table1[[#This Row],[stress_score]]&lt;=20, "Moderate", IF(Table1[[#This Row],[stress_score]]&lt;=30, "Severe", "Extremely Severe")))</f>
        <v>Normal</v>
      </c>
      <c r="L71">
        <v>-0.9678099</v>
      </c>
      <c r="M71">
        <v>4</v>
      </c>
      <c r="N71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71">
        <v>-0.72356116999999998</v>
      </c>
      <c r="P71">
        <v>3.3333333000000001</v>
      </c>
      <c r="Q71">
        <f>ROUND(Table1[[#This Row],[dass21_raw_score]],0)</f>
        <v>3</v>
      </c>
      <c r="R71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71">
        <v>-0.76756809999999998</v>
      </c>
      <c r="T71">
        <v>0.32734180000000002</v>
      </c>
      <c r="U71">
        <v>3333.3332999999998</v>
      </c>
      <c r="V71" s="1">
        <f>ROUND(Table1[[#This Row],[fmpce]],0)</f>
        <v>3333</v>
      </c>
      <c r="W71">
        <v>45.348880000000001</v>
      </c>
      <c r="X71" s="4">
        <f>Table1[[#This Row],[mpce]]*89</f>
        <v>4036.0503200000003</v>
      </c>
      <c r="Y71" s="2" t="s">
        <v>32</v>
      </c>
      <c r="Z71" s="3">
        <f>VLOOKUP(Y71, rmpce_reference!$B$1:$D$7,3,FALSE) * 89</f>
        <v>4450</v>
      </c>
      <c r="AA71" s="1" t="str">
        <f>IF(Table1[rmpce_inr]&lt;=rmpce_reference!$F$2, "Low Income", IF(Table1[rmpce_inr]&lt;=rmpce_reference!$F$3, "Middle Income", "High Income"))</f>
        <v>Low Income</v>
      </c>
    </row>
    <row r="72" spans="1:27" x14ac:dyDescent="0.25">
      <c r="A72">
        <v>1071</v>
      </c>
      <c r="B72" t="s">
        <v>20</v>
      </c>
      <c r="C72" t="s">
        <v>33</v>
      </c>
      <c r="D72">
        <v>28</v>
      </c>
      <c r="E72" t="s">
        <v>25</v>
      </c>
      <c r="F72" t="s">
        <v>26</v>
      </c>
      <c r="G72">
        <v>4</v>
      </c>
      <c r="H72" s="1" t="str">
        <f>IF(Table1[[#This Row],[anxiety_score]]&lt;=10, "Normal", IF(Table1[[#This Row],[anxiety_score]]&lt;=20, "Moderate", IF(Table1[[#This Row],[anxiety_score]]&lt;=30, "Severe", "Extremely Severe")))</f>
        <v>Normal</v>
      </c>
      <c r="I72">
        <v>-0.61133329999999997</v>
      </c>
      <c r="J72">
        <v>6</v>
      </c>
      <c r="K72" s="1" t="str">
        <f>IF(Table1[[#This Row],[stress_score]]&lt;=10, "Normal", IF(Table1[[#This Row],[stress_score]]&lt;=20, "Moderate", IF(Table1[[#This Row],[stress_score]]&lt;=30, "Severe", "Extremely Severe")))</f>
        <v>Normal</v>
      </c>
      <c r="L72">
        <v>-0.57848745999999995</v>
      </c>
      <c r="M72">
        <v>0</v>
      </c>
      <c r="N72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72">
        <v>-1.1088359000000001</v>
      </c>
      <c r="P72">
        <v>3.3333333000000001</v>
      </c>
      <c r="Q72">
        <f>ROUND(Table1[[#This Row],[dass21_raw_score]],0)</f>
        <v>3</v>
      </c>
      <c r="R72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72">
        <v>-0.76621890000000004</v>
      </c>
      <c r="T72">
        <v>0.32869100000000001</v>
      </c>
      <c r="U72">
        <v>4166.6665000000003</v>
      </c>
      <c r="V72" s="1">
        <f>ROUND(Table1[[#This Row],[fmpce]],0)</f>
        <v>4167</v>
      </c>
      <c r="W72">
        <v>56.686100000000003</v>
      </c>
      <c r="X72" s="4">
        <f>Table1[[#This Row],[mpce]]*89</f>
        <v>5045.0628999999999</v>
      </c>
      <c r="Y72" s="2" t="s">
        <v>32</v>
      </c>
      <c r="Z72" s="3">
        <f>VLOOKUP(Y72, rmpce_reference!$B$1:$D$7,3,FALSE) * 89</f>
        <v>4450</v>
      </c>
      <c r="AA72" s="1" t="str">
        <f>IF(Table1[rmpce_inr]&lt;=rmpce_reference!$F$2, "Low Income", IF(Table1[rmpce_inr]&lt;=rmpce_reference!$F$3, "Middle Income", "High Income"))</f>
        <v>Low Income</v>
      </c>
    </row>
    <row r="73" spans="1:27" x14ac:dyDescent="0.25">
      <c r="A73">
        <v>1072</v>
      </c>
      <c r="B73" t="s">
        <v>20</v>
      </c>
      <c r="C73" t="s">
        <v>33</v>
      </c>
      <c r="D73">
        <v>30</v>
      </c>
      <c r="E73" t="s">
        <v>25</v>
      </c>
      <c r="F73" t="s">
        <v>30</v>
      </c>
      <c r="G73">
        <v>4</v>
      </c>
      <c r="H73" s="1" t="str">
        <f>IF(Table1[[#This Row],[anxiety_score]]&lt;=10, "Normal", IF(Table1[[#This Row],[anxiety_score]]&lt;=20, "Moderate", IF(Table1[[#This Row],[anxiety_score]]&lt;=30, "Severe", "Extremely Severe")))</f>
        <v>Normal</v>
      </c>
      <c r="I73">
        <v>-0.61133329999999997</v>
      </c>
      <c r="J73">
        <v>4</v>
      </c>
      <c r="K73" s="1" t="str">
        <f>IF(Table1[[#This Row],[stress_score]]&lt;=10, "Normal", IF(Table1[[#This Row],[stress_score]]&lt;=20, "Moderate", IF(Table1[[#This Row],[stress_score]]&lt;=30, "Severe", "Extremely Severe")))</f>
        <v>Normal</v>
      </c>
      <c r="L73">
        <v>-0.77314866000000004</v>
      </c>
      <c r="M73">
        <v>2</v>
      </c>
      <c r="N73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73">
        <v>-0.91619854999999994</v>
      </c>
      <c r="P73">
        <v>3.3333333000000001</v>
      </c>
      <c r="Q73">
        <f>ROUND(Table1[[#This Row],[dass21_raw_score]],0)</f>
        <v>3</v>
      </c>
      <c r="R73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73">
        <v>-0.76689350000000001</v>
      </c>
      <c r="T73">
        <v>0.32801639999999999</v>
      </c>
      <c r="U73">
        <v>5000</v>
      </c>
      <c r="V73" s="1">
        <f>ROUND(Table1[[#This Row],[fmpce]],0)</f>
        <v>5000</v>
      </c>
      <c r="W73">
        <v>68.023319999999998</v>
      </c>
      <c r="X73" s="4">
        <f>Table1[[#This Row],[mpce]]*89</f>
        <v>6054.0754799999995</v>
      </c>
      <c r="Y73" s="2" t="s">
        <v>28</v>
      </c>
      <c r="Z73" s="3">
        <f>VLOOKUP(Y73, rmpce_reference!$B$1:$D$7,3,FALSE) * 89</f>
        <v>6230</v>
      </c>
      <c r="AA73" s="1" t="str">
        <f>IF(Table1[rmpce_inr]&lt;=rmpce_reference!$F$2, "Low Income", IF(Table1[rmpce_inr]&lt;=rmpce_reference!$F$3, "Middle Income", "High Income"))</f>
        <v>Middle Income</v>
      </c>
    </row>
    <row r="74" spans="1:27" x14ac:dyDescent="0.25">
      <c r="A74">
        <v>1073</v>
      </c>
      <c r="B74" t="s">
        <v>20</v>
      </c>
      <c r="C74" t="s">
        <v>29</v>
      </c>
      <c r="D74">
        <v>40</v>
      </c>
      <c r="E74" t="s">
        <v>25</v>
      </c>
      <c r="F74" t="s">
        <v>26</v>
      </c>
      <c r="G74">
        <v>6</v>
      </c>
      <c r="H74" s="1" t="str">
        <f>IF(Table1[[#This Row],[anxiety_score]]&lt;=10, "Normal", IF(Table1[[#This Row],[anxiety_score]]&lt;=20, "Moderate", IF(Table1[[#This Row],[anxiety_score]]&lt;=30, "Severe", "Extremely Severe")))</f>
        <v>Normal</v>
      </c>
      <c r="I74">
        <v>-0.41028870000000001</v>
      </c>
      <c r="J74">
        <v>2</v>
      </c>
      <c r="K74" s="1" t="str">
        <f>IF(Table1[[#This Row],[stress_score]]&lt;=10, "Normal", IF(Table1[[#This Row],[stress_score]]&lt;=20, "Moderate", IF(Table1[[#This Row],[stress_score]]&lt;=30, "Severe", "Extremely Severe")))</f>
        <v>Normal</v>
      </c>
      <c r="L74">
        <v>-0.9678099</v>
      </c>
      <c r="M74">
        <v>4</v>
      </c>
      <c r="N74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74">
        <v>-0.72356116999999998</v>
      </c>
      <c r="P74">
        <v>4</v>
      </c>
      <c r="Q74">
        <f>ROUND(Table1[[#This Row],[dass21_raw_score]],0)</f>
        <v>4</v>
      </c>
      <c r="R74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74">
        <v>-0.70055323999999997</v>
      </c>
      <c r="T74">
        <v>0.39435667000000002</v>
      </c>
      <c r="U74">
        <v>4000</v>
      </c>
      <c r="V74" s="1">
        <f>ROUND(Table1[[#This Row],[fmpce]],0)</f>
        <v>4000</v>
      </c>
      <c r="W74">
        <v>54.418660000000003</v>
      </c>
      <c r="X74" s="4">
        <f>Table1[[#This Row],[mpce]]*89</f>
        <v>4843.2607400000006</v>
      </c>
      <c r="Y74" s="2" t="s">
        <v>32</v>
      </c>
      <c r="Z74" s="3">
        <f>VLOOKUP(Y74, rmpce_reference!$B$1:$D$7,3,FALSE) * 89</f>
        <v>4450</v>
      </c>
      <c r="AA74" s="1" t="str">
        <f>IF(Table1[rmpce_inr]&lt;=rmpce_reference!$F$2, "Low Income", IF(Table1[rmpce_inr]&lt;=rmpce_reference!$F$3, "Middle Income", "High Income"))</f>
        <v>Low Income</v>
      </c>
    </row>
    <row r="75" spans="1:27" x14ac:dyDescent="0.25">
      <c r="A75">
        <v>1074</v>
      </c>
      <c r="B75" t="s">
        <v>20</v>
      </c>
      <c r="C75" t="s">
        <v>33</v>
      </c>
      <c r="D75">
        <v>27</v>
      </c>
      <c r="E75" t="s">
        <v>25</v>
      </c>
      <c r="F75" t="s">
        <v>26</v>
      </c>
      <c r="G75">
        <v>4</v>
      </c>
      <c r="H75" s="1" t="str">
        <f>IF(Table1[[#This Row],[anxiety_score]]&lt;=10, "Normal", IF(Table1[[#This Row],[anxiety_score]]&lt;=20, "Moderate", IF(Table1[[#This Row],[anxiety_score]]&lt;=30, "Severe", "Extremely Severe")))</f>
        <v>Normal</v>
      </c>
      <c r="I75">
        <v>-0.61133329999999997</v>
      </c>
      <c r="J75">
        <v>2</v>
      </c>
      <c r="K75" s="1" t="str">
        <f>IF(Table1[[#This Row],[stress_score]]&lt;=10, "Normal", IF(Table1[[#This Row],[stress_score]]&lt;=20, "Moderate", IF(Table1[[#This Row],[stress_score]]&lt;=30, "Severe", "Extremely Severe")))</f>
        <v>Normal</v>
      </c>
      <c r="L75">
        <v>-0.9678099</v>
      </c>
      <c r="M75">
        <v>2</v>
      </c>
      <c r="N75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75">
        <v>-0.91619854999999994</v>
      </c>
      <c r="P75">
        <v>2.6666666999999999</v>
      </c>
      <c r="Q75">
        <f>ROUND(Table1[[#This Row],[dass21_raw_score]],0)</f>
        <v>3</v>
      </c>
      <c r="R75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75">
        <v>-0.83178059999999998</v>
      </c>
      <c r="T75">
        <v>0.26312930000000001</v>
      </c>
      <c r="U75">
        <v>11666.666999999999</v>
      </c>
      <c r="V75" s="1">
        <f>ROUND(Table1[[#This Row],[fmpce]],0)</f>
        <v>11667</v>
      </c>
      <c r="W75">
        <v>158.72110000000001</v>
      </c>
      <c r="X75" s="4">
        <f>Table1[[#This Row],[mpce]]*89</f>
        <v>14126.177900000001</v>
      </c>
      <c r="Y75" s="2" t="s">
        <v>35</v>
      </c>
      <c r="Z75" s="3">
        <f>VLOOKUP(Y75, rmpce_reference!$B$1:$D$7,3,FALSE) * 89</f>
        <v>9790</v>
      </c>
      <c r="AA75" s="1" t="str">
        <f>IF(Table1[rmpce_inr]&lt;=rmpce_reference!$F$2, "Low Income", IF(Table1[rmpce_inr]&lt;=rmpce_reference!$F$3, "Middle Income", "High Income"))</f>
        <v>High Income</v>
      </c>
    </row>
    <row r="76" spans="1:27" x14ac:dyDescent="0.25">
      <c r="A76">
        <v>1075</v>
      </c>
      <c r="B76" t="s">
        <v>20</v>
      </c>
      <c r="C76" t="s">
        <v>29</v>
      </c>
      <c r="D76">
        <v>35</v>
      </c>
      <c r="E76" t="s">
        <v>25</v>
      </c>
      <c r="F76" t="s">
        <v>26</v>
      </c>
      <c r="G76">
        <v>4</v>
      </c>
      <c r="H76" s="1" t="str">
        <f>IF(Table1[[#This Row],[anxiety_score]]&lt;=10, "Normal", IF(Table1[[#This Row],[anxiety_score]]&lt;=20, "Moderate", IF(Table1[[#This Row],[anxiety_score]]&lt;=30, "Severe", "Extremely Severe")))</f>
        <v>Normal</v>
      </c>
      <c r="I76">
        <v>-0.61133329999999997</v>
      </c>
      <c r="J76">
        <v>2</v>
      </c>
      <c r="K76" s="1" t="str">
        <f>IF(Table1[[#This Row],[stress_score]]&lt;=10, "Normal", IF(Table1[[#This Row],[stress_score]]&lt;=20, "Moderate", IF(Table1[[#This Row],[stress_score]]&lt;=30, "Severe", "Extremely Severe")))</f>
        <v>Normal</v>
      </c>
      <c r="L76">
        <v>-0.9678099</v>
      </c>
      <c r="M76">
        <v>4</v>
      </c>
      <c r="N76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76">
        <v>-0.72356116999999998</v>
      </c>
      <c r="P76">
        <v>3.3333333000000001</v>
      </c>
      <c r="Q76">
        <f>ROUND(Table1[[#This Row],[dass21_raw_score]],0)</f>
        <v>3</v>
      </c>
      <c r="R76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76">
        <v>-0.76756809999999998</v>
      </c>
      <c r="T76">
        <v>0.32734180000000002</v>
      </c>
      <c r="U76">
        <v>3750</v>
      </c>
      <c r="V76" s="1">
        <f>ROUND(Table1[[#This Row],[fmpce]],0)</f>
        <v>3750</v>
      </c>
      <c r="W76">
        <v>51.017493999999999</v>
      </c>
      <c r="X76" s="4">
        <f>Table1[[#This Row],[mpce]]*89</f>
        <v>4540.5569660000001</v>
      </c>
      <c r="Y76" s="2" t="s">
        <v>32</v>
      </c>
      <c r="Z76" s="3">
        <f>VLOOKUP(Y76, rmpce_reference!$B$1:$D$7,3,FALSE) * 89</f>
        <v>4450</v>
      </c>
      <c r="AA76" s="1" t="str">
        <f>IF(Table1[rmpce_inr]&lt;=rmpce_reference!$F$2, "Low Income", IF(Table1[rmpce_inr]&lt;=rmpce_reference!$F$3, "Middle Income", "High Income"))</f>
        <v>Low Income</v>
      </c>
    </row>
    <row r="77" spans="1:27" x14ac:dyDescent="0.25">
      <c r="A77">
        <v>1076</v>
      </c>
      <c r="B77" t="s">
        <v>20</v>
      </c>
      <c r="C77" t="s">
        <v>29</v>
      </c>
      <c r="D77">
        <v>35</v>
      </c>
      <c r="E77" t="s">
        <v>25</v>
      </c>
      <c r="F77" t="s">
        <v>26</v>
      </c>
      <c r="G77">
        <v>2</v>
      </c>
      <c r="H77" s="1" t="str">
        <f>IF(Table1[[#This Row],[anxiety_score]]&lt;=10, "Normal", IF(Table1[[#This Row],[anxiety_score]]&lt;=20, "Moderate", IF(Table1[[#This Row],[anxiety_score]]&lt;=30, "Severe", "Extremely Severe")))</f>
        <v>Normal</v>
      </c>
      <c r="I77">
        <v>-0.81237789999999999</v>
      </c>
      <c r="J77">
        <v>4</v>
      </c>
      <c r="K77" s="1" t="str">
        <f>IF(Table1[[#This Row],[stress_score]]&lt;=10, "Normal", IF(Table1[[#This Row],[stress_score]]&lt;=20, "Moderate", IF(Table1[[#This Row],[stress_score]]&lt;=30, "Severe", "Extremely Severe")))</f>
        <v>Normal</v>
      </c>
      <c r="L77">
        <v>-0.77314866000000004</v>
      </c>
      <c r="M77">
        <v>4</v>
      </c>
      <c r="N77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77">
        <v>-0.72356116999999998</v>
      </c>
      <c r="P77">
        <v>3.3333333000000001</v>
      </c>
      <c r="Q77">
        <f>ROUND(Table1[[#This Row],[dass21_raw_score]],0)</f>
        <v>3</v>
      </c>
      <c r="R77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77">
        <v>-0.76969593999999997</v>
      </c>
      <c r="T77">
        <v>0.32521397000000002</v>
      </c>
      <c r="U77">
        <v>4000</v>
      </c>
      <c r="V77" s="1">
        <f>ROUND(Table1[[#This Row],[fmpce]],0)</f>
        <v>4000</v>
      </c>
      <c r="W77">
        <v>54.418660000000003</v>
      </c>
      <c r="X77" s="4">
        <f>Table1[[#This Row],[mpce]]*89</f>
        <v>4843.2607400000006</v>
      </c>
      <c r="Y77" s="2" t="s">
        <v>32</v>
      </c>
      <c r="Z77" s="3">
        <f>VLOOKUP(Y77, rmpce_reference!$B$1:$D$7,3,FALSE) * 89</f>
        <v>4450</v>
      </c>
      <c r="AA77" s="1" t="str">
        <f>IF(Table1[rmpce_inr]&lt;=rmpce_reference!$F$2, "Low Income", IF(Table1[rmpce_inr]&lt;=rmpce_reference!$F$3, "Middle Income", "High Income"))</f>
        <v>Low Income</v>
      </c>
    </row>
    <row r="78" spans="1:27" x14ac:dyDescent="0.25">
      <c r="A78">
        <v>1077</v>
      </c>
      <c r="B78" t="s">
        <v>20</v>
      </c>
      <c r="C78" t="s">
        <v>21</v>
      </c>
      <c r="D78">
        <v>50</v>
      </c>
      <c r="E78" t="s">
        <v>22</v>
      </c>
      <c r="F78" t="s">
        <v>30</v>
      </c>
      <c r="G78">
        <v>4</v>
      </c>
      <c r="H78" s="1" t="str">
        <f>IF(Table1[[#This Row],[anxiety_score]]&lt;=10, "Normal", IF(Table1[[#This Row],[anxiety_score]]&lt;=20, "Moderate", IF(Table1[[#This Row],[anxiety_score]]&lt;=30, "Severe", "Extremely Severe")))</f>
        <v>Normal</v>
      </c>
      <c r="I78">
        <v>-0.61133329999999997</v>
      </c>
      <c r="J78">
        <v>2</v>
      </c>
      <c r="K78" s="1" t="str">
        <f>IF(Table1[[#This Row],[stress_score]]&lt;=10, "Normal", IF(Table1[[#This Row],[stress_score]]&lt;=20, "Moderate", IF(Table1[[#This Row],[stress_score]]&lt;=30, "Severe", "Extremely Severe")))</f>
        <v>Normal</v>
      </c>
      <c r="L78">
        <v>-0.9678099</v>
      </c>
      <c r="M78">
        <v>6</v>
      </c>
      <c r="N78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78">
        <v>-0.53092379999999995</v>
      </c>
      <c r="P78">
        <v>4</v>
      </c>
      <c r="Q78">
        <f>ROUND(Table1[[#This Row],[dass21_raw_score]],0)</f>
        <v>4</v>
      </c>
      <c r="R78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78">
        <v>-0.70335566999999999</v>
      </c>
      <c r="T78">
        <v>0.39155424</v>
      </c>
      <c r="U78">
        <v>10000</v>
      </c>
      <c r="V78" s="1">
        <f>ROUND(Table1[[#This Row],[fmpce]],0)</f>
        <v>10000</v>
      </c>
      <c r="W78">
        <v>136.04665</v>
      </c>
      <c r="X78" s="4">
        <f>Table1[[#This Row],[mpce]]*89</f>
        <v>12108.15185</v>
      </c>
      <c r="Y78" s="2" t="s">
        <v>35</v>
      </c>
      <c r="Z78" s="3">
        <f>VLOOKUP(Y78, rmpce_reference!$B$1:$D$7,3,FALSE) * 89</f>
        <v>9790</v>
      </c>
      <c r="AA78" s="1" t="str">
        <f>IF(Table1[rmpce_inr]&lt;=rmpce_reference!$F$2, "Low Income", IF(Table1[rmpce_inr]&lt;=rmpce_reference!$F$3, "Middle Income", "High Income"))</f>
        <v>High Income</v>
      </c>
    </row>
    <row r="79" spans="1:27" x14ac:dyDescent="0.25">
      <c r="A79">
        <v>1078</v>
      </c>
      <c r="B79" t="s">
        <v>20</v>
      </c>
      <c r="C79" t="s">
        <v>21</v>
      </c>
      <c r="D79">
        <v>45</v>
      </c>
      <c r="E79" t="s">
        <v>22</v>
      </c>
      <c r="F79" t="s">
        <v>30</v>
      </c>
      <c r="G79">
        <v>10</v>
      </c>
      <c r="H79" s="1" t="str">
        <f>IF(Table1[[#This Row],[anxiety_score]]&lt;=10, "Normal", IF(Table1[[#This Row],[anxiety_score]]&lt;=20, "Moderate", IF(Table1[[#This Row],[anxiety_score]]&lt;=30, "Severe", "Extremely Severe")))</f>
        <v>Normal</v>
      </c>
      <c r="I79">
        <v>-8.1994660000000007E-3</v>
      </c>
      <c r="J79">
        <v>4</v>
      </c>
      <c r="K79" s="1" t="str">
        <f>IF(Table1[[#This Row],[stress_score]]&lt;=10, "Normal", IF(Table1[[#This Row],[stress_score]]&lt;=20, "Moderate", IF(Table1[[#This Row],[stress_score]]&lt;=30, "Severe", "Extremely Severe")))</f>
        <v>Normal</v>
      </c>
      <c r="L79">
        <v>-0.77314866000000004</v>
      </c>
      <c r="M79">
        <v>4</v>
      </c>
      <c r="N79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79">
        <v>-0.72356116999999998</v>
      </c>
      <c r="P79">
        <v>6</v>
      </c>
      <c r="Q79">
        <f>ROUND(Table1[[#This Row],[dass21_raw_score]],0)</f>
        <v>6</v>
      </c>
      <c r="R79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79">
        <v>-0.50163645000000001</v>
      </c>
      <c r="T79">
        <v>0.59327346000000003</v>
      </c>
      <c r="U79">
        <v>5000</v>
      </c>
      <c r="V79" s="1">
        <f>ROUND(Table1[[#This Row],[fmpce]],0)</f>
        <v>5000</v>
      </c>
      <c r="W79">
        <v>68.023319999999998</v>
      </c>
      <c r="X79" s="4">
        <f>Table1[[#This Row],[mpce]]*89</f>
        <v>6054.0754799999995</v>
      </c>
      <c r="Y79" s="2" t="s">
        <v>28</v>
      </c>
      <c r="Z79" s="3">
        <f>VLOOKUP(Y79, rmpce_reference!$B$1:$D$7,3,FALSE) * 89</f>
        <v>6230</v>
      </c>
      <c r="AA79" s="1" t="str">
        <f>IF(Table1[rmpce_inr]&lt;=rmpce_reference!$F$2, "Low Income", IF(Table1[rmpce_inr]&lt;=rmpce_reference!$F$3, "Middle Income", "High Income"))</f>
        <v>Middle Income</v>
      </c>
    </row>
    <row r="80" spans="1:27" x14ac:dyDescent="0.25">
      <c r="A80">
        <v>1079</v>
      </c>
      <c r="B80" t="s">
        <v>20</v>
      </c>
      <c r="C80" t="s">
        <v>33</v>
      </c>
      <c r="D80">
        <v>28</v>
      </c>
      <c r="E80" t="s">
        <v>22</v>
      </c>
      <c r="F80" t="s">
        <v>30</v>
      </c>
      <c r="G80">
        <v>6</v>
      </c>
      <c r="H80" s="1" t="str">
        <f>IF(Table1[[#This Row],[anxiety_score]]&lt;=10, "Normal", IF(Table1[[#This Row],[anxiety_score]]&lt;=20, "Moderate", IF(Table1[[#This Row],[anxiety_score]]&lt;=30, "Severe", "Extremely Severe")))</f>
        <v>Normal</v>
      </c>
      <c r="I80">
        <v>-0.41028870000000001</v>
      </c>
      <c r="J80">
        <v>4</v>
      </c>
      <c r="K80" s="1" t="str">
        <f>IF(Table1[[#This Row],[stress_score]]&lt;=10, "Normal", IF(Table1[[#This Row],[stress_score]]&lt;=20, "Moderate", IF(Table1[[#This Row],[stress_score]]&lt;=30, "Severe", "Extremely Severe")))</f>
        <v>Normal</v>
      </c>
      <c r="L80">
        <v>-0.77314866000000004</v>
      </c>
      <c r="M80">
        <v>4</v>
      </c>
      <c r="N80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80">
        <v>-0.72356116999999998</v>
      </c>
      <c r="P80">
        <v>4.6666664999999998</v>
      </c>
      <c r="Q80">
        <f>ROUND(Table1[[#This Row],[dass21_raw_score]],0)</f>
        <v>5</v>
      </c>
      <c r="R80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80">
        <v>-0.63566619999999996</v>
      </c>
      <c r="T80">
        <v>0.45924369999999998</v>
      </c>
      <c r="U80">
        <v>7500</v>
      </c>
      <c r="V80" s="1">
        <f>ROUND(Table1[[#This Row],[fmpce]],0)</f>
        <v>7500</v>
      </c>
      <c r="W80">
        <v>102.03498999999999</v>
      </c>
      <c r="X80" s="4">
        <f>Table1[[#This Row],[mpce]]*89</f>
        <v>9081.1141099999986</v>
      </c>
      <c r="Y80" s="2" t="s">
        <v>35</v>
      </c>
      <c r="Z80" s="3">
        <f>VLOOKUP(Y80, rmpce_reference!$B$1:$D$7,3,FALSE) * 89</f>
        <v>9790</v>
      </c>
      <c r="AA80" s="1" t="str">
        <f>IF(Table1[rmpce_inr]&lt;=rmpce_reference!$F$2, "Low Income", IF(Table1[rmpce_inr]&lt;=rmpce_reference!$F$3, "Middle Income", "High Income"))</f>
        <v>High Income</v>
      </c>
    </row>
    <row r="81" spans="1:27" x14ac:dyDescent="0.25">
      <c r="A81">
        <v>1080</v>
      </c>
      <c r="B81" t="s">
        <v>20</v>
      </c>
      <c r="C81" t="s">
        <v>33</v>
      </c>
      <c r="D81">
        <v>26</v>
      </c>
      <c r="E81" t="s">
        <v>22</v>
      </c>
      <c r="F81" t="s">
        <v>30</v>
      </c>
      <c r="G81">
        <v>4</v>
      </c>
      <c r="H81" s="1" t="str">
        <f>IF(Table1[[#This Row],[anxiety_score]]&lt;=10, "Normal", IF(Table1[[#This Row],[anxiety_score]]&lt;=20, "Moderate", IF(Table1[[#This Row],[anxiety_score]]&lt;=30, "Severe", "Extremely Severe")))</f>
        <v>Normal</v>
      </c>
      <c r="I81">
        <v>-0.61133329999999997</v>
      </c>
      <c r="J81">
        <v>6</v>
      </c>
      <c r="K81" s="1" t="str">
        <f>IF(Table1[[#This Row],[stress_score]]&lt;=10, "Normal", IF(Table1[[#This Row],[stress_score]]&lt;=20, "Moderate", IF(Table1[[#This Row],[stress_score]]&lt;=30, "Severe", "Extremely Severe")))</f>
        <v>Normal</v>
      </c>
      <c r="L81">
        <v>-0.57848745999999995</v>
      </c>
      <c r="M81">
        <v>2</v>
      </c>
      <c r="N81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81">
        <v>-0.91619854999999994</v>
      </c>
      <c r="P81">
        <v>4</v>
      </c>
      <c r="Q81">
        <f>ROUND(Table1[[#This Row],[dass21_raw_score]],0)</f>
        <v>4</v>
      </c>
      <c r="R81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81">
        <v>-0.70200646</v>
      </c>
      <c r="T81">
        <v>0.39290344999999999</v>
      </c>
      <c r="U81">
        <v>5000</v>
      </c>
      <c r="V81" s="1">
        <f>ROUND(Table1[[#This Row],[fmpce]],0)</f>
        <v>5000</v>
      </c>
      <c r="W81">
        <v>68.023319999999998</v>
      </c>
      <c r="X81" s="4">
        <f>Table1[[#This Row],[mpce]]*89</f>
        <v>6054.0754799999995</v>
      </c>
      <c r="Y81" s="2" t="s">
        <v>28</v>
      </c>
      <c r="Z81" s="3">
        <f>VLOOKUP(Y81, rmpce_reference!$B$1:$D$7,3,FALSE) * 89</f>
        <v>6230</v>
      </c>
      <c r="AA81" s="1" t="str">
        <f>IF(Table1[rmpce_inr]&lt;=rmpce_reference!$F$2, "Low Income", IF(Table1[rmpce_inr]&lt;=rmpce_reference!$F$3, "Middle Income", "High Income"))</f>
        <v>Middle Income</v>
      </c>
    </row>
    <row r="82" spans="1:27" x14ac:dyDescent="0.25">
      <c r="A82">
        <v>1081</v>
      </c>
      <c r="B82" t="s">
        <v>20</v>
      </c>
      <c r="C82" t="s">
        <v>33</v>
      </c>
      <c r="D82">
        <v>27</v>
      </c>
      <c r="E82" t="s">
        <v>22</v>
      </c>
      <c r="F82" t="s">
        <v>30</v>
      </c>
      <c r="G82">
        <v>6</v>
      </c>
      <c r="H82" s="1" t="str">
        <f>IF(Table1[[#This Row],[anxiety_score]]&lt;=10, "Normal", IF(Table1[[#This Row],[anxiety_score]]&lt;=20, "Moderate", IF(Table1[[#This Row],[anxiety_score]]&lt;=30, "Severe", "Extremely Severe")))</f>
        <v>Normal</v>
      </c>
      <c r="I82">
        <v>-0.41028870000000001</v>
      </c>
      <c r="J82">
        <v>8</v>
      </c>
      <c r="K82" s="1" t="str">
        <f>IF(Table1[[#This Row],[stress_score]]&lt;=10, "Normal", IF(Table1[[#This Row],[stress_score]]&lt;=20, "Moderate", IF(Table1[[#This Row],[stress_score]]&lt;=30, "Severe", "Extremely Severe")))</f>
        <v>Normal</v>
      </c>
      <c r="L82">
        <v>-0.38382620000000001</v>
      </c>
      <c r="M82">
        <v>0</v>
      </c>
      <c r="N82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82">
        <v>-1.1088359000000001</v>
      </c>
      <c r="P82">
        <v>4.6666664999999998</v>
      </c>
      <c r="Q82">
        <f>ROUND(Table1[[#This Row],[dass21_raw_score]],0)</f>
        <v>5</v>
      </c>
      <c r="R82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82">
        <v>-0.63431689999999996</v>
      </c>
      <c r="T82">
        <v>0.46059299999999997</v>
      </c>
      <c r="U82">
        <v>3000</v>
      </c>
      <c r="V82" s="1">
        <f>ROUND(Table1[[#This Row],[fmpce]],0)</f>
        <v>3000</v>
      </c>
      <c r="W82">
        <v>40.813994999999998</v>
      </c>
      <c r="X82" s="4">
        <f>Table1[[#This Row],[mpce]]*89</f>
        <v>3632.4455549999998</v>
      </c>
      <c r="Y82" s="2" t="s">
        <v>32</v>
      </c>
      <c r="Z82" s="3">
        <f>VLOOKUP(Y82, rmpce_reference!$B$1:$D$7,3,FALSE) * 89</f>
        <v>4450</v>
      </c>
      <c r="AA82" s="1" t="str">
        <f>IF(Table1[rmpce_inr]&lt;=rmpce_reference!$F$2, "Low Income", IF(Table1[rmpce_inr]&lt;=rmpce_reference!$F$3, "Middle Income", "High Income"))</f>
        <v>Low Income</v>
      </c>
    </row>
    <row r="83" spans="1:27" x14ac:dyDescent="0.25">
      <c r="A83">
        <v>1082</v>
      </c>
      <c r="B83" t="s">
        <v>20</v>
      </c>
      <c r="C83" t="s">
        <v>33</v>
      </c>
      <c r="D83">
        <v>26</v>
      </c>
      <c r="E83" t="s">
        <v>22</v>
      </c>
      <c r="F83" t="s">
        <v>27</v>
      </c>
      <c r="G83">
        <v>8</v>
      </c>
      <c r="H83" s="1" t="str">
        <f>IF(Table1[[#This Row],[anxiety_score]]&lt;=10, "Normal", IF(Table1[[#This Row],[anxiety_score]]&lt;=20, "Moderate", IF(Table1[[#This Row],[anxiety_score]]&lt;=30, "Severe", "Extremely Severe")))</f>
        <v>Normal</v>
      </c>
      <c r="I83">
        <v>-0.20924408999999999</v>
      </c>
      <c r="J83">
        <v>2</v>
      </c>
      <c r="K83" s="1" t="str">
        <f>IF(Table1[[#This Row],[stress_score]]&lt;=10, "Normal", IF(Table1[[#This Row],[stress_score]]&lt;=20, "Moderate", IF(Table1[[#This Row],[stress_score]]&lt;=30, "Severe", "Extremely Severe")))</f>
        <v>Normal</v>
      </c>
      <c r="L83">
        <v>-0.9678099</v>
      </c>
      <c r="M83">
        <v>0</v>
      </c>
      <c r="N83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83">
        <v>-1.1088359000000001</v>
      </c>
      <c r="P83">
        <v>3.3333333000000001</v>
      </c>
      <c r="Q83">
        <f>ROUND(Table1[[#This Row],[dass21_raw_score]],0)</f>
        <v>3</v>
      </c>
      <c r="R83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83">
        <v>-0.76196330000000001</v>
      </c>
      <c r="T83">
        <v>0.33294659999999998</v>
      </c>
      <c r="U83">
        <v>5000</v>
      </c>
      <c r="V83" s="1">
        <f>ROUND(Table1[[#This Row],[fmpce]],0)</f>
        <v>5000</v>
      </c>
      <c r="W83">
        <v>68.023319999999998</v>
      </c>
      <c r="X83" s="4">
        <f>Table1[[#This Row],[mpce]]*89</f>
        <v>6054.0754799999995</v>
      </c>
      <c r="Y83" s="2" t="s">
        <v>28</v>
      </c>
      <c r="Z83" s="3">
        <f>VLOOKUP(Y83, rmpce_reference!$B$1:$D$7,3,FALSE) * 89</f>
        <v>6230</v>
      </c>
      <c r="AA83" s="1" t="str">
        <f>IF(Table1[rmpce_inr]&lt;=rmpce_reference!$F$2, "Low Income", IF(Table1[rmpce_inr]&lt;=rmpce_reference!$F$3, "Middle Income", "High Income"))</f>
        <v>Middle Income</v>
      </c>
    </row>
    <row r="84" spans="1:27" x14ac:dyDescent="0.25">
      <c r="A84">
        <v>1083</v>
      </c>
      <c r="B84" t="s">
        <v>20</v>
      </c>
      <c r="C84" t="s">
        <v>33</v>
      </c>
      <c r="D84">
        <v>27</v>
      </c>
      <c r="E84" t="s">
        <v>25</v>
      </c>
      <c r="F84" t="s">
        <v>30</v>
      </c>
      <c r="G84">
        <v>2</v>
      </c>
      <c r="H84" s="1" t="str">
        <f>IF(Table1[[#This Row],[anxiety_score]]&lt;=10, "Normal", IF(Table1[[#This Row],[anxiety_score]]&lt;=20, "Moderate", IF(Table1[[#This Row],[anxiety_score]]&lt;=30, "Severe", "Extremely Severe")))</f>
        <v>Normal</v>
      </c>
      <c r="I84">
        <v>-0.81237789999999999</v>
      </c>
      <c r="J84">
        <v>2</v>
      </c>
      <c r="K84" s="1" t="str">
        <f>IF(Table1[[#This Row],[stress_score]]&lt;=10, "Normal", IF(Table1[[#This Row],[stress_score]]&lt;=20, "Moderate", IF(Table1[[#This Row],[stress_score]]&lt;=30, "Severe", "Extremely Severe")))</f>
        <v>Normal</v>
      </c>
      <c r="L84">
        <v>-0.9678099</v>
      </c>
      <c r="M84">
        <v>2</v>
      </c>
      <c r="N84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84">
        <v>-0.91619854999999994</v>
      </c>
      <c r="P84">
        <v>2</v>
      </c>
      <c r="Q84">
        <f>ROUND(Table1[[#This Row],[dass21_raw_score]],0)</f>
        <v>2</v>
      </c>
      <c r="R84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84">
        <v>-0.89879549999999997</v>
      </c>
      <c r="T84">
        <v>0.19611442000000001</v>
      </c>
      <c r="U84">
        <v>5000</v>
      </c>
      <c r="V84" s="1">
        <f>ROUND(Table1[[#This Row],[fmpce]],0)</f>
        <v>5000</v>
      </c>
      <c r="W84">
        <v>68.023319999999998</v>
      </c>
      <c r="X84" s="4">
        <f>Table1[[#This Row],[mpce]]*89</f>
        <v>6054.0754799999995</v>
      </c>
      <c r="Y84" s="2" t="s">
        <v>28</v>
      </c>
      <c r="Z84" s="3">
        <f>VLOOKUP(Y84, rmpce_reference!$B$1:$D$7,3,FALSE) * 89</f>
        <v>6230</v>
      </c>
      <c r="AA84" s="1" t="str">
        <f>IF(Table1[rmpce_inr]&lt;=rmpce_reference!$F$2, "Low Income", IF(Table1[rmpce_inr]&lt;=rmpce_reference!$F$3, "Middle Income", "High Income"))</f>
        <v>Middle Income</v>
      </c>
    </row>
    <row r="85" spans="1:27" x14ac:dyDescent="0.25">
      <c r="A85">
        <v>1084</v>
      </c>
      <c r="B85" t="s">
        <v>20</v>
      </c>
      <c r="C85" t="s">
        <v>33</v>
      </c>
      <c r="D85">
        <v>29</v>
      </c>
      <c r="E85" t="s">
        <v>22</v>
      </c>
      <c r="F85" t="s">
        <v>30</v>
      </c>
      <c r="G85">
        <v>8</v>
      </c>
      <c r="H85" s="1" t="str">
        <f>IF(Table1[[#This Row],[anxiety_score]]&lt;=10, "Normal", IF(Table1[[#This Row],[anxiety_score]]&lt;=20, "Moderate", IF(Table1[[#This Row],[anxiety_score]]&lt;=30, "Severe", "Extremely Severe")))</f>
        <v>Normal</v>
      </c>
      <c r="I85">
        <v>-0.20924408999999999</v>
      </c>
      <c r="J85">
        <v>6</v>
      </c>
      <c r="K85" s="1" t="str">
        <f>IF(Table1[[#This Row],[stress_score]]&lt;=10, "Normal", IF(Table1[[#This Row],[stress_score]]&lt;=20, "Moderate", IF(Table1[[#This Row],[stress_score]]&lt;=30, "Severe", "Extremely Severe")))</f>
        <v>Normal</v>
      </c>
      <c r="L85">
        <v>-0.57848745999999995</v>
      </c>
      <c r="M85">
        <v>4</v>
      </c>
      <c r="N85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85">
        <v>-0.72356116999999998</v>
      </c>
      <c r="P85">
        <v>6</v>
      </c>
      <c r="Q85">
        <f>ROUND(Table1[[#This Row],[dass21_raw_score]],0)</f>
        <v>6</v>
      </c>
      <c r="R85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85">
        <v>-0.5037642</v>
      </c>
      <c r="T85">
        <v>0.5911457</v>
      </c>
      <c r="U85">
        <v>3750</v>
      </c>
      <c r="V85" s="1">
        <f>ROUND(Table1[[#This Row],[fmpce]],0)</f>
        <v>3750</v>
      </c>
      <c r="W85">
        <v>51.017493999999999</v>
      </c>
      <c r="X85" s="4">
        <f>Table1[[#This Row],[mpce]]*89</f>
        <v>4540.5569660000001</v>
      </c>
      <c r="Y85" s="2" t="s">
        <v>32</v>
      </c>
      <c r="Z85" s="3">
        <f>VLOOKUP(Y85, rmpce_reference!$B$1:$D$7,3,FALSE) * 89</f>
        <v>4450</v>
      </c>
      <c r="AA85" s="1" t="str">
        <f>IF(Table1[rmpce_inr]&lt;=rmpce_reference!$F$2, "Low Income", IF(Table1[rmpce_inr]&lt;=rmpce_reference!$F$3, "Middle Income", "High Income"))</f>
        <v>Low Income</v>
      </c>
    </row>
    <row r="86" spans="1:27" x14ac:dyDescent="0.25">
      <c r="A86">
        <v>1085</v>
      </c>
      <c r="B86" t="s">
        <v>20</v>
      </c>
      <c r="C86" t="s">
        <v>33</v>
      </c>
      <c r="D86">
        <v>30</v>
      </c>
      <c r="E86" t="s">
        <v>22</v>
      </c>
      <c r="F86" t="s">
        <v>23</v>
      </c>
      <c r="G86">
        <v>2</v>
      </c>
      <c r="H86" s="1" t="str">
        <f>IF(Table1[[#This Row],[anxiety_score]]&lt;=10, "Normal", IF(Table1[[#This Row],[anxiety_score]]&lt;=20, "Moderate", IF(Table1[[#This Row],[anxiety_score]]&lt;=30, "Severe", "Extremely Severe")))</f>
        <v>Normal</v>
      </c>
      <c r="I86">
        <v>-0.81237789999999999</v>
      </c>
      <c r="J86">
        <v>4</v>
      </c>
      <c r="K86" s="1" t="str">
        <f>IF(Table1[[#This Row],[stress_score]]&lt;=10, "Normal", IF(Table1[[#This Row],[stress_score]]&lt;=20, "Moderate", IF(Table1[[#This Row],[stress_score]]&lt;=30, "Severe", "Extremely Severe")))</f>
        <v>Normal</v>
      </c>
      <c r="L86">
        <v>-0.77314866000000004</v>
      </c>
      <c r="M86">
        <v>6</v>
      </c>
      <c r="N86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86">
        <v>-0.53092379999999995</v>
      </c>
      <c r="P86">
        <v>4</v>
      </c>
      <c r="Q86">
        <f>ROUND(Table1[[#This Row],[dass21_raw_score]],0)</f>
        <v>4</v>
      </c>
      <c r="R86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86">
        <v>-0.70548343999999996</v>
      </c>
      <c r="T86">
        <v>0.38942647000000002</v>
      </c>
      <c r="U86">
        <v>6250</v>
      </c>
      <c r="V86" s="1">
        <f>ROUND(Table1[[#This Row],[fmpce]],0)</f>
        <v>6250</v>
      </c>
      <c r="W86">
        <v>85.029150000000001</v>
      </c>
      <c r="X86" s="4">
        <f>Table1[[#This Row],[mpce]]*89</f>
        <v>7567.5943500000003</v>
      </c>
      <c r="Y86" s="2" t="s">
        <v>31</v>
      </c>
      <c r="Z86" s="3">
        <f>VLOOKUP(Y86, rmpce_reference!$B$1:$D$7,3,FALSE) * 89</f>
        <v>8010</v>
      </c>
      <c r="AA86" s="1" t="str">
        <f>IF(Table1[rmpce_inr]&lt;=rmpce_reference!$F$2, "Low Income", IF(Table1[rmpce_inr]&lt;=rmpce_reference!$F$3, "Middle Income", "High Income"))</f>
        <v>High Income</v>
      </c>
    </row>
    <row r="87" spans="1:27" x14ac:dyDescent="0.25">
      <c r="A87">
        <v>1086</v>
      </c>
      <c r="B87" t="s">
        <v>20</v>
      </c>
      <c r="C87" t="s">
        <v>29</v>
      </c>
      <c r="D87">
        <v>38</v>
      </c>
      <c r="E87" t="s">
        <v>25</v>
      </c>
      <c r="F87" t="s">
        <v>30</v>
      </c>
      <c r="G87">
        <v>4</v>
      </c>
      <c r="H87" s="1" t="str">
        <f>IF(Table1[[#This Row],[anxiety_score]]&lt;=10, "Normal", IF(Table1[[#This Row],[anxiety_score]]&lt;=20, "Moderate", IF(Table1[[#This Row],[anxiety_score]]&lt;=30, "Severe", "Extremely Severe")))</f>
        <v>Normal</v>
      </c>
      <c r="I87">
        <v>-0.61133329999999997</v>
      </c>
      <c r="J87">
        <v>2</v>
      </c>
      <c r="K87" s="1" t="str">
        <f>IF(Table1[[#This Row],[stress_score]]&lt;=10, "Normal", IF(Table1[[#This Row],[stress_score]]&lt;=20, "Moderate", IF(Table1[[#This Row],[stress_score]]&lt;=30, "Severe", "Extremely Severe")))</f>
        <v>Normal</v>
      </c>
      <c r="L87">
        <v>-0.9678099</v>
      </c>
      <c r="M87">
        <v>4</v>
      </c>
      <c r="N87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87">
        <v>-0.72356116999999998</v>
      </c>
      <c r="P87">
        <v>3.3333333000000001</v>
      </c>
      <c r="Q87">
        <f>ROUND(Table1[[#This Row],[dass21_raw_score]],0)</f>
        <v>3</v>
      </c>
      <c r="R87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87">
        <v>-0.76756809999999998</v>
      </c>
      <c r="T87">
        <v>0.32734180000000002</v>
      </c>
      <c r="U87">
        <v>3750</v>
      </c>
      <c r="V87" s="1">
        <f>ROUND(Table1[[#This Row],[fmpce]],0)</f>
        <v>3750</v>
      </c>
      <c r="W87">
        <v>51.017493999999999</v>
      </c>
      <c r="X87" s="4">
        <f>Table1[[#This Row],[mpce]]*89</f>
        <v>4540.5569660000001</v>
      </c>
      <c r="Y87" s="2" t="s">
        <v>32</v>
      </c>
      <c r="Z87" s="3">
        <f>VLOOKUP(Y87, rmpce_reference!$B$1:$D$7,3,FALSE) * 89</f>
        <v>4450</v>
      </c>
      <c r="AA87" s="1" t="str">
        <f>IF(Table1[rmpce_inr]&lt;=rmpce_reference!$F$2, "Low Income", IF(Table1[rmpce_inr]&lt;=rmpce_reference!$F$3, "Middle Income", "High Income"))</f>
        <v>Low Income</v>
      </c>
    </row>
    <row r="88" spans="1:27" x14ac:dyDescent="0.25">
      <c r="A88">
        <v>1087</v>
      </c>
      <c r="B88" t="s">
        <v>20</v>
      </c>
      <c r="C88" t="s">
        <v>33</v>
      </c>
      <c r="D88">
        <v>26</v>
      </c>
      <c r="E88" t="s">
        <v>25</v>
      </c>
      <c r="F88" t="s">
        <v>30</v>
      </c>
      <c r="G88">
        <v>6</v>
      </c>
      <c r="H88" s="1" t="str">
        <f>IF(Table1[[#This Row],[anxiety_score]]&lt;=10, "Normal", IF(Table1[[#This Row],[anxiety_score]]&lt;=20, "Moderate", IF(Table1[[#This Row],[anxiety_score]]&lt;=30, "Severe", "Extremely Severe")))</f>
        <v>Normal</v>
      </c>
      <c r="I88">
        <v>-0.41028870000000001</v>
      </c>
      <c r="J88">
        <v>2</v>
      </c>
      <c r="K88" s="1" t="str">
        <f>IF(Table1[[#This Row],[stress_score]]&lt;=10, "Normal", IF(Table1[[#This Row],[stress_score]]&lt;=20, "Moderate", IF(Table1[[#This Row],[stress_score]]&lt;=30, "Severe", "Extremely Severe")))</f>
        <v>Normal</v>
      </c>
      <c r="L88">
        <v>-0.9678099</v>
      </c>
      <c r="M88">
        <v>4</v>
      </c>
      <c r="N88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88">
        <v>-0.72356116999999998</v>
      </c>
      <c r="P88">
        <v>4</v>
      </c>
      <c r="Q88">
        <f>ROUND(Table1[[#This Row],[dass21_raw_score]],0)</f>
        <v>4</v>
      </c>
      <c r="R88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88">
        <v>-0.70055323999999997</v>
      </c>
      <c r="T88">
        <v>0.39435667000000002</v>
      </c>
      <c r="U88">
        <v>6000</v>
      </c>
      <c r="V88" s="1">
        <f>ROUND(Table1[[#This Row],[fmpce]],0)</f>
        <v>6000</v>
      </c>
      <c r="W88">
        <v>81.627989999999997</v>
      </c>
      <c r="X88" s="4">
        <f>Table1[[#This Row],[mpce]]*89</f>
        <v>7264.8911099999996</v>
      </c>
      <c r="Y88" s="2" t="s">
        <v>31</v>
      </c>
      <c r="Z88" s="3">
        <f>VLOOKUP(Y88, rmpce_reference!$B$1:$D$7,3,FALSE) * 89</f>
        <v>8010</v>
      </c>
      <c r="AA88" s="1" t="str">
        <f>IF(Table1[rmpce_inr]&lt;=rmpce_reference!$F$2, "Low Income", IF(Table1[rmpce_inr]&lt;=rmpce_reference!$F$3, "Middle Income", "High Income"))</f>
        <v>High Income</v>
      </c>
    </row>
    <row r="89" spans="1:27" x14ac:dyDescent="0.25">
      <c r="A89">
        <v>1088</v>
      </c>
      <c r="B89" t="s">
        <v>20</v>
      </c>
      <c r="C89" t="s">
        <v>33</v>
      </c>
      <c r="D89">
        <v>28</v>
      </c>
      <c r="E89" t="s">
        <v>22</v>
      </c>
      <c r="F89" t="s">
        <v>30</v>
      </c>
      <c r="G89">
        <v>4</v>
      </c>
      <c r="H89" s="1" t="str">
        <f>IF(Table1[[#This Row],[anxiety_score]]&lt;=10, "Normal", IF(Table1[[#This Row],[anxiety_score]]&lt;=20, "Moderate", IF(Table1[[#This Row],[anxiety_score]]&lt;=30, "Severe", "Extremely Severe")))</f>
        <v>Normal</v>
      </c>
      <c r="I89">
        <v>-0.61133329999999997</v>
      </c>
      <c r="J89">
        <v>6</v>
      </c>
      <c r="K89" s="1" t="str">
        <f>IF(Table1[[#This Row],[stress_score]]&lt;=10, "Normal", IF(Table1[[#This Row],[stress_score]]&lt;=20, "Moderate", IF(Table1[[#This Row],[stress_score]]&lt;=30, "Severe", "Extremely Severe")))</f>
        <v>Normal</v>
      </c>
      <c r="L89">
        <v>-0.57848745999999995</v>
      </c>
      <c r="M89">
        <v>4</v>
      </c>
      <c r="N89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89">
        <v>-0.72356116999999998</v>
      </c>
      <c r="P89">
        <v>4.6666664999999998</v>
      </c>
      <c r="Q89">
        <f>ROUND(Table1[[#This Row],[dass21_raw_score]],0)</f>
        <v>5</v>
      </c>
      <c r="R89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89">
        <v>-0.63779395999999999</v>
      </c>
      <c r="T89">
        <v>0.45711594999999999</v>
      </c>
      <c r="U89">
        <v>10000</v>
      </c>
      <c r="V89" s="1">
        <f>ROUND(Table1[[#This Row],[fmpce]],0)</f>
        <v>10000</v>
      </c>
      <c r="W89">
        <v>136.04665</v>
      </c>
      <c r="X89" s="4">
        <f>Table1[[#This Row],[mpce]]*89</f>
        <v>12108.15185</v>
      </c>
      <c r="Y89" s="2" t="s">
        <v>35</v>
      </c>
      <c r="Z89" s="3">
        <f>VLOOKUP(Y89, rmpce_reference!$B$1:$D$7,3,FALSE) * 89</f>
        <v>9790</v>
      </c>
      <c r="AA89" s="1" t="str">
        <f>IF(Table1[rmpce_inr]&lt;=rmpce_reference!$F$2, "Low Income", IF(Table1[rmpce_inr]&lt;=rmpce_reference!$F$3, "Middle Income", "High Income"))</f>
        <v>High Income</v>
      </c>
    </row>
    <row r="90" spans="1:27" x14ac:dyDescent="0.25">
      <c r="A90">
        <v>1089</v>
      </c>
      <c r="B90" t="s">
        <v>20</v>
      </c>
      <c r="C90" t="s">
        <v>33</v>
      </c>
      <c r="D90">
        <v>27</v>
      </c>
      <c r="E90" t="s">
        <v>22</v>
      </c>
      <c r="F90" t="s">
        <v>30</v>
      </c>
      <c r="G90">
        <v>6</v>
      </c>
      <c r="H90" s="1" t="str">
        <f>IF(Table1[[#This Row],[anxiety_score]]&lt;=10, "Normal", IF(Table1[[#This Row],[anxiety_score]]&lt;=20, "Moderate", IF(Table1[[#This Row],[anxiety_score]]&lt;=30, "Severe", "Extremely Severe")))</f>
        <v>Normal</v>
      </c>
      <c r="I90">
        <v>-0.41028870000000001</v>
      </c>
      <c r="J90">
        <v>4</v>
      </c>
      <c r="K90" s="1" t="str">
        <f>IF(Table1[[#This Row],[stress_score]]&lt;=10, "Normal", IF(Table1[[#This Row],[stress_score]]&lt;=20, "Moderate", IF(Table1[[#This Row],[stress_score]]&lt;=30, "Severe", "Extremely Severe")))</f>
        <v>Normal</v>
      </c>
      <c r="L90">
        <v>-0.77314866000000004</v>
      </c>
      <c r="M90">
        <v>4</v>
      </c>
      <c r="N90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90">
        <v>-0.72356116999999998</v>
      </c>
      <c r="P90">
        <v>4.6666664999999998</v>
      </c>
      <c r="Q90">
        <f>ROUND(Table1[[#This Row],[dass21_raw_score]],0)</f>
        <v>5</v>
      </c>
      <c r="R90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90">
        <v>-0.63566619999999996</v>
      </c>
      <c r="T90">
        <v>0.45924369999999998</v>
      </c>
      <c r="U90">
        <v>6250</v>
      </c>
      <c r="V90" s="1">
        <f>ROUND(Table1[[#This Row],[fmpce]],0)</f>
        <v>6250</v>
      </c>
      <c r="W90">
        <v>85.029150000000001</v>
      </c>
      <c r="X90" s="4">
        <f>Table1[[#This Row],[mpce]]*89</f>
        <v>7567.5943500000003</v>
      </c>
      <c r="Y90" s="2" t="s">
        <v>31</v>
      </c>
      <c r="Z90" s="3">
        <f>VLOOKUP(Y90, rmpce_reference!$B$1:$D$7,3,FALSE) * 89</f>
        <v>8010</v>
      </c>
      <c r="AA90" s="1" t="str">
        <f>IF(Table1[rmpce_inr]&lt;=rmpce_reference!$F$2, "Low Income", IF(Table1[rmpce_inr]&lt;=rmpce_reference!$F$3, "Middle Income", "High Income"))</f>
        <v>High Income</v>
      </c>
    </row>
    <row r="91" spans="1:27" x14ac:dyDescent="0.25">
      <c r="A91">
        <v>1090</v>
      </c>
      <c r="B91" t="s">
        <v>20</v>
      </c>
      <c r="C91" t="s">
        <v>21</v>
      </c>
      <c r="D91">
        <v>43</v>
      </c>
      <c r="E91" t="s">
        <v>22</v>
      </c>
      <c r="F91" t="s">
        <v>30</v>
      </c>
      <c r="G91">
        <v>0</v>
      </c>
      <c r="H91" s="1" t="str">
        <f>IF(Table1[[#This Row],[anxiety_score]]&lt;=10, "Normal", IF(Table1[[#This Row],[anxiety_score]]&lt;=20, "Moderate", IF(Table1[[#This Row],[anxiety_score]]&lt;=30, "Severe", "Extremely Severe")))</f>
        <v>Normal</v>
      </c>
      <c r="I91">
        <v>-1.0134224999999999</v>
      </c>
      <c r="J91">
        <v>0</v>
      </c>
      <c r="K91" s="1" t="str">
        <f>IF(Table1[[#This Row],[stress_score]]&lt;=10, "Normal", IF(Table1[[#This Row],[stress_score]]&lt;=20, "Moderate", IF(Table1[[#This Row],[stress_score]]&lt;=30, "Severe", "Extremely Severe")))</f>
        <v>Normal</v>
      </c>
      <c r="L91">
        <v>-1.1624711999999999</v>
      </c>
      <c r="M91">
        <v>2</v>
      </c>
      <c r="N91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91">
        <v>-0.91619854999999994</v>
      </c>
      <c r="P91">
        <v>0.66666669999999995</v>
      </c>
      <c r="Q91">
        <f>ROUND(Table1[[#This Row],[dass21_raw_score]],0)</f>
        <v>1</v>
      </c>
      <c r="R91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91">
        <v>-1.0306972999999999</v>
      </c>
      <c r="T91">
        <v>6.4212560000000002E-2</v>
      </c>
      <c r="U91">
        <v>5000</v>
      </c>
      <c r="V91" s="1">
        <f>ROUND(Table1[[#This Row],[fmpce]],0)</f>
        <v>5000</v>
      </c>
      <c r="W91">
        <v>68.023319999999998</v>
      </c>
      <c r="X91" s="4">
        <f>Table1[[#This Row],[mpce]]*89</f>
        <v>6054.0754799999995</v>
      </c>
      <c r="Y91" s="2" t="s">
        <v>28</v>
      </c>
      <c r="Z91" s="3">
        <f>VLOOKUP(Y91, rmpce_reference!$B$1:$D$7,3,FALSE) * 89</f>
        <v>6230</v>
      </c>
      <c r="AA91" s="1" t="str">
        <f>IF(Table1[rmpce_inr]&lt;=rmpce_reference!$F$2, "Low Income", IF(Table1[rmpce_inr]&lt;=rmpce_reference!$F$3, "Middle Income", "High Income"))</f>
        <v>Middle Income</v>
      </c>
    </row>
    <row r="92" spans="1:27" x14ac:dyDescent="0.25">
      <c r="A92">
        <v>1091</v>
      </c>
      <c r="B92" t="s">
        <v>20</v>
      </c>
      <c r="C92" t="s">
        <v>29</v>
      </c>
      <c r="D92">
        <v>34</v>
      </c>
      <c r="E92" t="s">
        <v>22</v>
      </c>
      <c r="F92" t="s">
        <v>30</v>
      </c>
      <c r="G92">
        <v>2</v>
      </c>
      <c r="H92" s="1" t="str">
        <f>IF(Table1[[#This Row],[anxiety_score]]&lt;=10, "Normal", IF(Table1[[#This Row],[anxiety_score]]&lt;=20, "Moderate", IF(Table1[[#This Row],[anxiety_score]]&lt;=30, "Severe", "Extremely Severe")))</f>
        <v>Normal</v>
      </c>
      <c r="I92">
        <v>-0.81237789999999999</v>
      </c>
      <c r="J92">
        <v>4</v>
      </c>
      <c r="K92" s="1" t="str">
        <f>IF(Table1[[#This Row],[stress_score]]&lt;=10, "Normal", IF(Table1[[#This Row],[stress_score]]&lt;=20, "Moderate", IF(Table1[[#This Row],[stress_score]]&lt;=30, "Severe", "Extremely Severe")))</f>
        <v>Normal</v>
      </c>
      <c r="L92">
        <v>-0.77314866000000004</v>
      </c>
      <c r="M92">
        <v>2</v>
      </c>
      <c r="N92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92">
        <v>-0.91619854999999994</v>
      </c>
      <c r="P92">
        <v>2.6666666999999999</v>
      </c>
      <c r="Q92">
        <f>ROUND(Table1[[#This Row],[dass21_raw_score]],0)</f>
        <v>3</v>
      </c>
      <c r="R92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92">
        <v>-0.83390839999999999</v>
      </c>
      <c r="T92">
        <v>0.26100152999999998</v>
      </c>
      <c r="U92">
        <v>1666.6666</v>
      </c>
      <c r="V92" s="1">
        <f>ROUND(Table1[[#This Row],[fmpce]],0)</f>
        <v>1667</v>
      </c>
      <c r="W92">
        <v>22.674440000000001</v>
      </c>
      <c r="X92" s="4">
        <f>Table1[[#This Row],[mpce]]*89</f>
        <v>2018.0251600000001</v>
      </c>
      <c r="Y92" s="2" t="s">
        <v>24</v>
      </c>
      <c r="Z92" s="3">
        <f>VLOOKUP(Y92, rmpce_reference!$B$1:$D$7,3,FALSE) * 89</f>
        <v>2225</v>
      </c>
      <c r="AA92" s="1" t="str">
        <f>IF(Table1[rmpce_inr]&lt;=rmpce_reference!$F$2, "Low Income", IF(Table1[rmpce_inr]&lt;=rmpce_reference!$F$3, "Middle Income", "High Income"))</f>
        <v>Low Income</v>
      </c>
    </row>
    <row r="93" spans="1:27" x14ac:dyDescent="0.25">
      <c r="A93">
        <v>1092</v>
      </c>
      <c r="B93" t="s">
        <v>20</v>
      </c>
      <c r="C93" t="s">
        <v>29</v>
      </c>
      <c r="D93">
        <v>38</v>
      </c>
      <c r="E93" t="s">
        <v>22</v>
      </c>
      <c r="F93" t="s">
        <v>23</v>
      </c>
      <c r="G93">
        <v>8</v>
      </c>
      <c r="H93" s="1" t="str">
        <f>IF(Table1[[#This Row],[anxiety_score]]&lt;=10, "Normal", IF(Table1[[#This Row],[anxiety_score]]&lt;=20, "Moderate", IF(Table1[[#This Row],[anxiety_score]]&lt;=30, "Severe", "Extremely Severe")))</f>
        <v>Normal</v>
      </c>
      <c r="I93">
        <v>-0.20924408999999999</v>
      </c>
      <c r="J93">
        <v>2</v>
      </c>
      <c r="K93" s="1" t="str">
        <f>IF(Table1[[#This Row],[stress_score]]&lt;=10, "Normal", IF(Table1[[#This Row],[stress_score]]&lt;=20, "Moderate", IF(Table1[[#This Row],[stress_score]]&lt;=30, "Severe", "Extremely Severe")))</f>
        <v>Normal</v>
      </c>
      <c r="L93">
        <v>-0.9678099</v>
      </c>
      <c r="M93">
        <v>6</v>
      </c>
      <c r="N93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93">
        <v>-0.53092379999999995</v>
      </c>
      <c r="P93">
        <v>5.3333335000000002</v>
      </c>
      <c r="Q93">
        <f>ROUND(Table1[[#This Row],[dass21_raw_score]],0)</f>
        <v>5</v>
      </c>
      <c r="R93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93">
        <v>-0.56932590000000005</v>
      </c>
      <c r="T93">
        <v>0.52558400000000005</v>
      </c>
      <c r="U93">
        <v>6000</v>
      </c>
      <c r="V93" s="1">
        <f>ROUND(Table1[[#This Row],[fmpce]],0)</f>
        <v>6000</v>
      </c>
      <c r="W93">
        <v>81.627989999999997</v>
      </c>
      <c r="X93" s="4">
        <f>Table1[[#This Row],[mpce]]*89</f>
        <v>7264.8911099999996</v>
      </c>
      <c r="Y93" s="2" t="s">
        <v>31</v>
      </c>
      <c r="Z93" s="3">
        <f>VLOOKUP(Y93, rmpce_reference!$B$1:$D$7,3,FALSE) * 89</f>
        <v>8010</v>
      </c>
      <c r="AA93" s="1" t="str">
        <f>IF(Table1[rmpce_inr]&lt;=rmpce_reference!$F$2, "Low Income", IF(Table1[rmpce_inr]&lt;=rmpce_reference!$F$3, "Middle Income", "High Income"))</f>
        <v>High Income</v>
      </c>
    </row>
    <row r="94" spans="1:27" x14ac:dyDescent="0.25">
      <c r="A94">
        <v>1093</v>
      </c>
      <c r="B94" t="s">
        <v>20</v>
      </c>
      <c r="C94" t="s">
        <v>33</v>
      </c>
      <c r="D94">
        <v>27</v>
      </c>
      <c r="E94" t="s">
        <v>22</v>
      </c>
      <c r="F94" t="s">
        <v>27</v>
      </c>
      <c r="G94">
        <v>6</v>
      </c>
      <c r="H94" s="1" t="str">
        <f>IF(Table1[[#This Row],[anxiety_score]]&lt;=10, "Normal", IF(Table1[[#This Row],[anxiety_score]]&lt;=20, "Moderate", IF(Table1[[#This Row],[anxiety_score]]&lt;=30, "Severe", "Extremely Severe")))</f>
        <v>Normal</v>
      </c>
      <c r="I94">
        <v>-0.41028870000000001</v>
      </c>
      <c r="J94">
        <v>4</v>
      </c>
      <c r="K94" s="1" t="str">
        <f>IF(Table1[[#This Row],[stress_score]]&lt;=10, "Normal", IF(Table1[[#This Row],[stress_score]]&lt;=20, "Moderate", IF(Table1[[#This Row],[stress_score]]&lt;=30, "Severe", "Extremely Severe")))</f>
        <v>Normal</v>
      </c>
      <c r="L94">
        <v>-0.77314866000000004</v>
      </c>
      <c r="M94">
        <v>2</v>
      </c>
      <c r="N94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94">
        <v>-0.91619854999999994</v>
      </c>
      <c r="P94">
        <v>4</v>
      </c>
      <c r="Q94">
        <f>ROUND(Table1[[#This Row],[dass21_raw_score]],0)</f>
        <v>4</v>
      </c>
      <c r="R94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94">
        <v>-0.69987862999999995</v>
      </c>
      <c r="T94">
        <v>0.39503126999999999</v>
      </c>
      <c r="U94">
        <v>1750</v>
      </c>
      <c r="V94" s="1">
        <f>ROUND(Table1[[#This Row],[fmpce]],0)</f>
        <v>1750</v>
      </c>
      <c r="W94">
        <v>23.808163</v>
      </c>
      <c r="X94" s="4">
        <f>Table1[[#This Row],[mpce]]*89</f>
        <v>2118.9265070000001</v>
      </c>
      <c r="Y94" s="2" t="s">
        <v>24</v>
      </c>
      <c r="Z94" s="3">
        <f>VLOOKUP(Y94, rmpce_reference!$B$1:$D$7,3,FALSE) * 89</f>
        <v>2225</v>
      </c>
      <c r="AA94" s="1" t="str">
        <f>IF(Table1[rmpce_inr]&lt;=rmpce_reference!$F$2, "Low Income", IF(Table1[rmpce_inr]&lt;=rmpce_reference!$F$3, "Middle Income", "High Income"))</f>
        <v>Low Income</v>
      </c>
    </row>
    <row r="95" spans="1:27" x14ac:dyDescent="0.25">
      <c r="A95">
        <v>1094</v>
      </c>
      <c r="B95" t="s">
        <v>20</v>
      </c>
      <c r="C95" t="s">
        <v>29</v>
      </c>
      <c r="D95">
        <v>32</v>
      </c>
      <c r="E95" t="s">
        <v>22</v>
      </c>
      <c r="F95" t="s">
        <v>30</v>
      </c>
      <c r="G95">
        <v>10</v>
      </c>
      <c r="H95" s="1" t="str">
        <f>IF(Table1[[#This Row],[anxiety_score]]&lt;=10, "Normal", IF(Table1[[#This Row],[anxiety_score]]&lt;=20, "Moderate", IF(Table1[[#This Row],[anxiety_score]]&lt;=30, "Severe", "Extremely Severe")))</f>
        <v>Normal</v>
      </c>
      <c r="I95">
        <v>-8.1994660000000007E-3</v>
      </c>
      <c r="J95">
        <v>4</v>
      </c>
      <c r="K95" s="1" t="str">
        <f>IF(Table1[[#This Row],[stress_score]]&lt;=10, "Normal", IF(Table1[[#This Row],[stress_score]]&lt;=20, "Moderate", IF(Table1[[#This Row],[stress_score]]&lt;=30, "Severe", "Extremely Severe")))</f>
        <v>Normal</v>
      </c>
      <c r="L95">
        <v>-0.77314866000000004</v>
      </c>
      <c r="M95">
        <v>4</v>
      </c>
      <c r="N95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95">
        <v>-0.72356116999999998</v>
      </c>
      <c r="P95">
        <v>6</v>
      </c>
      <c r="Q95">
        <f>ROUND(Table1[[#This Row],[dass21_raw_score]],0)</f>
        <v>6</v>
      </c>
      <c r="R95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95">
        <v>-0.50163645000000001</v>
      </c>
      <c r="T95">
        <v>0.59327346000000003</v>
      </c>
      <c r="U95">
        <v>5000</v>
      </c>
      <c r="V95" s="1">
        <f>ROUND(Table1[[#This Row],[fmpce]],0)</f>
        <v>5000</v>
      </c>
      <c r="W95">
        <v>68.023319999999998</v>
      </c>
      <c r="X95" s="4">
        <f>Table1[[#This Row],[mpce]]*89</f>
        <v>6054.0754799999995</v>
      </c>
      <c r="Y95" s="2" t="s">
        <v>28</v>
      </c>
      <c r="Z95" s="3">
        <f>VLOOKUP(Y95, rmpce_reference!$B$1:$D$7,3,FALSE) * 89</f>
        <v>6230</v>
      </c>
      <c r="AA95" s="1" t="str">
        <f>IF(Table1[rmpce_inr]&lt;=rmpce_reference!$F$2, "Low Income", IF(Table1[rmpce_inr]&lt;=rmpce_reference!$F$3, "Middle Income", "High Income"))</f>
        <v>Middle Income</v>
      </c>
    </row>
    <row r="96" spans="1:27" x14ac:dyDescent="0.25">
      <c r="A96">
        <v>1095</v>
      </c>
      <c r="B96" t="s">
        <v>20</v>
      </c>
      <c r="C96" t="s">
        <v>21</v>
      </c>
      <c r="D96">
        <v>45</v>
      </c>
      <c r="E96" t="s">
        <v>22</v>
      </c>
      <c r="F96" t="s">
        <v>30</v>
      </c>
      <c r="G96">
        <v>2</v>
      </c>
      <c r="H96" s="1" t="str">
        <f>IF(Table1[[#This Row],[anxiety_score]]&lt;=10, "Normal", IF(Table1[[#This Row],[anxiety_score]]&lt;=20, "Moderate", IF(Table1[[#This Row],[anxiety_score]]&lt;=30, "Severe", "Extremely Severe")))</f>
        <v>Normal</v>
      </c>
      <c r="I96">
        <v>-0.81237789999999999</v>
      </c>
      <c r="J96">
        <v>2</v>
      </c>
      <c r="K96" s="1" t="str">
        <f>IF(Table1[[#This Row],[stress_score]]&lt;=10, "Normal", IF(Table1[[#This Row],[stress_score]]&lt;=20, "Moderate", IF(Table1[[#This Row],[stress_score]]&lt;=30, "Severe", "Extremely Severe")))</f>
        <v>Normal</v>
      </c>
      <c r="L96">
        <v>-0.9678099</v>
      </c>
      <c r="M96">
        <v>6</v>
      </c>
      <c r="N96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96">
        <v>-0.53092379999999995</v>
      </c>
      <c r="P96">
        <v>3.3333333000000001</v>
      </c>
      <c r="Q96">
        <f>ROUND(Table1[[#This Row],[dass21_raw_score]],0)</f>
        <v>3</v>
      </c>
      <c r="R96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96">
        <v>-0.77037054000000005</v>
      </c>
      <c r="T96">
        <v>0.32453936</v>
      </c>
      <c r="U96">
        <v>8333.3330000000005</v>
      </c>
      <c r="V96" s="1">
        <f>ROUND(Table1[[#This Row],[fmpce]],0)</f>
        <v>8333</v>
      </c>
      <c r="W96">
        <v>113.37220000000001</v>
      </c>
      <c r="X96" s="4">
        <f>Table1[[#This Row],[mpce]]*89</f>
        <v>10090.1258</v>
      </c>
      <c r="Y96" s="2" t="s">
        <v>35</v>
      </c>
      <c r="Z96" s="3">
        <f>VLOOKUP(Y96, rmpce_reference!$B$1:$D$7,3,FALSE) * 89</f>
        <v>9790</v>
      </c>
      <c r="AA96" s="1" t="str">
        <f>IF(Table1[rmpce_inr]&lt;=rmpce_reference!$F$2, "Low Income", IF(Table1[rmpce_inr]&lt;=rmpce_reference!$F$3, "Middle Income", "High Income"))</f>
        <v>High Income</v>
      </c>
    </row>
    <row r="97" spans="1:27" x14ac:dyDescent="0.25">
      <c r="A97">
        <v>1096</v>
      </c>
      <c r="B97" t="s">
        <v>20</v>
      </c>
      <c r="C97" t="s">
        <v>33</v>
      </c>
      <c r="D97">
        <v>27</v>
      </c>
      <c r="E97" t="s">
        <v>22</v>
      </c>
      <c r="F97" t="s">
        <v>30</v>
      </c>
      <c r="G97">
        <v>6</v>
      </c>
      <c r="H97" s="1" t="str">
        <f>IF(Table1[[#This Row],[anxiety_score]]&lt;=10, "Normal", IF(Table1[[#This Row],[anxiety_score]]&lt;=20, "Moderate", IF(Table1[[#This Row],[anxiety_score]]&lt;=30, "Severe", "Extremely Severe")))</f>
        <v>Normal</v>
      </c>
      <c r="I97">
        <v>-0.41028870000000001</v>
      </c>
      <c r="J97">
        <v>4</v>
      </c>
      <c r="K97" s="1" t="str">
        <f>IF(Table1[[#This Row],[stress_score]]&lt;=10, "Normal", IF(Table1[[#This Row],[stress_score]]&lt;=20, "Moderate", IF(Table1[[#This Row],[stress_score]]&lt;=30, "Severe", "Extremely Severe")))</f>
        <v>Normal</v>
      </c>
      <c r="L97">
        <v>-0.77314866000000004</v>
      </c>
      <c r="M97">
        <v>2</v>
      </c>
      <c r="N97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97">
        <v>-0.91619854999999994</v>
      </c>
      <c r="P97">
        <v>4</v>
      </c>
      <c r="Q97">
        <f>ROUND(Table1[[#This Row],[dass21_raw_score]],0)</f>
        <v>4</v>
      </c>
      <c r="R97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97">
        <v>-0.69987862999999995</v>
      </c>
      <c r="T97">
        <v>0.39503126999999999</v>
      </c>
      <c r="U97">
        <v>2500</v>
      </c>
      <c r="V97" s="1">
        <f>ROUND(Table1[[#This Row],[fmpce]],0)</f>
        <v>2500</v>
      </c>
      <c r="W97">
        <v>34.011659999999999</v>
      </c>
      <c r="X97" s="4">
        <f>Table1[[#This Row],[mpce]]*89</f>
        <v>3027.0377399999998</v>
      </c>
      <c r="Y97" s="2" t="s">
        <v>34</v>
      </c>
      <c r="Z97" s="3">
        <f>VLOOKUP(Y97, rmpce_reference!$B$1:$D$7,3,FALSE) * 89</f>
        <v>2848</v>
      </c>
      <c r="AA97" s="1" t="str">
        <f>IF(Table1[rmpce_inr]&lt;=rmpce_reference!$F$2, "Low Income", IF(Table1[rmpce_inr]&lt;=rmpce_reference!$F$3, "Middle Income", "High Income"))</f>
        <v>Low Income</v>
      </c>
    </row>
    <row r="98" spans="1:27" x14ac:dyDescent="0.25">
      <c r="A98">
        <v>1097</v>
      </c>
      <c r="B98" t="s">
        <v>20</v>
      </c>
      <c r="C98" t="s">
        <v>33</v>
      </c>
      <c r="D98">
        <v>27</v>
      </c>
      <c r="E98" t="s">
        <v>25</v>
      </c>
      <c r="F98" t="s">
        <v>30</v>
      </c>
      <c r="G98">
        <v>4</v>
      </c>
      <c r="H98" s="1" t="str">
        <f>IF(Table1[[#This Row],[anxiety_score]]&lt;=10, "Normal", IF(Table1[[#This Row],[anxiety_score]]&lt;=20, "Moderate", IF(Table1[[#This Row],[anxiety_score]]&lt;=30, "Severe", "Extremely Severe")))</f>
        <v>Normal</v>
      </c>
      <c r="I98">
        <v>-0.61133329999999997</v>
      </c>
      <c r="J98">
        <v>0</v>
      </c>
      <c r="K98" s="1" t="str">
        <f>IF(Table1[[#This Row],[stress_score]]&lt;=10, "Normal", IF(Table1[[#This Row],[stress_score]]&lt;=20, "Moderate", IF(Table1[[#This Row],[stress_score]]&lt;=30, "Severe", "Extremely Severe")))</f>
        <v>Normal</v>
      </c>
      <c r="L98">
        <v>-1.1624711999999999</v>
      </c>
      <c r="M98">
        <v>4</v>
      </c>
      <c r="N98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98">
        <v>-0.72356116999999998</v>
      </c>
      <c r="P98">
        <v>2.6666666999999999</v>
      </c>
      <c r="Q98">
        <f>ROUND(Table1[[#This Row],[dass21_raw_score]],0)</f>
        <v>3</v>
      </c>
      <c r="R98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98">
        <v>-0.83245519999999995</v>
      </c>
      <c r="T98">
        <v>0.26245469999999999</v>
      </c>
      <c r="U98">
        <v>4000</v>
      </c>
      <c r="V98" s="1">
        <f>ROUND(Table1[[#This Row],[fmpce]],0)</f>
        <v>4000</v>
      </c>
      <c r="W98">
        <v>54.418660000000003</v>
      </c>
      <c r="X98" s="4">
        <f>Table1[[#This Row],[mpce]]*89</f>
        <v>4843.2607400000006</v>
      </c>
      <c r="Y98" s="2" t="s">
        <v>32</v>
      </c>
      <c r="Z98" s="3">
        <f>VLOOKUP(Y98, rmpce_reference!$B$1:$D$7,3,FALSE) * 89</f>
        <v>4450</v>
      </c>
      <c r="AA98" s="1" t="str">
        <f>IF(Table1[rmpce_inr]&lt;=rmpce_reference!$F$2, "Low Income", IF(Table1[rmpce_inr]&lt;=rmpce_reference!$F$3, "Middle Income", "High Income"))</f>
        <v>Low Income</v>
      </c>
    </row>
    <row r="99" spans="1:27" x14ac:dyDescent="0.25">
      <c r="A99">
        <v>1098</v>
      </c>
      <c r="B99" t="s">
        <v>20</v>
      </c>
      <c r="C99" t="s">
        <v>33</v>
      </c>
      <c r="D99">
        <v>26</v>
      </c>
      <c r="E99" t="s">
        <v>22</v>
      </c>
      <c r="F99" t="s">
        <v>30</v>
      </c>
      <c r="G99">
        <v>6</v>
      </c>
      <c r="H99" s="1" t="str">
        <f>IF(Table1[[#This Row],[anxiety_score]]&lt;=10, "Normal", IF(Table1[[#This Row],[anxiety_score]]&lt;=20, "Moderate", IF(Table1[[#This Row],[anxiety_score]]&lt;=30, "Severe", "Extremely Severe")))</f>
        <v>Normal</v>
      </c>
      <c r="I99">
        <v>-0.41028870000000001</v>
      </c>
      <c r="J99">
        <v>2</v>
      </c>
      <c r="K99" s="1" t="str">
        <f>IF(Table1[[#This Row],[stress_score]]&lt;=10, "Normal", IF(Table1[[#This Row],[stress_score]]&lt;=20, "Moderate", IF(Table1[[#This Row],[stress_score]]&lt;=30, "Severe", "Extremely Severe")))</f>
        <v>Normal</v>
      </c>
      <c r="L99">
        <v>-0.9678099</v>
      </c>
      <c r="M99">
        <v>6</v>
      </c>
      <c r="N99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99">
        <v>-0.53092379999999995</v>
      </c>
      <c r="P99">
        <v>4.6666664999999998</v>
      </c>
      <c r="Q99">
        <f>ROUND(Table1[[#This Row],[dass21_raw_score]],0)</f>
        <v>5</v>
      </c>
      <c r="R99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99">
        <v>-0.63634080000000004</v>
      </c>
      <c r="T99">
        <v>0.45856910000000001</v>
      </c>
      <c r="U99">
        <v>5000</v>
      </c>
      <c r="V99" s="1">
        <f>ROUND(Table1[[#This Row],[fmpce]],0)</f>
        <v>5000</v>
      </c>
      <c r="W99">
        <v>68.023319999999998</v>
      </c>
      <c r="X99" s="4">
        <f>Table1[[#This Row],[mpce]]*89</f>
        <v>6054.0754799999995</v>
      </c>
      <c r="Y99" s="2" t="s">
        <v>28</v>
      </c>
      <c r="Z99" s="3">
        <f>VLOOKUP(Y99, rmpce_reference!$B$1:$D$7,3,FALSE) * 89</f>
        <v>6230</v>
      </c>
      <c r="AA99" s="1" t="str">
        <f>IF(Table1[rmpce_inr]&lt;=rmpce_reference!$F$2, "Low Income", IF(Table1[rmpce_inr]&lt;=rmpce_reference!$F$3, "Middle Income", "High Income"))</f>
        <v>Middle Income</v>
      </c>
    </row>
    <row r="100" spans="1:27" x14ac:dyDescent="0.25">
      <c r="A100">
        <v>1099</v>
      </c>
      <c r="B100" t="s">
        <v>20</v>
      </c>
      <c r="C100" t="s">
        <v>21</v>
      </c>
      <c r="D100">
        <v>45</v>
      </c>
      <c r="E100" t="s">
        <v>25</v>
      </c>
      <c r="F100" t="s">
        <v>26</v>
      </c>
      <c r="G100">
        <v>0</v>
      </c>
      <c r="H100" s="1" t="str">
        <f>IF(Table1[[#This Row],[anxiety_score]]&lt;=10, "Normal", IF(Table1[[#This Row],[anxiety_score]]&lt;=20, "Moderate", IF(Table1[[#This Row],[anxiety_score]]&lt;=30, "Severe", "Extremely Severe")))</f>
        <v>Normal</v>
      </c>
      <c r="I100">
        <v>-1.0134224999999999</v>
      </c>
      <c r="J100">
        <v>0</v>
      </c>
      <c r="K100" s="1" t="str">
        <f>IF(Table1[[#This Row],[stress_score]]&lt;=10, "Normal", IF(Table1[[#This Row],[stress_score]]&lt;=20, "Moderate", IF(Table1[[#This Row],[stress_score]]&lt;=30, "Severe", "Extremely Severe")))</f>
        <v>Normal</v>
      </c>
      <c r="L100">
        <v>-1.1624711999999999</v>
      </c>
      <c r="M100">
        <v>0</v>
      </c>
      <c r="N100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00">
        <v>-1.1088359000000001</v>
      </c>
      <c r="P100">
        <v>0</v>
      </c>
      <c r="Q100">
        <f>ROUND(Table1[[#This Row],[dass21_raw_score]],0)</f>
        <v>0</v>
      </c>
      <c r="R100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00">
        <v>-1.0949099</v>
      </c>
      <c r="T100">
        <v>0</v>
      </c>
      <c r="U100">
        <v>6000</v>
      </c>
      <c r="V100" s="1">
        <f>ROUND(Table1[[#This Row],[fmpce]],0)</f>
        <v>6000</v>
      </c>
      <c r="W100">
        <v>81.627989999999997</v>
      </c>
      <c r="X100" s="4">
        <f>Table1[[#This Row],[mpce]]*89</f>
        <v>7264.8911099999996</v>
      </c>
      <c r="Y100" s="2" t="s">
        <v>31</v>
      </c>
      <c r="Z100" s="3">
        <f>VLOOKUP(Y100, rmpce_reference!$B$1:$D$7,3,FALSE) * 89</f>
        <v>8010</v>
      </c>
      <c r="AA100" s="1" t="str">
        <f>IF(Table1[rmpce_inr]&lt;=rmpce_reference!$F$2, "Low Income", IF(Table1[rmpce_inr]&lt;=rmpce_reference!$F$3, "Middle Income", "High Income"))</f>
        <v>High Income</v>
      </c>
    </row>
    <row r="101" spans="1:27" x14ac:dyDescent="0.25">
      <c r="A101">
        <v>1100</v>
      </c>
      <c r="B101" t="s">
        <v>20</v>
      </c>
      <c r="C101" t="s">
        <v>29</v>
      </c>
      <c r="D101">
        <v>37</v>
      </c>
      <c r="E101" t="s">
        <v>22</v>
      </c>
      <c r="F101" t="s">
        <v>23</v>
      </c>
      <c r="G101">
        <v>4</v>
      </c>
      <c r="H101" s="1" t="str">
        <f>IF(Table1[[#This Row],[anxiety_score]]&lt;=10, "Normal", IF(Table1[[#This Row],[anxiety_score]]&lt;=20, "Moderate", IF(Table1[[#This Row],[anxiety_score]]&lt;=30, "Severe", "Extremely Severe")))</f>
        <v>Normal</v>
      </c>
      <c r="I101">
        <v>-0.61133329999999997</v>
      </c>
      <c r="J101">
        <v>8</v>
      </c>
      <c r="K101" s="1" t="str">
        <f>IF(Table1[[#This Row],[stress_score]]&lt;=10, "Normal", IF(Table1[[#This Row],[stress_score]]&lt;=20, "Moderate", IF(Table1[[#This Row],[stress_score]]&lt;=30, "Severe", "Extremely Severe")))</f>
        <v>Normal</v>
      </c>
      <c r="L101">
        <v>-0.38382620000000001</v>
      </c>
      <c r="M101">
        <v>4</v>
      </c>
      <c r="N101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01">
        <v>-0.72356116999999998</v>
      </c>
      <c r="P101">
        <v>5.3333335000000002</v>
      </c>
      <c r="Q101">
        <f>ROUND(Table1[[#This Row],[dass21_raw_score]],0)</f>
        <v>5</v>
      </c>
      <c r="R101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01">
        <v>-0.5729069</v>
      </c>
      <c r="T101">
        <v>0.52200299999999999</v>
      </c>
      <c r="U101">
        <v>2666.6667000000002</v>
      </c>
      <c r="V101" s="1">
        <f>ROUND(Table1[[#This Row],[fmpce]],0)</f>
        <v>2667</v>
      </c>
      <c r="W101">
        <v>36.279105999999999</v>
      </c>
      <c r="X101" s="4">
        <f>Table1[[#This Row],[mpce]]*89</f>
        <v>3228.8404339999997</v>
      </c>
      <c r="Y101" s="2" t="s">
        <v>34</v>
      </c>
      <c r="Z101" s="3">
        <f>VLOOKUP(Y101, rmpce_reference!$B$1:$D$7,3,FALSE) * 89</f>
        <v>2848</v>
      </c>
      <c r="AA101" s="1" t="str">
        <f>IF(Table1[rmpce_inr]&lt;=rmpce_reference!$F$2, "Low Income", IF(Table1[rmpce_inr]&lt;=rmpce_reference!$F$3, "Middle Income", "High Income"))</f>
        <v>Low Income</v>
      </c>
    </row>
    <row r="102" spans="1:27" x14ac:dyDescent="0.25">
      <c r="A102">
        <v>1101</v>
      </c>
      <c r="B102" t="s">
        <v>20</v>
      </c>
      <c r="C102" t="s">
        <v>21</v>
      </c>
      <c r="D102">
        <v>48</v>
      </c>
      <c r="E102" t="s">
        <v>22</v>
      </c>
      <c r="F102" t="s">
        <v>30</v>
      </c>
      <c r="G102">
        <v>4</v>
      </c>
      <c r="H102" s="1" t="str">
        <f>IF(Table1[[#This Row],[anxiety_score]]&lt;=10, "Normal", IF(Table1[[#This Row],[anxiety_score]]&lt;=20, "Moderate", IF(Table1[[#This Row],[anxiety_score]]&lt;=30, "Severe", "Extremely Severe")))</f>
        <v>Normal</v>
      </c>
      <c r="I102">
        <v>-0.61133329999999997</v>
      </c>
      <c r="J102">
        <v>4</v>
      </c>
      <c r="K102" s="1" t="str">
        <f>IF(Table1[[#This Row],[stress_score]]&lt;=10, "Normal", IF(Table1[[#This Row],[stress_score]]&lt;=20, "Moderate", IF(Table1[[#This Row],[stress_score]]&lt;=30, "Severe", "Extremely Severe")))</f>
        <v>Normal</v>
      </c>
      <c r="L102">
        <v>-0.77314866000000004</v>
      </c>
      <c r="M102">
        <v>2</v>
      </c>
      <c r="N102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02">
        <v>-0.91619854999999994</v>
      </c>
      <c r="P102">
        <v>3.3333333000000001</v>
      </c>
      <c r="Q102">
        <f>ROUND(Table1[[#This Row],[dass21_raw_score]],0)</f>
        <v>3</v>
      </c>
      <c r="R102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02">
        <v>-0.76689350000000001</v>
      </c>
      <c r="T102">
        <v>0.32801639999999999</v>
      </c>
      <c r="U102">
        <v>1750</v>
      </c>
      <c r="V102" s="1">
        <f>ROUND(Table1[[#This Row],[fmpce]],0)</f>
        <v>1750</v>
      </c>
      <c r="W102">
        <v>23.808163</v>
      </c>
      <c r="X102" s="4">
        <f>Table1[[#This Row],[mpce]]*89</f>
        <v>2118.9265070000001</v>
      </c>
      <c r="Y102" s="2" t="s">
        <v>24</v>
      </c>
      <c r="Z102" s="3">
        <f>VLOOKUP(Y102, rmpce_reference!$B$1:$D$7,3,FALSE) * 89</f>
        <v>2225</v>
      </c>
      <c r="AA102" s="1" t="str">
        <f>IF(Table1[rmpce_inr]&lt;=rmpce_reference!$F$2, "Low Income", IF(Table1[rmpce_inr]&lt;=rmpce_reference!$F$3, "Middle Income", "High Income"))</f>
        <v>Low Income</v>
      </c>
    </row>
    <row r="103" spans="1:27" x14ac:dyDescent="0.25">
      <c r="A103">
        <v>1102</v>
      </c>
      <c r="B103" t="s">
        <v>20</v>
      </c>
      <c r="C103" t="s">
        <v>33</v>
      </c>
      <c r="D103">
        <v>30</v>
      </c>
      <c r="E103" t="s">
        <v>22</v>
      </c>
      <c r="F103" t="s">
        <v>30</v>
      </c>
      <c r="G103">
        <v>6</v>
      </c>
      <c r="H103" s="1" t="str">
        <f>IF(Table1[[#This Row],[anxiety_score]]&lt;=10, "Normal", IF(Table1[[#This Row],[anxiety_score]]&lt;=20, "Moderate", IF(Table1[[#This Row],[anxiety_score]]&lt;=30, "Severe", "Extremely Severe")))</f>
        <v>Normal</v>
      </c>
      <c r="I103">
        <v>-0.41028870000000001</v>
      </c>
      <c r="J103">
        <v>4</v>
      </c>
      <c r="K103" s="1" t="str">
        <f>IF(Table1[[#This Row],[stress_score]]&lt;=10, "Normal", IF(Table1[[#This Row],[stress_score]]&lt;=20, "Moderate", IF(Table1[[#This Row],[stress_score]]&lt;=30, "Severe", "Extremely Severe")))</f>
        <v>Normal</v>
      </c>
      <c r="L103">
        <v>-0.77314866000000004</v>
      </c>
      <c r="M103">
        <v>2</v>
      </c>
      <c r="N103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03">
        <v>-0.91619854999999994</v>
      </c>
      <c r="P103">
        <v>4</v>
      </c>
      <c r="Q103">
        <f>ROUND(Table1[[#This Row],[dass21_raw_score]],0)</f>
        <v>4</v>
      </c>
      <c r="R103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03">
        <v>-0.69987862999999995</v>
      </c>
      <c r="T103">
        <v>0.39503126999999999</v>
      </c>
      <c r="U103">
        <v>1833.3334</v>
      </c>
      <c r="V103" s="1">
        <f>ROUND(Table1[[#This Row],[fmpce]],0)</f>
        <v>1833</v>
      </c>
      <c r="W103">
        <v>24.941887000000001</v>
      </c>
      <c r="X103" s="4">
        <f>Table1[[#This Row],[mpce]]*89</f>
        <v>2219.8279430000002</v>
      </c>
      <c r="Y103" s="2" t="s">
        <v>24</v>
      </c>
      <c r="Z103" s="3">
        <f>VLOOKUP(Y103, rmpce_reference!$B$1:$D$7,3,FALSE) * 89</f>
        <v>2225</v>
      </c>
      <c r="AA103" s="1" t="str">
        <f>IF(Table1[rmpce_inr]&lt;=rmpce_reference!$F$2, "Low Income", IF(Table1[rmpce_inr]&lt;=rmpce_reference!$F$3, "Middle Income", "High Income"))</f>
        <v>Low Income</v>
      </c>
    </row>
    <row r="104" spans="1:27" x14ac:dyDescent="0.25">
      <c r="A104">
        <v>1103</v>
      </c>
      <c r="B104" t="s">
        <v>20</v>
      </c>
      <c r="C104" t="s">
        <v>29</v>
      </c>
      <c r="D104">
        <v>40</v>
      </c>
      <c r="E104" t="s">
        <v>25</v>
      </c>
      <c r="F104" t="s">
        <v>26</v>
      </c>
      <c r="G104">
        <v>10</v>
      </c>
      <c r="H104" s="1" t="str">
        <f>IF(Table1[[#This Row],[anxiety_score]]&lt;=10, "Normal", IF(Table1[[#This Row],[anxiety_score]]&lt;=20, "Moderate", IF(Table1[[#This Row],[anxiety_score]]&lt;=30, "Severe", "Extremely Severe")))</f>
        <v>Normal</v>
      </c>
      <c r="I104">
        <v>-8.1994660000000007E-3</v>
      </c>
      <c r="J104">
        <v>0</v>
      </c>
      <c r="K104" s="1" t="str">
        <f>IF(Table1[[#This Row],[stress_score]]&lt;=10, "Normal", IF(Table1[[#This Row],[stress_score]]&lt;=20, "Moderate", IF(Table1[[#This Row],[stress_score]]&lt;=30, "Severe", "Extremely Severe")))</f>
        <v>Normal</v>
      </c>
      <c r="L104">
        <v>-1.1624711999999999</v>
      </c>
      <c r="M104">
        <v>2</v>
      </c>
      <c r="N104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04">
        <v>-0.91619854999999994</v>
      </c>
      <c r="P104">
        <v>4</v>
      </c>
      <c r="Q104">
        <f>ROUND(Table1[[#This Row],[dass21_raw_score]],0)</f>
        <v>4</v>
      </c>
      <c r="R104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04">
        <v>-0.69562303999999997</v>
      </c>
      <c r="T104">
        <v>0.39928687000000002</v>
      </c>
      <c r="U104">
        <v>1250</v>
      </c>
      <c r="V104" s="1">
        <f>ROUND(Table1[[#This Row],[fmpce]],0)</f>
        <v>1250</v>
      </c>
      <c r="W104">
        <v>17.00583</v>
      </c>
      <c r="X104" s="4">
        <f>Table1[[#This Row],[mpce]]*89</f>
        <v>1513.5188699999999</v>
      </c>
      <c r="Y104" s="2" t="s">
        <v>24</v>
      </c>
      <c r="Z104" s="3">
        <f>VLOOKUP(Y104, rmpce_reference!$B$1:$D$7,3,FALSE) * 89</f>
        <v>2225</v>
      </c>
      <c r="AA104" s="1" t="str">
        <f>IF(Table1[rmpce_inr]&lt;=rmpce_reference!$F$2, "Low Income", IF(Table1[rmpce_inr]&lt;=rmpce_reference!$F$3, "Middle Income", "High Income"))</f>
        <v>Low Income</v>
      </c>
    </row>
    <row r="105" spans="1:27" x14ac:dyDescent="0.25">
      <c r="A105">
        <v>1104</v>
      </c>
      <c r="B105" t="s">
        <v>20</v>
      </c>
      <c r="C105" t="s">
        <v>33</v>
      </c>
      <c r="D105">
        <v>30</v>
      </c>
      <c r="E105" t="s">
        <v>25</v>
      </c>
      <c r="F105" t="s">
        <v>26</v>
      </c>
      <c r="G105">
        <v>4</v>
      </c>
      <c r="H105" s="1" t="str">
        <f>IF(Table1[[#This Row],[anxiety_score]]&lt;=10, "Normal", IF(Table1[[#This Row],[anxiety_score]]&lt;=20, "Moderate", IF(Table1[[#This Row],[anxiety_score]]&lt;=30, "Severe", "Extremely Severe")))</f>
        <v>Normal</v>
      </c>
      <c r="I105">
        <v>-0.61133329999999997</v>
      </c>
      <c r="J105">
        <v>4</v>
      </c>
      <c r="K105" s="1" t="str">
        <f>IF(Table1[[#This Row],[stress_score]]&lt;=10, "Normal", IF(Table1[[#This Row],[stress_score]]&lt;=20, "Moderate", IF(Table1[[#This Row],[stress_score]]&lt;=30, "Severe", "Extremely Severe")))</f>
        <v>Normal</v>
      </c>
      <c r="L105">
        <v>-0.77314866000000004</v>
      </c>
      <c r="M105">
        <v>4</v>
      </c>
      <c r="N105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05">
        <v>-0.72356116999999998</v>
      </c>
      <c r="P105">
        <v>4</v>
      </c>
      <c r="Q105">
        <f>ROUND(Table1[[#This Row],[dass21_raw_score]],0)</f>
        <v>4</v>
      </c>
      <c r="R105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05">
        <v>-0.70268105999999997</v>
      </c>
      <c r="T105">
        <v>0.39222884000000002</v>
      </c>
      <c r="U105">
        <v>1333.3334</v>
      </c>
      <c r="V105" s="1">
        <f>ROUND(Table1[[#This Row],[fmpce]],0)</f>
        <v>1333</v>
      </c>
      <c r="W105">
        <v>18.139552999999999</v>
      </c>
      <c r="X105" s="4">
        <f>Table1[[#This Row],[mpce]]*89</f>
        <v>1614.4202169999999</v>
      </c>
      <c r="Y105" s="2" t="s">
        <v>24</v>
      </c>
      <c r="Z105" s="3">
        <f>VLOOKUP(Y105, rmpce_reference!$B$1:$D$7,3,FALSE) * 89</f>
        <v>2225</v>
      </c>
      <c r="AA105" s="1" t="str">
        <f>IF(Table1[rmpce_inr]&lt;=rmpce_reference!$F$2, "Low Income", IF(Table1[rmpce_inr]&lt;=rmpce_reference!$F$3, "Middle Income", "High Income"))</f>
        <v>Low Income</v>
      </c>
    </row>
    <row r="106" spans="1:27" x14ac:dyDescent="0.25">
      <c r="A106">
        <v>1105</v>
      </c>
      <c r="B106" t="s">
        <v>20</v>
      </c>
      <c r="C106" t="s">
        <v>29</v>
      </c>
      <c r="D106">
        <v>40</v>
      </c>
      <c r="E106" t="s">
        <v>25</v>
      </c>
      <c r="F106" t="s">
        <v>26</v>
      </c>
      <c r="G106">
        <v>2</v>
      </c>
      <c r="H106" s="1" t="str">
        <f>IF(Table1[[#This Row],[anxiety_score]]&lt;=10, "Normal", IF(Table1[[#This Row],[anxiety_score]]&lt;=20, "Moderate", IF(Table1[[#This Row],[anxiety_score]]&lt;=30, "Severe", "Extremely Severe")))</f>
        <v>Normal</v>
      </c>
      <c r="I106">
        <v>-0.81237789999999999</v>
      </c>
      <c r="J106">
        <v>6</v>
      </c>
      <c r="K106" s="1" t="str">
        <f>IF(Table1[[#This Row],[stress_score]]&lt;=10, "Normal", IF(Table1[[#This Row],[stress_score]]&lt;=20, "Moderate", IF(Table1[[#This Row],[stress_score]]&lt;=30, "Severe", "Extremely Severe")))</f>
        <v>Normal</v>
      </c>
      <c r="L106">
        <v>-0.57848745999999995</v>
      </c>
      <c r="M106">
        <v>0</v>
      </c>
      <c r="N106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06">
        <v>-1.1088359000000001</v>
      </c>
      <c r="P106">
        <v>2.6666666999999999</v>
      </c>
      <c r="Q106">
        <f>ROUND(Table1[[#This Row],[dass21_raw_score]],0)</f>
        <v>3</v>
      </c>
      <c r="R106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06">
        <v>-0.83323380000000002</v>
      </c>
      <c r="T106">
        <v>0.26167613000000001</v>
      </c>
      <c r="U106">
        <v>7000</v>
      </c>
      <c r="V106" s="1">
        <f>ROUND(Table1[[#This Row],[fmpce]],0)</f>
        <v>7000</v>
      </c>
      <c r="W106">
        <v>95.232650000000007</v>
      </c>
      <c r="X106" s="4">
        <f>Table1[[#This Row],[mpce]]*89</f>
        <v>8475.7058500000003</v>
      </c>
      <c r="Y106" s="2" t="s">
        <v>31</v>
      </c>
      <c r="Z106" s="3">
        <f>VLOOKUP(Y106, rmpce_reference!$B$1:$D$7,3,FALSE) * 89</f>
        <v>8010</v>
      </c>
      <c r="AA106" s="1" t="str">
        <f>IF(Table1[rmpce_inr]&lt;=rmpce_reference!$F$2, "Low Income", IF(Table1[rmpce_inr]&lt;=rmpce_reference!$F$3, "Middle Income", "High Income"))</f>
        <v>High Income</v>
      </c>
    </row>
    <row r="107" spans="1:27" x14ac:dyDescent="0.25">
      <c r="A107">
        <v>1106</v>
      </c>
      <c r="B107" t="s">
        <v>20</v>
      </c>
      <c r="C107" t="s">
        <v>33</v>
      </c>
      <c r="D107">
        <v>28</v>
      </c>
      <c r="E107" t="s">
        <v>25</v>
      </c>
      <c r="F107" t="s">
        <v>30</v>
      </c>
      <c r="G107">
        <v>4</v>
      </c>
      <c r="H107" s="1" t="str">
        <f>IF(Table1[[#This Row],[anxiety_score]]&lt;=10, "Normal", IF(Table1[[#This Row],[anxiety_score]]&lt;=20, "Moderate", IF(Table1[[#This Row],[anxiety_score]]&lt;=30, "Severe", "Extremely Severe")))</f>
        <v>Normal</v>
      </c>
      <c r="I107">
        <v>-0.61133329999999997</v>
      </c>
      <c r="J107">
        <v>4</v>
      </c>
      <c r="K107" s="1" t="str">
        <f>IF(Table1[[#This Row],[stress_score]]&lt;=10, "Normal", IF(Table1[[#This Row],[stress_score]]&lt;=20, "Moderate", IF(Table1[[#This Row],[stress_score]]&lt;=30, "Severe", "Extremely Severe")))</f>
        <v>Normal</v>
      </c>
      <c r="L107">
        <v>-0.77314866000000004</v>
      </c>
      <c r="M107">
        <v>6</v>
      </c>
      <c r="N107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07">
        <v>-0.53092379999999995</v>
      </c>
      <c r="P107">
        <v>4.6666664999999998</v>
      </c>
      <c r="Q107">
        <f>ROUND(Table1[[#This Row],[dass21_raw_score]],0)</f>
        <v>5</v>
      </c>
      <c r="R107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07">
        <v>-0.63846855999999996</v>
      </c>
      <c r="T107">
        <v>0.45644133999999997</v>
      </c>
      <c r="U107">
        <v>6250</v>
      </c>
      <c r="V107" s="1">
        <f>ROUND(Table1[[#This Row],[fmpce]],0)</f>
        <v>6250</v>
      </c>
      <c r="W107">
        <v>85.029150000000001</v>
      </c>
      <c r="X107" s="4">
        <f>Table1[[#This Row],[mpce]]*89</f>
        <v>7567.5943500000003</v>
      </c>
      <c r="Y107" s="2" t="s">
        <v>31</v>
      </c>
      <c r="Z107" s="3">
        <f>VLOOKUP(Y107, rmpce_reference!$B$1:$D$7,3,FALSE) * 89</f>
        <v>8010</v>
      </c>
      <c r="AA107" s="1" t="str">
        <f>IF(Table1[rmpce_inr]&lt;=rmpce_reference!$F$2, "Low Income", IF(Table1[rmpce_inr]&lt;=rmpce_reference!$F$3, "Middle Income", "High Income"))</f>
        <v>High Income</v>
      </c>
    </row>
    <row r="108" spans="1:27" x14ac:dyDescent="0.25">
      <c r="A108">
        <v>1107</v>
      </c>
      <c r="B108" t="s">
        <v>20</v>
      </c>
      <c r="C108" t="s">
        <v>33</v>
      </c>
      <c r="D108">
        <v>28</v>
      </c>
      <c r="E108" t="s">
        <v>25</v>
      </c>
      <c r="F108" t="s">
        <v>23</v>
      </c>
      <c r="G108">
        <v>0</v>
      </c>
      <c r="H108" s="1" t="str">
        <f>IF(Table1[[#This Row],[anxiety_score]]&lt;=10, "Normal", IF(Table1[[#This Row],[anxiety_score]]&lt;=20, "Moderate", IF(Table1[[#This Row],[anxiety_score]]&lt;=30, "Severe", "Extremely Severe")))</f>
        <v>Normal</v>
      </c>
      <c r="I108">
        <v>-1.0134224999999999</v>
      </c>
      <c r="J108">
        <v>8</v>
      </c>
      <c r="K108" s="1" t="str">
        <f>IF(Table1[[#This Row],[stress_score]]&lt;=10, "Normal", IF(Table1[[#This Row],[stress_score]]&lt;=20, "Moderate", IF(Table1[[#This Row],[stress_score]]&lt;=30, "Severe", "Extremely Severe")))</f>
        <v>Normal</v>
      </c>
      <c r="L108">
        <v>-0.38382620000000001</v>
      </c>
      <c r="M108">
        <v>2</v>
      </c>
      <c r="N108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08">
        <v>-0.91619854999999994</v>
      </c>
      <c r="P108">
        <v>3.3333333000000001</v>
      </c>
      <c r="Q108">
        <f>ROUND(Table1[[#This Row],[dass21_raw_score]],0)</f>
        <v>3</v>
      </c>
      <c r="R108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08">
        <v>-0.77114910000000003</v>
      </c>
      <c r="T108">
        <v>0.32376080000000002</v>
      </c>
      <c r="U108">
        <v>3750</v>
      </c>
      <c r="V108" s="1">
        <f>ROUND(Table1[[#This Row],[fmpce]],0)</f>
        <v>3750</v>
      </c>
      <c r="W108">
        <v>51.017493999999999</v>
      </c>
      <c r="X108" s="4">
        <f>Table1[[#This Row],[mpce]]*89</f>
        <v>4540.5569660000001</v>
      </c>
      <c r="Y108" s="2" t="s">
        <v>32</v>
      </c>
      <c r="Z108" s="3">
        <f>VLOOKUP(Y108, rmpce_reference!$B$1:$D$7,3,FALSE) * 89</f>
        <v>4450</v>
      </c>
      <c r="AA108" s="1" t="str">
        <f>IF(Table1[rmpce_inr]&lt;=rmpce_reference!$F$2, "Low Income", IF(Table1[rmpce_inr]&lt;=rmpce_reference!$F$3, "Middle Income", "High Income"))</f>
        <v>Low Income</v>
      </c>
    </row>
    <row r="109" spans="1:27" x14ac:dyDescent="0.25">
      <c r="A109">
        <v>1108</v>
      </c>
      <c r="B109" t="s">
        <v>20</v>
      </c>
      <c r="C109" t="s">
        <v>33</v>
      </c>
      <c r="D109">
        <v>21</v>
      </c>
      <c r="E109" t="s">
        <v>22</v>
      </c>
      <c r="F109" t="s">
        <v>30</v>
      </c>
      <c r="G109">
        <v>2</v>
      </c>
      <c r="H109" s="1" t="str">
        <f>IF(Table1[[#This Row],[anxiety_score]]&lt;=10, "Normal", IF(Table1[[#This Row],[anxiety_score]]&lt;=20, "Moderate", IF(Table1[[#This Row],[anxiety_score]]&lt;=30, "Severe", "Extremely Severe")))</f>
        <v>Normal</v>
      </c>
      <c r="I109">
        <v>-0.81237789999999999</v>
      </c>
      <c r="J109">
        <v>2</v>
      </c>
      <c r="K109" s="1" t="str">
        <f>IF(Table1[[#This Row],[stress_score]]&lt;=10, "Normal", IF(Table1[[#This Row],[stress_score]]&lt;=20, "Moderate", IF(Table1[[#This Row],[stress_score]]&lt;=30, "Severe", "Extremely Severe")))</f>
        <v>Normal</v>
      </c>
      <c r="L109">
        <v>-0.9678099</v>
      </c>
      <c r="M109">
        <v>4</v>
      </c>
      <c r="N109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09">
        <v>-0.72356116999999998</v>
      </c>
      <c r="P109">
        <v>2.6666666999999999</v>
      </c>
      <c r="Q109">
        <f>ROUND(Table1[[#This Row],[dass21_raw_score]],0)</f>
        <v>3</v>
      </c>
      <c r="R109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09">
        <v>-0.83458299999999996</v>
      </c>
      <c r="T109">
        <v>0.26032692000000002</v>
      </c>
      <c r="U109">
        <v>5000</v>
      </c>
      <c r="V109" s="1">
        <f>ROUND(Table1[[#This Row],[fmpce]],0)</f>
        <v>5000</v>
      </c>
      <c r="W109">
        <v>68.023319999999998</v>
      </c>
      <c r="X109" s="4">
        <f>Table1[[#This Row],[mpce]]*89</f>
        <v>6054.0754799999995</v>
      </c>
      <c r="Y109" s="2" t="s">
        <v>28</v>
      </c>
      <c r="Z109" s="3">
        <f>VLOOKUP(Y109, rmpce_reference!$B$1:$D$7,3,FALSE) * 89</f>
        <v>6230</v>
      </c>
      <c r="AA109" s="1" t="str">
        <f>IF(Table1[rmpce_inr]&lt;=rmpce_reference!$F$2, "Low Income", IF(Table1[rmpce_inr]&lt;=rmpce_reference!$F$3, "Middle Income", "High Income"))</f>
        <v>Middle Income</v>
      </c>
    </row>
    <row r="110" spans="1:27" x14ac:dyDescent="0.25">
      <c r="A110">
        <v>1109</v>
      </c>
      <c r="B110" t="s">
        <v>20</v>
      </c>
      <c r="C110" t="s">
        <v>33</v>
      </c>
      <c r="D110">
        <v>26</v>
      </c>
      <c r="E110" t="s">
        <v>22</v>
      </c>
      <c r="F110" t="s">
        <v>23</v>
      </c>
      <c r="G110">
        <v>6</v>
      </c>
      <c r="H110" s="1" t="str">
        <f>IF(Table1[[#This Row],[anxiety_score]]&lt;=10, "Normal", IF(Table1[[#This Row],[anxiety_score]]&lt;=20, "Moderate", IF(Table1[[#This Row],[anxiety_score]]&lt;=30, "Severe", "Extremely Severe")))</f>
        <v>Normal</v>
      </c>
      <c r="I110">
        <v>-0.41028870000000001</v>
      </c>
      <c r="J110">
        <v>4</v>
      </c>
      <c r="K110" s="1" t="str">
        <f>IF(Table1[[#This Row],[stress_score]]&lt;=10, "Normal", IF(Table1[[#This Row],[stress_score]]&lt;=20, "Moderate", IF(Table1[[#This Row],[stress_score]]&lt;=30, "Severe", "Extremely Severe")))</f>
        <v>Normal</v>
      </c>
      <c r="L110">
        <v>-0.77314866000000004</v>
      </c>
      <c r="M110">
        <v>4</v>
      </c>
      <c r="N110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10">
        <v>-0.72356116999999998</v>
      </c>
      <c r="P110">
        <v>4.6666664999999998</v>
      </c>
      <c r="Q110">
        <f>ROUND(Table1[[#This Row],[dass21_raw_score]],0)</f>
        <v>5</v>
      </c>
      <c r="R110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10">
        <v>-0.63566619999999996</v>
      </c>
      <c r="T110">
        <v>0.45924369999999998</v>
      </c>
      <c r="U110">
        <v>7500</v>
      </c>
      <c r="V110" s="1">
        <f>ROUND(Table1[[#This Row],[fmpce]],0)</f>
        <v>7500</v>
      </c>
      <c r="W110">
        <v>102.03498999999999</v>
      </c>
      <c r="X110" s="4">
        <f>Table1[[#This Row],[mpce]]*89</f>
        <v>9081.1141099999986</v>
      </c>
      <c r="Y110" s="2" t="s">
        <v>35</v>
      </c>
      <c r="Z110" s="3">
        <f>VLOOKUP(Y110, rmpce_reference!$B$1:$D$7,3,FALSE) * 89</f>
        <v>9790</v>
      </c>
      <c r="AA110" s="1" t="str">
        <f>IF(Table1[rmpce_inr]&lt;=rmpce_reference!$F$2, "Low Income", IF(Table1[rmpce_inr]&lt;=rmpce_reference!$F$3, "Middle Income", "High Income"))</f>
        <v>High Income</v>
      </c>
    </row>
    <row r="111" spans="1:27" x14ac:dyDescent="0.25">
      <c r="A111">
        <v>1110</v>
      </c>
      <c r="B111" t="s">
        <v>20</v>
      </c>
      <c r="C111" t="s">
        <v>21</v>
      </c>
      <c r="D111">
        <v>45</v>
      </c>
      <c r="E111" t="s">
        <v>22</v>
      </c>
      <c r="F111" t="s">
        <v>23</v>
      </c>
      <c r="G111">
        <v>0</v>
      </c>
      <c r="H111" s="1" t="str">
        <f>IF(Table1[[#This Row],[anxiety_score]]&lt;=10, "Normal", IF(Table1[[#This Row],[anxiety_score]]&lt;=20, "Moderate", IF(Table1[[#This Row],[anxiety_score]]&lt;=30, "Severe", "Extremely Severe")))</f>
        <v>Normal</v>
      </c>
      <c r="I111">
        <v>-1.0134224999999999</v>
      </c>
      <c r="J111">
        <v>4</v>
      </c>
      <c r="K111" s="1" t="str">
        <f>IF(Table1[[#This Row],[stress_score]]&lt;=10, "Normal", IF(Table1[[#This Row],[stress_score]]&lt;=20, "Moderate", IF(Table1[[#This Row],[stress_score]]&lt;=30, "Severe", "Extremely Severe")))</f>
        <v>Normal</v>
      </c>
      <c r="L111">
        <v>-0.77314866000000004</v>
      </c>
      <c r="M111">
        <v>2</v>
      </c>
      <c r="N111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11">
        <v>-0.91619854999999994</v>
      </c>
      <c r="P111">
        <v>2</v>
      </c>
      <c r="Q111">
        <f>ROUND(Table1[[#This Row],[dass21_raw_score]],0)</f>
        <v>2</v>
      </c>
      <c r="R111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11">
        <v>-0.90092324999999995</v>
      </c>
      <c r="T111">
        <v>0.19398665000000001</v>
      </c>
      <c r="U111">
        <v>5000</v>
      </c>
      <c r="V111" s="1">
        <f>ROUND(Table1[[#This Row],[fmpce]],0)</f>
        <v>5000</v>
      </c>
      <c r="W111">
        <v>68.023319999999998</v>
      </c>
      <c r="X111" s="4">
        <f>Table1[[#This Row],[mpce]]*89</f>
        <v>6054.0754799999995</v>
      </c>
      <c r="Y111" s="2" t="s">
        <v>28</v>
      </c>
      <c r="Z111" s="3">
        <f>VLOOKUP(Y111, rmpce_reference!$B$1:$D$7,3,FALSE) * 89</f>
        <v>6230</v>
      </c>
      <c r="AA111" s="1" t="str">
        <f>IF(Table1[rmpce_inr]&lt;=rmpce_reference!$F$2, "Low Income", IF(Table1[rmpce_inr]&lt;=rmpce_reference!$F$3, "Middle Income", "High Income"))</f>
        <v>Middle Income</v>
      </c>
    </row>
    <row r="112" spans="1:27" x14ac:dyDescent="0.25">
      <c r="A112">
        <v>1111</v>
      </c>
      <c r="B112" t="s">
        <v>20</v>
      </c>
      <c r="C112" t="s">
        <v>29</v>
      </c>
      <c r="D112">
        <v>36</v>
      </c>
      <c r="E112" t="s">
        <v>25</v>
      </c>
      <c r="F112" t="s">
        <v>26</v>
      </c>
      <c r="G112">
        <v>4</v>
      </c>
      <c r="H112" s="1" t="str">
        <f>IF(Table1[[#This Row],[anxiety_score]]&lt;=10, "Normal", IF(Table1[[#This Row],[anxiety_score]]&lt;=20, "Moderate", IF(Table1[[#This Row],[anxiety_score]]&lt;=30, "Severe", "Extremely Severe")))</f>
        <v>Normal</v>
      </c>
      <c r="I112">
        <v>-0.61133329999999997</v>
      </c>
      <c r="J112">
        <v>14</v>
      </c>
      <c r="K112" s="1" t="str">
        <f>IF(Table1[[#This Row],[stress_score]]&lt;=10, "Normal", IF(Table1[[#This Row],[stress_score]]&lt;=20, "Moderate", IF(Table1[[#This Row],[stress_score]]&lt;=30, "Severe", "Extremely Severe")))</f>
        <v>Moderate</v>
      </c>
      <c r="L112">
        <v>0.20015757000000001</v>
      </c>
      <c r="M112">
        <v>12</v>
      </c>
      <c r="N112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112">
        <v>4.6988415999999998E-2</v>
      </c>
      <c r="P112">
        <v>10</v>
      </c>
      <c r="Q112">
        <f>ROUND(Table1[[#This Row],[dass21_raw_score]],0)</f>
        <v>10</v>
      </c>
      <c r="R112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12">
        <v>-0.121395774</v>
      </c>
      <c r="T112">
        <v>0.97351414000000003</v>
      </c>
      <c r="U112">
        <v>1666.6666</v>
      </c>
      <c r="V112" s="1">
        <f>ROUND(Table1[[#This Row],[fmpce]],0)</f>
        <v>1667</v>
      </c>
      <c r="W112">
        <v>22.674440000000001</v>
      </c>
      <c r="X112" s="4">
        <f>Table1[[#This Row],[mpce]]*89</f>
        <v>2018.0251600000001</v>
      </c>
      <c r="Y112" s="2" t="s">
        <v>24</v>
      </c>
      <c r="Z112" s="3">
        <f>VLOOKUP(Y112, rmpce_reference!$B$1:$D$7,3,FALSE) * 89</f>
        <v>2225</v>
      </c>
      <c r="AA112" s="1" t="str">
        <f>IF(Table1[rmpce_inr]&lt;=rmpce_reference!$F$2, "Low Income", IF(Table1[rmpce_inr]&lt;=rmpce_reference!$F$3, "Middle Income", "High Income"))</f>
        <v>Low Income</v>
      </c>
    </row>
    <row r="113" spans="1:27" x14ac:dyDescent="0.25">
      <c r="A113">
        <v>1112</v>
      </c>
      <c r="B113" t="s">
        <v>20</v>
      </c>
      <c r="C113" t="s">
        <v>21</v>
      </c>
      <c r="D113">
        <v>50</v>
      </c>
      <c r="E113" t="s">
        <v>22</v>
      </c>
      <c r="F113" t="s">
        <v>30</v>
      </c>
      <c r="G113">
        <v>6</v>
      </c>
      <c r="H113" s="1" t="str">
        <f>IF(Table1[[#This Row],[anxiety_score]]&lt;=10, "Normal", IF(Table1[[#This Row],[anxiety_score]]&lt;=20, "Moderate", IF(Table1[[#This Row],[anxiety_score]]&lt;=30, "Severe", "Extremely Severe")))</f>
        <v>Normal</v>
      </c>
      <c r="I113">
        <v>-0.41028870000000001</v>
      </c>
      <c r="J113">
        <v>4</v>
      </c>
      <c r="K113" s="1" t="str">
        <f>IF(Table1[[#This Row],[stress_score]]&lt;=10, "Normal", IF(Table1[[#This Row],[stress_score]]&lt;=20, "Moderate", IF(Table1[[#This Row],[stress_score]]&lt;=30, "Severe", "Extremely Severe")))</f>
        <v>Normal</v>
      </c>
      <c r="L113">
        <v>-0.77314866000000004</v>
      </c>
      <c r="M113">
        <v>4</v>
      </c>
      <c r="N113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13">
        <v>-0.72356116999999998</v>
      </c>
      <c r="P113">
        <v>4.6666664999999998</v>
      </c>
      <c r="Q113">
        <f>ROUND(Table1[[#This Row],[dass21_raw_score]],0)</f>
        <v>5</v>
      </c>
      <c r="R113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13">
        <v>-0.63566619999999996</v>
      </c>
      <c r="T113">
        <v>0.45924369999999998</v>
      </c>
      <c r="U113">
        <v>2000</v>
      </c>
      <c r="V113" s="1">
        <f>ROUND(Table1[[#This Row],[fmpce]],0)</f>
        <v>2000</v>
      </c>
      <c r="W113">
        <v>27.209330000000001</v>
      </c>
      <c r="X113" s="4">
        <f>Table1[[#This Row],[mpce]]*89</f>
        <v>2421.6303700000003</v>
      </c>
      <c r="Y113" s="2" t="s">
        <v>34</v>
      </c>
      <c r="Z113" s="3">
        <f>VLOOKUP(Y113, rmpce_reference!$B$1:$D$7,3,FALSE) * 89</f>
        <v>2848</v>
      </c>
      <c r="AA113" s="1" t="str">
        <f>IF(Table1[rmpce_inr]&lt;=rmpce_reference!$F$2, "Low Income", IF(Table1[rmpce_inr]&lt;=rmpce_reference!$F$3, "Middle Income", "High Income"))</f>
        <v>Low Income</v>
      </c>
    </row>
    <row r="114" spans="1:27" x14ac:dyDescent="0.25">
      <c r="A114">
        <v>1113</v>
      </c>
      <c r="B114" t="s">
        <v>20</v>
      </c>
      <c r="C114" t="s">
        <v>21</v>
      </c>
      <c r="D114">
        <v>48</v>
      </c>
      <c r="E114" t="s">
        <v>22</v>
      </c>
      <c r="F114" t="s">
        <v>30</v>
      </c>
      <c r="G114">
        <v>4</v>
      </c>
      <c r="H114" s="1" t="str">
        <f>IF(Table1[[#This Row],[anxiety_score]]&lt;=10, "Normal", IF(Table1[[#This Row],[anxiety_score]]&lt;=20, "Moderate", IF(Table1[[#This Row],[anxiety_score]]&lt;=30, "Severe", "Extremely Severe")))</f>
        <v>Normal</v>
      </c>
      <c r="I114">
        <v>-0.61133329999999997</v>
      </c>
      <c r="J114">
        <v>6</v>
      </c>
      <c r="K114" s="1" t="str">
        <f>IF(Table1[[#This Row],[stress_score]]&lt;=10, "Normal", IF(Table1[[#This Row],[stress_score]]&lt;=20, "Moderate", IF(Table1[[#This Row],[stress_score]]&lt;=30, "Severe", "Extremely Severe")))</f>
        <v>Normal</v>
      </c>
      <c r="L114">
        <v>-0.57848745999999995</v>
      </c>
      <c r="M114">
        <v>0</v>
      </c>
      <c r="N114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14">
        <v>-1.1088359000000001</v>
      </c>
      <c r="P114">
        <v>3.3333333000000001</v>
      </c>
      <c r="Q114">
        <f>ROUND(Table1[[#This Row],[dass21_raw_score]],0)</f>
        <v>3</v>
      </c>
      <c r="R114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14">
        <v>-0.76621890000000004</v>
      </c>
      <c r="T114">
        <v>0.32869100000000001</v>
      </c>
      <c r="U114">
        <v>5000</v>
      </c>
      <c r="V114" s="1">
        <f>ROUND(Table1[[#This Row],[fmpce]],0)</f>
        <v>5000</v>
      </c>
      <c r="W114">
        <v>68.023319999999998</v>
      </c>
      <c r="X114" s="4">
        <f>Table1[[#This Row],[mpce]]*89</f>
        <v>6054.0754799999995</v>
      </c>
      <c r="Y114" s="2" t="s">
        <v>28</v>
      </c>
      <c r="Z114" s="3">
        <f>VLOOKUP(Y114, rmpce_reference!$B$1:$D$7,3,FALSE) * 89</f>
        <v>6230</v>
      </c>
      <c r="AA114" s="1" t="str">
        <f>IF(Table1[rmpce_inr]&lt;=rmpce_reference!$F$2, "Low Income", IF(Table1[rmpce_inr]&lt;=rmpce_reference!$F$3, "Middle Income", "High Income"))</f>
        <v>Middle Income</v>
      </c>
    </row>
    <row r="115" spans="1:27" x14ac:dyDescent="0.25">
      <c r="A115">
        <v>1114</v>
      </c>
      <c r="B115" t="s">
        <v>20</v>
      </c>
      <c r="C115" t="s">
        <v>33</v>
      </c>
      <c r="D115">
        <v>29</v>
      </c>
      <c r="E115" t="s">
        <v>22</v>
      </c>
      <c r="F115" t="s">
        <v>30</v>
      </c>
      <c r="G115">
        <v>8</v>
      </c>
      <c r="H115" s="1" t="str">
        <f>IF(Table1[[#This Row],[anxiety_score]]&lt;=10, "Normal", IF(Table1[[#This Row],[anxiety_score]]&lt;=20, "Moderate", IF(Table1[[#This Row],[anxiety_score]]&lt;=30, "Severe", "Extremely Severe")))</f>
        <v>Normal</v>
      </c>
      <c r="I115">
        <v>-0.20924408999999999</v>
      </c>
      <c r="J115">
        <v>0</v>
      </c>
      <c r="K115" s="1" t="str">
        <f>IF(Table1[[#This Row],[stress_score]]&lt;=10, "Normal", IF(Table1[[#This Row],[stress_score]]&lt;=20, "Moderate", IF(Table1[[#This Row],[stress_score]]&lt;=30, "Severe", "Extremely Severe")))</f>
        <v>Normal</v>
      </c>
      <c r="L115">
        <v>-1.1624711999999999</v>
      </c>
      <c r="M115">
        <v>8</v>
      </c>
      <c r="N115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15">
        <v>-0.33828637</v>
      </c>
      <c r="P115">
        <v>5.3333335000000002</v>
      </c>
      <c r="Q115">
        <f>ROUND(Table1[[#This Row],[dass21_raw_score]],0)</f>
        <v>5</v>
      </c>
      <c r="R115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15">
        <v>-0.57000050000000002</v>
      </c>
      <c r="T115">
        <v>0.52490939999999997</v>
      </c>
      <c r="U115">
        <v>6666.6665000000003</v>
      </c>
      <c r="V115" s="1">
        <f>ROUND(Table1[[#This Row],[fmpce]],0)</f>
        <v>6667</v>
      </c>
      <c r="W115">
        <v>90.697760000000002</v>
      </c>
      <c r="X115" s="4">
        <f>Table1[[#This Row],[mpce]]*89</f>
        <v>8072.1006400000006</v>
      </c>
      <c r="Y115" s="2" t="s">
        <v>31</v>
      </c>
      <c r="Z115" s="3">
        <f>VLOOKUP(Y115, rmpce_reference!$B$1:$D$7,3,FALSE) * 89</f>
        <v>8010</v>
      </c>
      <c r="AA115" s="1" t="str">
        <f>IF(Table1[rmpce_inr]&lt;=rmpce_reference!$F$2, "Low Income", IF(Table1[rmpce_inr]&lt;=rmpce_reference!$F$3, "Middle Income", "High Income"))</f>
        <v>High Income</v>
      </c>
    </row>
    <row r="116" spans="1:27" x14ac:dyDescent="0.25">
      <c r="A116">
        <v>1115</v>
      </c>
      <c r="B116" t="s">
        <v>20</v>
      </c>
      <c r="C116" t="s">
        <v>21</v>
      </c>
      <c r="D116">
        <v>45</v>
      </c>
      <c r="E116" t="s">
        <v>22</v>
      </c>
      <c r="F116" t="s">
        <v>30</v>
      </c>
      <c r="G116">
        <v>4</v>
      </c>
      <c r="H116" s="1" t="str">
        <f>IF(Table1[[#This Row],[anxiety_score]]&lt;=10, "Normal", IF(Table1[[#This Row],[anxiety_score]]&lt;=20, "Moderate", IF(Table1[[#This Row],[anxiety_score]]&lt;=30, "Severe", "Extremely Severe")))</f>
        <v>Normal</v>
      </c>
      <c r="I116">
        <v>-0.61133329999999997</v>
      </c>
      <c r="J116">
        <v>6</v>
      </c>
      <c r="K116" s="1" t="str">
        <f>IF(Table1[[#This Row],[stress_score]]&lt;=10, "Normal", IF(Table1[[#This Row],[stress_score]]&lt;=20, "Moderate", IF(Table1[[#This Row],[stress_score]]&lt;=30, "Severe", "Extremely Severe")))</f>
        <v>Normal</v>
      </c>
      <c r="L116">
        <v>-0.57848745999999995</v>
      </c>
      <c r="M116">
        <v>8</v>
      </c>
      <c r="N116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16">
        <v>-0.33828637</v>
      </c>
      <c r="P116">
        <v>6</v>
      </c>
      <c r="Q116">
        <f>ROUND(Table1[[#This Row],[dass21_raw_score]],0)</f>
        <v>6</v>
      </c>
      <c r="R116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16">
        <v>-0.50936899999999996</v>
      </c>
      <c r="T116">
        <v>0.58554090000000003</v>
      </c>
      <c r="U116">
        <v>5833.3334999999997</v>
      </c>
      <c r="V116" s="1">
        <f>ROUND(Table1[[#This Row],[fmpce]],0)</f>
        <v>5833</v>
      </c>
      <c r="W116">
        <v>79.360550000000003</v>
      </c>
      <c r="X116" s="4">
        <f>Table1[[#This Row],[mpce]]*89</f>
        <v>7063.0889500000003</v>
      </c>
      <c r="Y116" s="2" t="s">
        <v>28</v>
      </c>
      <c r="Z116" s="3">
        <f>VLOOKUP(Y116, rmpce_reference!$B$1:$D$7,3,FALSE) * 89</f>
        <v>6230</v>
      </c>
      <c r="AA116" s="1" t="str">
        <f>IF(Table1[rmpce_inr]&lt;=rmpce_reference!$F$2, "Low Income", IF(Table1[rmpce_inr]&lt;=rmpce_reference!$F$3, "Middle Income", "High Income"))</f>
        <v>Middle Income</v>
      </c>
    </row>
    <row r="117" spans="1:27" x14ac:dyDescent="0.25">
      <c r="A117">
        <v>1116</v>
      </c>
      <c r="B117" t="s">
        <v>20</v>
      </c>
      <c r="C117" t="s">
        <v>29</v>
      </c>
      <c r="D117">
        <v>31</v>
      </c>
      <c r="E117" t="s">
        <v>22</v>
      </c>
      <c r="F117" t="s">
        <v>30</v>
      </c>
      <c r="G117">
        <v>6</v>
      </c>
      <c r="H117" s="1" t="str">
        <f>IF(Table1[[#This Row],[anxiety_score]]&lt;=10, "Normal", IF(Table1[[#This Row],[anxiety_score]]&lt;=20, "Moderate", IF(Table1[[#This Row],[anxiety_score]]&lt;=30, "Severe", "Extremely Severe")))</f>
        <v>Normal</v>
      </c>
      <c r="I117">
        <v>-0.41028870000000001</v>
      </c>
      <c r="J117">
        <v>4</v>
      </c>
      <c r="K117" s="1" t="str">
        <f>IF(Table1[[#This Row],[stress_score]]&lt;=10, "Normal", IF(Table1[[#This Row],[stress_score]]&lt;=20, "Moderate", IF(Table1[[#This Row],[stress_score]]&lt;=30, "Severe", "Extremely Severe")))</f>
        <v>Normal</v>
      </c>
      <c r="L117">
        <v>-0.77314866000000004</v>
      </c>
      <c r="M117">
        <v>2</v>
      </c>
      <c r="N117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17">
        <v>-0.91619854999999994</v>
      </c>
      <c r="P117">
        <v>4</v>
      </c>
      <c r="Q117">
        <f>ROUND(Table1[[#This Row],[dass21_raw_score]],0)</f>
        <v>4</v>
      </c>
      <c r="R117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17">
        <v>-0.69987862999999995</v>
      </c>
      <c r="T117">
        <v>0.39503126999999999</v>
      </c>
      <c r="U117">
        <v>3333.3332999999998</v>
      </c>
      <c r="V117" s="1">
        <f>ROUND(Table1[[#This Row],[fmpce]],0)</f>
        <v>3333</v>
      </c>
      <c r="W117">
        <v>45.348880000000001</v>
      </c>
      <c r="X117" s="4">
        <f>Table1[[#This Row],[mpce]]*89</f>
        <v>4036.0503200000003</v>
      </c>
      <c r="Y117" s="2" t="s">
        <v>32</v>
      </c>
      <c r="Z117" s="3">
        <f>VLOOKUP(Y117, rmpce_reference!$B$1:$D$7,3,FALSE) * 89</f>
        <v>4450</v>
      </c>
      <c r="AA117" s="1" t="str">
        <f>IF(Table1[rmpce_inr]&lt;=rmpce_reference!$F$2, "Low Income", IF(Table1[rmpce_inr]&lt;=rmpce_reference!$F$3, "Middle Income", "High Income"))</f>
        <v>Low Income</v>
      </c>
    </row>
    <row r="118" spans="1:27" x14ac:dyDescent="0.25">
      <c r="A118">
        <v>1117</v>
      </c>
      <c r="B118" t="s">
        <v>20</v>
      </c>
      <c r="C118" t="s">
        <v>29</v>
      </c>
      <c r="D118">
        <v>40</v>
      </c>
      <c r="E118" t="s">
        <v>25</v>
      </c>
      <c r="F118" t="s">
        <v>26</v>
      </c>
      <c r="G118">
        <v>6</v>
      </c>
      <c r="H118" s="1" t="str">
        <f>IF(Table1[[#This Row],[anxiety_score]]&lt;=10, "Normal", IF(Table1[[#This Row],[anxiety_score]]&lt;=20, "Moderate", IF(Table1[[#This Row],[anxiety_score]]&lt;=30, "Severe", "Extremely Severe")))</f>
        <v>Normal</v>
      </c>
      <c r="I118">
        <v>-0.41028870000000001</v>
      </c>
      <c r="J118">
        <v>2</v>
      </c>
      <c r="K118" s="1" t="str">
        <f>IF(Table1[[#This Row],[stress_score]]&lt;=10, "Normal", IF(Table1[[#This Row],[stress_score]]&lt;=20, "Moderate", IF(Table1[[#This Row],[stress_score]]&lt;=30, "Severe", "Extremely Severe")))</f>
        <v>Normal</v>
      </c>
      <c r="L118">
        <v>-0.9678099</v>
      </c>
      <c r="M118">
        <v>6</v>
      </c>
      <c r="N118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18">
        <v>-0.53092379999999995</v>
      </c>
      <c r="P118">
        <v>4.6666664999999998</v>
      </c>
      <c r="Q118">
        <f>ROUND(Table1[[#This Row],[dass21_raw_score]],0)</f>
        <v>5</v>
      </c>
      <c r="R118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18">
        <v>-0.63634080000000004</v>
      </c>
      <c r="T118">
        <v>0.45856910000000001</v>
      </c>
      <c r="U118">
        <v>2500</v>
      </c>
      <c r="V118" s="1">
        <f>ROUND(Table1[[#This Row],[fmpce]],0)</f>
        <v>2500</v>
      </c>
      <c r="W118">
        <v>34.011659999999999</v>
      </c>
      <c r="X118" s="4">
        <f>Table1[[#This Row],[mpce]]*89</f>
        <v>3027.0377399999998</v>
      </c>
      <c r="Y118" s="2" t="s">
        <v>34</v>
      </c>
      <c r="Z118" s="3">
        <f>VLOOKUP(Y118, rmpce_reference!$B$1:$D$7,3,FALSE) * 89</f>
        <v>2848</v>
      </c>
      <c r="AA118" s="1" t="str">
        <f>IF(Table1[rmpce_inr]&lt;=rmpce_reference!$F$2, "Low Income", IF(Table1[rmpce_inr]&lt;=rmpce_reference!$F$3, "Middle Income", "High Income"))</f>
        <v>Low Income</v>
      </c>
    </row>
    <row r="119" spans="1:27" x14ac:dyDescent="0.25">
      <c r="A119">
        <v>1118</v>
      </c>
      <c r="B119" t="s">
        <v>20</v>
      </c>
      <c r="C119" t="s">
        <v>21</v>
      </c>
      <c r="D119">
        <v>50</v>
      </c>
      <c r="E119" t="s">
        <v>25</v>
      </c>
      <c r="F119" t="s">
        <v>26</v>
      </c>
      <c r="G119">
        <v>4</v>
      </c>
      <c r="H119" s="1" t="str">
        <f>IF(Table1[[#This Row],[anxiety_score]]&lt;=10, "Normal", IF(Table1[[#This Row],[anxiety_score]]&lt;=20, "Moderate", IF(Table1[[#This Row],[anxiety_score]]&lt;=30, "Severe", "Extremely Severe")))</f>
        <v>Normal</v>
      </c>
      <c r="I119">
        <v>-0.61133329999999997</v>
      </c>
      <c r="J119">
        <v>4</v>
      </c>
      <c r="K119" s="1" t="str">
        <f>IF(Table1[[#This Row],[stress_score]]&lt;=10, "Normal", IF(Table1[[#This Row],[stress_score]]&lt;=20, "Moderate", IF(Table1[[#This Row],[stress_score]]&lt;=30, "Severe", "Extremely Severe")))</f>
        <v>Normal</v>
      </c>
      <c r="L119">
        <v>-0.77314866000000004</v>
      </c>
      <c r="M119">
        <v>6</v>
      </c>
      <c r="N119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19">
        <v>-0.53092379999999995</v>
      </c>
      <c r="P119">
        <v>4.6666664999999998</v>
      </c>
      <c r="Q119">
        <f>ROUND(Table1[[#This Row],[dass21_raw_score]],0)</f>
        <v>5</v>
      </c>
      <c r="R119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19">
        <v>-0.63846855999999996</v>
      </c>
      <c r="T119">
        <v>0.45644133999999997</v>
      </c>
      <c r="U119">
        <v>2500</v>
      </c>
      <c r="V119" s="1">
        <f>ROUND(Table1[[#This Row],[fmpce]],0)</f>
        <v>2500</v>
      </c>
      <c r="W119">
        <v>34.011659999999999</v>
      </c>
      <c r="X119" s="4">
        <f>Table1[[#This Row],[mpce]]*89</f>
        <v>3027.0377399999998</v>
      </c>
      <c r="Y119" s="2" t="s">
        <v>34</v>
      </c>
      <c r="Z119" s="3">
        <f>VLOOKUP(Y119, rmpce_reference!$B$1:$D$7,3,FALSE) * 89</f>
        <v>2848</v>
      </c>
      <c r="AA119" s="1" t="str">
        <f>IF(Table1[rmpce_inr]&lt;=rmpce_reference!$F$2, "Low Income", IF(Table1[rmpce_inr]&lt;=rmpce_reference!$F$3, "Middle Income", "High Income"))</f>
        <v>Low Income</v>
      </c>
    </row>
    <row r="120" spans="1:27" x14ac:dyDescent="0.25">
      <c r="A120">
        <v>1119</v>
      </c>
      <c r="B120" t="s">
        <v>20</v>
      </c>
      <c r="C120" t="s">
        <v>21</v>
      </c>
      <c r="D120">
        <v>45</v>
      </c>
      <c r="E120" t="s">
        <v>25</v>
      </c>
      <c r="F120" t="s">
        <v>26</v>
      </c>
      <c r="G120">
        <v>4</v>
      </c>
      <c r="H120" s="1" t="str">
        <f>IF(Table1[[#This Row],[anxiety_score]]&lt;=10, "Normal", IF(Table1[[#This Row],[anxiety_score]]&lt;=20, "Moderate", IF(Table1[[#This Row],[anxiety_score]]&lt;=30, "Severe", "Extremely Severe")))</f>
        <v>Normal</v>
      </c>
      <c r="I120">
        <v>-0.61133329999999997</v>
      </c>
      <c r="J120">
        <v>6</v>
      </c>
      <c r="K120" s="1" t="str">
        <f>IF(Table1[[#This Row],[stress_score]]&lt;=10, "Normal", IF(Table1[[#This Row],[stress_score]]&lt;=20, "Moderate", IF(Table1[[#This Row],[stress_score]]&lt;=30, "Severe", "Extremely Severe")))</f>
        <v>Normal</v>
      </c>
      <c r="L120">
        <v>-0.57848745999999995</v>
      </c>
      <c r="M120">
        <v>4</v>
      </c>
      <c r="N120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20">
        <v>-0.72356116999999998</v>
      </c>
      <c r="P120">
        <v>4.6666664999999998</v>
      </c>
      <c r="Q120">
        <f>ROUND(Table1[[#This Row],[dass21_raw_score]],0)</f>
        <v>5</v>
      </c>
      <c r="R120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20">
        <v>-0.63779395999999999</v>
      </c>
      <c r="T120">
        <v>0.45711594999999999</v>
      </c>
      <c r="U120">
        <v>6250</v>
      </c>
      <c r="V120" s="1">
        <f>ROUND(Table1[[#This Row],[fmpce]],0)</f>
        <v>6250</v>
      </c>
      <c r="W120">
        <v>85.029150000000001</v>
      </c>
      <c r="X120" s="4">
        <f>Table1[[#This Row],[mpce]]*89</f>
        <v>7567.5943500000003</v>
      </c>
      <c r="Y120" s="2" t="s">
        <v>31</v>
      </c>
      <c r="Z120" s="3">
        <f>VLOOKUP(Y120, rmpce_reference!$B$1:$D$7,3,FALSE) * 89</f>
        <v>8010</v>
      </c>
      <c r="AA120" s="1" t="str">
        <f>IF(Table1[rmpce_inr]&lt;=rmpce_reference!$F$2, "Low Income", IF(Table1[rmpce_inr]&lt;=rmpce_reference!$F$3, "Middle Income", "High Income"))</f>
        <v>High Income</v>
      </c>
    </row>
    <row r="121" spans="1:27" x14ac:dyDescent="0.25">
      <c r="A121">
        <v>1120</v>
      </c>
      <c r="B121" t="s">
        <v>20</v>
      </c>
      <c r="C121" t="s">
        <v>29</v>
      </c>
      <c r="D121">
        <v>38</v>
      </c>
      <c r="E121" t="s">
        <v>25</v>
      </c>
      <c r="F121" t="s">
        <v>26</v>
      </c>
      <c r="G121">
        <v>6</v>
      </c>
      <c r="H121" s="1" t="str">
        <f>IF(Table1[[#This Row],[anxiety_score]]&lt;=10, "Normal", IF(Table1[[#This Row],[anxiety_score]]&lt;=20, "Moderate", IF(Table1[[#This Row],[anxiety_score]]&lt;=30, "Severe", "Extremely Severe")))</f>
        <v>Normal</v>
      </c>
      <c r="I121">
        <v>-0.41028870000000001</v>
      </c>
      <c r="J121">
        <v>8</v>
      </c>
      <c r="K121" s="1" t="str">
        <f>IF(Table1[[#This Row],[stress_score]]&lt;=10, "Normal", IF(Table1[[#This Row],[stress_score]]&lt;=20, "Moderate", IF(Table1[[#This Row],[stress_score]]&lt;=30, "Severe", "Extremely Severe")))</f>
        <v>Normal</v>
      </c>
      <c r="L121">
        <v>-0.38382620000000001</v>
      </c>
      <c r="M121">
        <v>6</v>
      </c>
      <c r="N121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21">
        <v>-0.53092379999999995</v>
      </c>
      <c r="P121">
        <v>6.6666664999999998</v>
      </c>
      <c r="Q121">
        <f>ROUND(Table1[[#This Row],[dass21_raw_score]],0)</f>
        <v>7</v>
      </c>
      <c r="R121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21">
        <v>-0.44167957000000002</v>
      </c>
      <c r="T121">
        <v>0.65323030000000004</v>
      </c>
      <c r="U121">
        <v>7500</v>
      </c>
      <c r="V121" s="1">
        <f>ROUND(Table1[[#This Row],[fmpce]],0)</f>
        <v>7500</v>
      </c>
      <c r="W121">
        <v>102.03498999999999</v>
      </c>
      <c r="X121" s="4">
        <f>Table1[[#This Row],[mpce]]*89</f>
        <v>9081.1141099999986</v>
      </c>
      <c r="Y121" s="2" t="s">
        <v>35</v>
      </c>
      <c r="Z121" s="3">
        <f>VLOOKUP(Y121, rmpce_reference!$B$1:$D$7,3,FALSE) * 89</f>
        <v>9790</v>
      </c>
      <c r="AA121" s="1" t="str">
        <f>IF(Table1[rmpce_inr]&lt;=rmpce_reference!$F$2, "Low Income", IF(Table1[rmpce_inr]&lt;=rmpce_reference!$F$3, "Middle Income", "High Income"))</f>
        <v>High Income</v>
      </c>
    </row>
    <row r="122" spans="1:27" x14ac:dyDescent="0.25">
      <c r="A122">
        <v>1121</v>
      </c>
      <c r="B122" t="s">
        <v>20</v>
      </c>
      <c r="C122" t="s">
        <v>29</v>
      </c>
      <c r="D122">
        <v>35</v>
      </c>
      <c r="E122" t="s">
        <v>25</v>
      </c>
      <c r="F122" t="s">
        <v>30</v>
      </c>
      <c r="G122">
        <v>6</v>
      </c>
      <c r="H122" s="1" t="str">
        <f>IF(Table1[[#This Row],[anxiety_score]]&lt;=10, "Normal", IF(Table1[[#This Row],[anxiety_score]]&lt;=20, "Moderate", IF(Table1[[#This Row],[anxiety_score]]&lt;=30, "Severe", "Extremely Severe")))</f>
        <v>Normal</v>
      </c>
      <c r="I122">
        <v>-0.41028870000000001</v>
      </c>
      <c r="J122">
        <v>4</v>
      </c>
      <c r="K122" s="1" t="str">
        <f>IF(Table1[[#This Row],[stress_score]]&lt;=10, "Normal", IF(Table1[[#This Row],[stress_score]]&lt;=20, "Moderate", IF(Table1[[#This Row],[stress_score]]&lt;=30, "Severe", "Extremely Severe")))</f>
        <v>Normal</v>
      </c>
      <c r="L122">
        <v>-0.77314866000000004</v>
      </c>
      <c r="M122">
        <v>2</v>
      </c>
      <c r="N122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22">
        <v>-0.91619854999999994</v>
      </c>
      <c r="P122">
        <v>4</v>
      </c>
      <c r="Q122">
        <f>ROUND(Table1[[#This Row],[dass21_raw_score]],0)</f>
        <v>4</v>
      </c>
      <c r="R122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22">
        <v>-0.69987862999999995</v>
      </c>
      <c r="T122">
        <v>0.39503126999999999</v>
      </c>
      <c r="U122">
        <v>5000</v>
      </c>
      <c r="V122" s="1">
        <f>ROUND(Table1[[#This Row],[fmpce]],0)</f>
        <v>5000</v>
      </c>
      <c r="W122">
        <v>68.023319999999998</v>
      </c>
      <c r="X122" s="4">
        <f>Table1[[#This Row],[mpce]]*89</f>
        <v>6054.0754799999995</v>
      </c>
      <c r="Y122" s="2" t="s">
        <v>28</v>
      </c>
      <c r="Z122" s="3">
        <f>VLOOKUP(Y122, rmpce_reference!$B$1:$D$7,3,FALSE) * 89</f>
        <v>6230</v>
      </c>
      <c r="AA122" s="1" t="str">
        <f>IF(Table1[rmpce_inr]&lt;=rmpce_reference!$F$2, "Low Income", IF(Table1[rmpce_inr]&lt;=rmpce_reference!$F$3, "Middle Income", "High Income"))</f>
        <v>Middle Income</v>
      </c>
    </row>
    <row r="123" spans="1:27" x14ac:dyDescent="0.25">
      <c r="A123">
        <v>1122</v>
      </c>
      <c r="B123" t="s">
        <v>20</v>
      </c>
      <c r="C123" t="s">
        <v>29</v>
      </c>
      <c r="D123">
        <v>37</v>
      </c>
      <c r="E123" t="s">
        <v>25</v>
      </c>
      <c r="F123" t="s">
        <v>23</v>
      </c>
      <c r="G123">
        <v>6</v>
      </c>
      <c r="H123" s="1" t="str">
        <f>IF(Table1[[#This Row],[anxiety_score]]&lt;=10, "Normal", IF(Table1[[#This Row],[anxiety_score]]&lt;=20, "Moderate", IF(Table1[[#This Row],[anxiety_score]]&lt;=30, "Severe", "Extremely Severe")))</f>
        <v>Normal</v>
      </c>
      <c r="I123">
        <v>-0.41028870000000001</v>
      </c>
      <c r="J123">
        <v>4</v>
      </c>
      <c r="K123" s="1" t="str">
        <f>IF(Table1[[#This Row],[stress_score]]&lt;=10, "Normal", IF(Table1[[#This Row],[stress_score]]&lt;=20, "Moderate", IF(Table1[[#This Row],[stress_score]]&lt;=30, "Severe", "Extremely Severe")))</f>
        <v>Normal</v>
      </c>
      <c r="L123">
        <v>-0.77314866000000004</v>
      </c>
      <c r="M123">
        <v>4</v>
      </c>
      <c r="N123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23">
        <v>-0.72356116999999998</v>
      </c>
      <c r="P123">
        <v>4.6666664999999998</v>
      </c>
      <c r="Q123">
        <f>ROUND(Table1[[#This Row],[dass21_raw_score]],0)</f>
        <v>5</v>
      </c>
      <c r="R123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23">
        <v>-0.63566619999999996</v>
      </c>
      <c r="T123">
        <v>0.45924369999999998</v>
      </c>
      <c r="U123">
        <v>8333.3330000000005</v>
      </c>
      <c r="V123" s="1">
        <f>ROUND(Table1[[#This Row],[fmpce]],0)</f>
        <v>8333</v>
      </c>
      <c r="W123">
        <v>113.37220000000001</v>
      </c>
      <c r="X123" s="4">
        <f>Table1[[#This Row],[mpce]]*89</f>
        <v>10090.1258</v>
      </c>
      <c r="Y123" s="2" t="s">
        <v>35</v>
      </c>
      <c r="Z123" s="3">
        <f>VLOOKUP(Y123, rmpce_reference!$B$1:$D$7,3,FALSE) * 89</f>
        <v>9790</v>
      </c>
      <c r="AA123" s="1" t="str">
        <f>IF(Table1[rmpce_inr]&lt;=rmpce_reference!$F$2, "Low Income", IF(Table1[rmpce_inr]&lt;=rmpce_reference!$F$3, "Middle Income", "High Income"))</f>
        <v>High Income</v>
      </c>
    </row>
    <row r="124" spans="1:27" x14ac:dyDescent="0.25">
      <c r="A124">
        <v>1123</v>
      </c>
      <c r="B124" t="s">
        <v>20</v>
      </c>
      <c r="C124" t="s">
        <v>21</v>
      </c>
      <c r="D124">
        <v>45</v>
      </c>
      <c r="E124" t="s">
        <v>25</v>
      </c>
      <c r="F124" t="s">
        <v>26</v>
      </c>
      <c r="G124">
        <v>6</v>
      </c>
      <c r="H124" s="1" t="str">
        <f>IF(Table1[[#This Row],[anxiety_score]]&lt;=10, "Normal", IF(Table1[[#This Row],[anxiety_score]]&lt;=20, "Moderate", IF(Table1[[#This Row],[anxiety_score]]&lt;=30, "Severe", "Extremely Severe")))</f>
        <v>Normal</v>
      </c>
      <c r="I124">
        <v>-0.41028870000000001</v>
      </c>
      <c r="J124">
        <v>4</v>
      </c>
      <c r="K124" s="1" t="str">
        <f>IF(Table1[[#This Row],[stress_score]]&lt;=10, "Normal", IF(Table1[[#This Row],[stress_score]]&lt;=20, "Moderate", IF(Table1[[#This Row],[stress_score]]&lt;=30, "Severe", "Extremely Severe")))</f>
        <v>Normal</v>
      </c>
      <c r="L124">
        <v>-0.77314866000000004</v>
      </c>
      <c r="M124">
        <v>0</v>
      </c>
      <c r="N124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24">
        <v>-1.1088359000000001</v>
      </c>
      <c r="P124">
        <v>3.3333333000000001</v>
      </c>
      <c r="Q124">
        <f>ROUND(Table1[[#This Row],[dass21_raw_score]],0)</f>
        <v>3</v>
      </c>
      <c r="R124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24">
        <v>-0.76409110000000002</v>
      </c>
      <c r="T124">
        <v>0.33081883000000001</v>
      </c>
      <c r="U124">
        <v>5000</v>
      </c>
      <c r="V124" s="1">
        <f>ROUND(Table1[[#This Row],[fmpce]],0)</f>
        <v>5000</v>
      </c>
      <c r="W124">
        <v>68.023319999999998</v>
      </c>
      <c r="X124" s="4">
        <f>Table1[[#This Row],[mpce]]*89</f>
        <v>6054.0754799999995</v>
      </c>
      <c r="Y124" s="2" t="s">
        <v>28</v>
      </c>
      <c r="Z124" s="3">
        <f>VLOOKUP(Y124, rmpce_reference!$B$1:$D$7,3,FALSE) * 89</f>
        <v>6230</v>
      </c>
      <c r="AA124" s="1" t="str">
        <f>IF(Table1[rmpce_inr]&lt;=rmpce_reference!$F$2, "Low Income", IF(Table1[rmpce_inr]&lt;=rmpce_reference!$F$3, "Middle Income", "High Income"))</f>
        <v>Middle Income</v>
      </c>
    </row>
    <row r="125" spans="1:27" x14ac:dyDescent="0.25">
      <c r="A125">
        <v>1124</v>
      </c>
      <c r="B125" t="s">
        <v>20</v>
      </c>
      <c r="C125" t="s">
        <v>36</v>
      </c>
      <c r="D125">
        <v>55</v>
      </c>
      <c r="E125" t="s">
        <v>25</v>
      </c>
      <c r="F125" t="s">
        <v>26</v>
      </c>
      <c r="G125">
        <v>6</v>
      </c>
      <c r="H125" s="1" t="str">
        <f>IF(Table1[[#This Row],[anxiety_score]]&lt;=10, "Normal", IF(Table1[[#This Row],[anxiety_score]]&lt;=20, "Moderate", IF(Table1[[#This Row],[anxiety_score]]&lt;=30, "Severe", "Extremely Severe")))</f>
        <v>Normal</v>
      </c>
      <c r="I125">
        <v>-0.41028870000000001</v>
      </c>
      <c r="J125">
        <v>0</v>
      </c>
      <c r="K125" s="1" t="str">
        <f>IF(Table1[[#This Row],[stress_score]]&lt;=10, "Normal", IF(Table1[[#This Row],[stress_score]]&lt;=20, "Moderate", IF(Table1[[#This Row],[stress_score]]&lt;=30, "Severe", "Extremely Severe")))</f>
        <v>Normal</v>
      </c>
      <c r="L125">
        <v>-1.1624711999999999</v>
      </c>
      <c r="M125">
        <v>4</v>
      </c>
      <c r="N125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25">
        <v>-0.72356116999999998</v>
      </c>
      <c r="P125">
        <v>3.3333333000000001</v>
      </c>
      <c r="Q125">
        <f>ROUND(Table1[[#This Row],[dass21_raw_score]],0)</f>
        <v>3</v>
      </c>
      <c r="R125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25">
        <v>-0.76544034000000005</v>
      </c>
      <c r="T125">
        <v>0.32946955999999999</v>
      </c>
      <c r="U125">
        <v>2000</v>
      </c>
      <c r="V125" s="1">
        <f>ROUND(Table1[[#This Row],[fmpce]],0)</f>
        <v>2000</v>
      </c>
      <c r="W125">
        <v>27.209330000000001</v>
      </c>
      <c r="X125" s="4">
        <f>Table1[[#This Row],[mpce]]*89</f>
        <v>2421.6303700000003</v>
      </c>
      <c r="Y125" s="2" t="s">
        <v>34</v>
      </c>
      <c r="Z125" s="3">
        <f>VLOOKUP(Y125, rmpce_reference!$B$1:$D$7,3,FALSE) * 89</f>
        <v>2848</v>
      </c>
      <c r="AA125" s="1" t="str">
        <f>IF(Table1[rmpce_inr]&lt;=rmpce_reference!$F$2, "Low Income", IF(Table1[rmpce_inr]&lt;=rmpce_reference!$F$3, "Middle Income", "High Income"))</f>
        <v>Low Income</v>
      </c>
    </row>
    <row r="126" spans="1:27" x14ac:dyDescent="0.25">
      <c r="A126">
        <v>1125</v>
      </c>
      <c r="B126" t="s">
        <v>20</v>
      </c>
      <c r="C126" t="s">
        <v>21</v>
      </c>
      <c r="D126">
        <v>43</v>
      </c>
      <c r="E126" t="s">
        <v>25</v>
      </c>
      <c r="F126" t="s">
        <v>30</v>
      </c>
      <c r="G126">
        <v>4</v>
      </c>
      <c r="H126" s="1" t="str">
        <f>IF(Table1[[#This Row],[anxiety_score]]&lt;=10, "Normal", IF(Table1[[#This Row],[anxiety_score]]&lt;=20, "Moderate", IF(Table1[[#This Row],[anxiety_score]]&lt;=30, "Severe", "Extremely Severe")))</f>
        <v>Normal</v>
      </c>
      <c r="I126">
        <v>-0.61133329999999997</v>
      </c>
      <c r="J126">
        <v>2</v>
      </c>
      <c r="K126" s="1" t="str">
        <f>IF(Table1[[#This Row],[stress_score]]&lt;=10, "Normal", IF(Table1[[#This Row],[stress_score]]&lt;=20, "Moderate", IF(Table1[[#This Row],[stress_score]]&lt;=30, "Severe", "Extremely Severe")))</f>
        <v>Normal</v>
      </c>
      <c r="L126">
        <v>-0.9678099</v>
      </c>
      <c r="M126">
        <v>6</v>
      </c>
      <c r="N126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26">
        <v>-0.53092379999999995</v>
      </c>
      <c r="P126">
        <v>4</v>
      </c>
      <c r="Q126">
        <f>ROUND(Table1[[#This Row],[dass21_raw_score]],0)</f>
        <v>4</v>
      </c>
      <c r="R126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26">
        <v>-0.70335566999999999</v>
      </c>
      <c r="T126">
        <v>0.39155424</v>
      </c>
      <c r="U126">
        <v>2000</v>
      </c>
      <c r="V126" s="1">
        <f>ROUND(Table1[[#This Row],[fmpce]],0)</f>
        <v>2000</v>
      </c>
      <c r="W126">
        <v>27.209330000000001</v>
      </c>
      <c r="X126" s="4">
        <f>Table1[[#This Row],[mpce]]*89</f>
        <v>2421.6303700000003</v>
      </c>
      <c r="Y126" s="2" t="s">
        <v>34</v>
      </c>
      <c r="Z126" s="3">
        <f>VLOOKUP(Y126, rmpce_reference!$B$1:$D$7,3,FALSE) * 89</f>
        <v>2848</v>
      </c>
      <c r="AA126" s="1" t="str">
        <f>IF(Table1[rmpce_inr]&lt;=rmpce_reference!$F$2, "Low Income", IF(Table1[rmpce_inr]&lt;=rmpce_reference!$F$3, "Middle Income", "High Income"))</f>
        <v>Low Income</v>
      </c>
    </row>
    <row r="127" spans="1:27" x14ac:dyDescent="0.25">
      <c r="A127">
        <v>1126</v>
      </c>
      <c r="B127" t="s">
        <v>20</v>
      </c>
      <c r="C127" t="s">
        <v>29</v>
      </c>
      <c r="D127">
        <v>35</v>
      </c>
      <c r="E127" t="s">
        <v>25</v>
      </c>
      <c r="F127" t="s">
        <v>26</v>
      </c>
      <c r="G127">
        <v>6</v>
      </c>
      <c r="H127" s="1" t="str">
        <f>IF(Table1[[#This Row],[anxiety_score]]&lt;=10, "Normal", IF(Table1[[#This Row],[anxiety_score]]&lt;=20, "Moderate", IF(Table1[[#This Row],[anxiety_score]]&lt;=30, "Severe", "Extremely Severe")))</f>
        <v>Normal</v>
      </c>
      <c r="I127">
        <v>-0.41028870000000001</v>
      </c>
      <c r="J127">
        <v>2</v>
      </c>
      <c r="K127" s="1" t="str">
        <f>IF(Table1[[#This Row],[stress_score]]&lt;=10, "Normal", IF(Table1[[#This Row],[stress_score]]&lt;=20, "Moderate", IF(Table1[[#This Row],[stress_score]]&lt;=30, "Severe", "Extremely Severe")))</f>
        <v>Normal</v>
      </c>
      <c r="L127">
        <v>-0.9678099</v>
      </c>
      <c r="M127">
        <v>0</v>
      </c>
      <c r="N127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27">
        <v>-1.1088359000000001</v>
      </c>
      <c r="P127">
        <v>2.6666666999999999</v>
      </c>
      <c r="Q127">
        <f>ROUND(Table1[[#This Row],[dass21_raw_score]],0)</f>
        <v>3</v>
      </c>
      <c r="R127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27">
        <v>-0.8289782</v>
      </c>
      <c r="T127">
        <v>0.26593172999999998</v>
      </c>
      <c r="U127">
        <v>3750</v>
      </c>
      <c r="V127" s="1">
        <f>ROUND(Table1[[#This Row],[fmpce]],0)</f>
        <v>3750</v>
      </c>
      <c r="W127">
        <v>51.017493999999999</v>
      </c>
      <c r="X127" s="4">
        <f>Table1[[#This Row],[mpce]]*89</f>
        <v>4540.5569660000001</v>
      </c>
      <c r="Y127" s="2" t="s">
        <v>32</v>
      </c>
      <c r="Z127" s="3">
        <f>VLOOKUP(Y127, rmpce_reference!$B$1:$D$7,3,FALSE) * 89</f>
        <v>4450</v>
      </c>
      <c r="AA127" s="1" t="str">
        <f>IF(Table1[rmpce_inr]&lt;=rmpce_reference!$F$2, "Low Income", IF(Table1[rmpce_inr]&lt;=rmpce_reference!$F$3, "Middle Income", "High Income"))</f>
        <v>Low Income</v>
      </c>
    </row>
    <row r="128" spans="1:27" x14ac:dyDescent="0.25">
      <c r="A128">
        <v>1127</v>
      </c>
      <c r="B128" t="s">
        <v>20</v>
      </c>
      <c r="C128" t="s">
        <v>29</v>
      </c>
      <c r="D128">
        <v>40</v>
      </c>
      <c r="E128" t="s">
        <v>25</v>
      </c>
      <c r="F128" t="s">
        <v>30</v>
      </c>
      <c r="G128">
        <v>0</v>
      </c>
      <c r="H128" s="1" t="str">
        <f>IF(Table1[[#This Row],[anxiety_score]]&lt;=10, "Normal", IF(Table1[[#This Row],[anxiety_score]]&lt;=20, "Moderate", IF(Table1[[#This Row],[anxiety_score]]&lt;=30, "Severe", "Extremely Severe")))</f>
        <v>Normal</v>
      </c>
      <c r="I128">
        <v>-1.0134224999999999</v>
      </c>
      <c r="J128">
        <v>0</v>
      </c>
      <c r="K128" s="1" t="str">
        <f>IF(Table1[[#This Row],[stress_score]]&lt;=10, "Normal", IF(Table1[[#This Row],[stress_score]]&lt;=20, "Moderate", IF(Table1[[#This Row],[stress_score]]&lt;=30, "Severe", "Extremely Severe")))</f>
        <v>Normal</v>
      </c>
      <c r="L128">
        <v>-1.1624711999999999</v>
      </c>
      <c r="M128">
        <v>0</v>
      </c>
      <c r="N128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28">
        <v>-1.1088359000000001</v>
      </c>
      <c r="P128">
        <v>0</v>
      </c>
      <c r="Q128">
        <f>ROUND(Table1[[#This Row],[dass21_raw_score]],0)</f>
        <v>0</v>
      </c>
      <c r="R128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28">
        <v>-1.0949099</v>
      </c>
      <c r="T128">
        <v>0</v>
      </c>
      <c r="U128">
        <v>3750</v>
      </c>
      <c r="V128" s="1">
        <f>ROUND(Table1[[#This Row],[fmpce]],0)</f>
        <v>3750</v>
      </c>
      <c r="W128">
        <v>51.017493999999999</v>
      </c>
      <c r="X128" s="4">
        <f>Table1[[#This Row],[mpce]]*89</f>
        <v>4540.5569660000001</v>
      </c>
      <c r="Y128" s="2" t="s">
        <v>32</v>
      </c>
      <c r="Z128" s="3">
        <f>VLOOKUP(Y128, rmpce_reference!$B$1:$D$7,3,FALSE) * 89</f>
        <v>4450</v>
      </c>
      <c r="AA128" s="1" t="str">
        <f>IF(Table1[rmpce_inr]&lt;=rmpce_reference!$F$2, "Low Income", IF(Table1[rmpce_inr]&lt;=rmpce_reference!$F$3, "Middle Income", "High Income"))</f>
        <v>Low Income</v>
      </c>
    </row>
    <row r="129" spans="1:27" x14ac:dyDescent="0.25">
      <c r="A129">
        <v>1128</v>
      </c>
      <c r="B129" t="s">
        <v>20</v>
      </c>
      <c r="C129" t="s">
        <v>29</v>
      </c>
      <c r="D129">
        <v>34</v>
      </c>
      <c r="E129" t="s">
        <v>22</v>
      </c>
      <c r="F129" t="s">
        <v>23</v>
      </c>
      <c r="G129">
        <v>26</v>
      </c>
      <c r="H129" s="1" t="str">
        <f>IF(Table1[[#This Row],[anxiety_score]]&lt;=10, "Normal", IF(Table1[[#This Row],[anxiety_score]]&lt;=20, "Moderate", IF(Table1[[#This Row],[anxiety_score]]&lt;=30, "Severe", "Extremely Severe")))</f>
        <v>Severe</v>
      </c>
      <c r="I129">
        <v>1.6001574999999999</v>
      </c>
      <c r="J129">
        <v>26</v>
      </c>
      <c r="K129" s="1" t="str">
        <f>IF(Table1[[#This Row],[stress_score]]&lt;=10, "Normal", IF(Table1[[#This Row],[stress_score]]&lt;=20, "Moderate", IF(Table1[[#This Row],[stress_score]]&lt;=30, "Severe", "Extremely Severe")))</f>
        <v>Severe</v>
      </c>
      <c r="L129">
        <v>1.3681251000000001</v>
      </c>
      <c r="M129">
        <v>24</v>
      </c>
      <c r="N129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129">
        <v>1.2028128</v>
      </c>
      <c r="P129">
        <v>25.333334000000001</v>
      </c>
      <c r="Q129">
        <f>ROUND(Table1[[#This Row],[dass21_raw_score]],0)</f>
        <v>25</v>
      </c>
      <c r="R129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29">
        <v>1.3903650999999999</v>
      </c>
      <c r="T129">
        <v>2.4852750000000001</v>
      </c>
      <c r="U129">
        <v>3000</v>
      </c>
      <c r="V129" s="1">
        <f>ROUND(Table1[[#This Row],[fmpce]],0)</f>
        <v>3000</v>
      </c>
      <c r="W129">
        <v>40.813994999999998</v>
      </c>
      <c r="X129" s="4">
        <f>Table1[[#This Row],[mpce]]*89</f>
        <v>3632.4455549999998</v>
      </c>
      <c r="Y129" s="2" t="s">
        <v>32</v>
      </c>
      <c r="Z129" s="3">
        <f>VLOOKUP(Y129, rmpce_reference!$B$1:$D$7,3,FALSE) * 89</f>
        <v>4450</v>
      </c>
      <c r="AA129" s="1" t="str">
        <f>IF(Table1[rmpce_inr]&lt;=rmpce_reference!$F$2, "Low Income", IF(Table1[rmpce_inr]&lt;=rmpce_reference!$F$3, "Middle Income", "High Income"))</f>
        <v>Low Income</v>
      </c>
    </row>
    <row r="130" spans="1:27" x14ac:dyDescent="0.25">
      <c r="A130">
        <v>1129</v>
      </c>
      <c r="B130" t="s">
        <v>20</v>
      </c>
      <c r="C130" t="s">
        <v>29</v>
      </c>
      <c r="D130">
        <v>40</v>
      </c>
      <c r="E130" t="s">
        <v>22</v>
      </c>
      <c r="F130" t="s">
        <v>37</v>
      </c>
      <c r="G130">
        <v>26</v>
      </c>
      <c r="H130" s="1" t="str">
        <f>IF(Table1[[#This Row],[anxiety_score]]&lt;=10, "Normal", IF(Table1[[#This Row],[anxiety_score]]&lt;=20, "Moderate", IF(Table1[[#This Row],[anxiety_score]]&lt;=30, "Severe", "Extremely Severe")))</f>
        <v>Severe</v>
      </c>
      <c r="I130">
        <v>1.6001574999999999</v>
      </c>
      <c r="J130">
        <v>24</v>
      </c>
      <c r="K130" s="1" t="str">
        <f>IF(Table1[[#This Row],[stress_score]]&lt;=10, "Normal", IF(Table1[[#This Row],[stress_score]]&lt;=20, "Moderate", IF(Table1[[#This Row],[stress_score]]&lt;=30, "Severe", "Extremely Severe")))</f>
        <v>Severe</v>
      </c>
      <c r="L130">
        <v>1.1734637999999999</v>
      </c>
      <c r="M130">
        <v>26</v>
      </c>
      <c r="N130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130">
        <v>1.3954502</v>
      </c>
      <c r="P130">
        <v>25.333334000000001</v>
      </c>
      <c r="Q130">
        <f>ROUND(Table1[[#This Row],[dass21_raw_score]],0)</f>
        <v>25</v>
      </c>
      <c r="R130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30">
        <v>1.3896904999999999</v>
      </c>
      <c r="T130">
        <v>2.4846005</v>
      </c>
      <c r="U130">
        <v>3333.3332999999998</v>
      </c>
      <c r="V130" s="1">
        <f>ROUND(Table1[[#This Row],[fmpce]],0)</f>
        <v>3333</v>
      </c>
      <c r="W130">
        <v>45.348880000000001</v>
      </c>
      <c r="X130" s="4">
        <f>Table1[[#This Row],[mpce]]*89</f>
        <v>4036.0503200000003</v>
      </c>
      <c r="Y130" s="2" t="s">
        <v>32</v>
      </c>
      <c r="Z130" s="3">
        <f>VLOOKUP(Y130, rmpce_reference!$B$1:$D$7,3,FALSE) * 89</f>
        <v>4450</v>
      </c>
      <c r="AA130" s="1" t="str">
        <f>IF(Table1[rmpce_inr]&lt;=rmpce_reference!$F$2, "Low Income", IF(Table1[rmpce_inr]&lt;=rmpce_reference!$F$3, "Middle Income", "High Income"))</f>
        <v>Low Income</v>
      </c>
    </row>
    <row r="131" spans="1:27" x14ac:dyDescent="0.25">
      <c r="A131">
        <v>1130</v>
      </c>
      <c r="B131" t="s">
        <v>20</v>
      </c>
      <c r="C131" t="s">
        <v>21</v>
      </c>
      <c r="D131">
        <v>45</v>
      </c>
      <c r="E131" t="s">
        <v>22</v>
      </c>
      <c r="F131" t="s">
        <v>23</v>
      </c>
      <c r="G131">
        <v>22</v>
      </c>
      <c r="H131" s="1" t="str">
        <f>IF(Table1[[#This Row],[anxiety_score]]&lt;=10, "Normal", IF(Table1[[#This Row],[anxiety_score]]&lt;=20, "Moderate", IF(Table1[[#This Row],[anxiety_score]]&lt;=30, "Severe", "Extremely Severe")))</f>
        <v>Severe</v>
      </c>
      <c r="I131">
        <v>1.1980683000000001</v>
      </c>
      <c r="J131">
        <v>32</v>
      </c>
      <c r="K131" s="1" t="str">
        <f>IF(Table1[[#This Row],[stress_score]]&lt;=10, "Normal", IF(Table1[[#This Row],[stress_score]]&lt;=20, "Moderate", IF(Table1[[#This Row],[stress_score]]&lt;=30, "Severe", "Extremely Severe")))</f>
        <v>Extremely Severe</v>
      </c>
      <c r="L131">
        <v>1.9521089</v>
      </c>
      <c r="M131">
        <v>22</v>
      </c>
      <c r="N131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131">
        <v>1.0101753</v>
      </c>
      <c r="P131">
        <v>25.333334000000001</v>
      </c>
      <c r="Q131">
        <f>ROUND(Table1[[#This Row],[dass21_raw_score]],0)</f>
        <v>25</v>
      </c>
      <c r="R131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31">
        <v>1.3867841999999999</v>
      </c>
      <c r="T131">
        <v>2.4816942000000002</v>
      </c>
      <c r="U131">
        <v>3600</v>
      </c>
      <c r="V131" s="1">
        <f>ROUND(Table1[[#This Row],[fmpce]],0)</f>
        <v>3600</v>
      </c>
      <c r="W131">
        <v>48.976790000000001</v>
      </c>
      <c r="X131" s="4">
        <f>Table1[[#This Row],[mpce]]*89</f>
        <v>4358.9343100000006</v>
      </c>
      <c r="Y131" s="2" t="s">
        <v>32</v>
      </c>
      <c r="Z131" s="3">
        <f>VLOOKUP(Y131, rmpce_reference!$B$1:$D$7,3,FALSE) * 89</f>
        <v>4450</v>
      </c>
      <c r="AA131" s="1" t="str">
        <f>IF(Table1[rmpce_inr]&lt;=rmpce_reference!$F$2, "Low Income", IF(Table1[rmpce_inr]&lt;=rmpce_reference!$F$3, "Middle Income", "High Income"))</f>
        <v>Low Income</v>
      </c>
    </row>
    <row r="132" spans="1:27" x14ac:dyDescent="0.25">
      <c r="A132">
        <v>1131</v>
      </c>
      <c r="B132" t="s">
        <v>20</v>
      </c>
      <c r="C132" t="s">
        <v>29</v>
      </c>
      <c r="D132">
        <v>33</v>
      </c>
      <c r="E132" t="s">
        <v>22</v>
      </c>
      <c r="F132" t="s">
        <v>30</v>
      </c>
      <c r="G132">
        <v>20</v>
      </c>
      <c r="H132" s="1" t="str">
        <f>IF(Table1[[#This Row],[anxiety_score]]&lt;=10, "Normal", IF(Table1[[#This Row],[anxiety_score]]&lt;=20, "Moderate", IF(Table1[[#This Row],[anxiety_score]]&lt;=30, "Severe", "Extremely Severe")))</f>
        <v>Moderate</v>
      </c>
      <c r="I132">
        <v>0.99702360000000001</v>
      </c>
      <c r="J132">
        <v>24</v>
      </c>
      <c r="K132" s="1" t="str">
        <f>IF(Table1[[#This Row],[stress_score]]&lt;=10, "Normal", IF(Table1[[#This Row],[stress_score]]&lt;=20, "Moderate", IF(Table1[[#This Row],[stress_score]]&lt;=30, "Severe", "Extremely Severe")))</f>
        <v>Severe</v>
      </c>
      <c r="L132">
        <v>1.1734637999999999</v>
      </c>
      <c r="M132">
        <v>34</v>
      </c>
      <c r="N132" s="1" t="str">
        <f>IF(Table1[[#This Row],[depression_score]]&lt;=10, "Normal", IF(Table1[[#This Row],[depression_score]]&lt;=20, "Moderate", IF(Table1[[#This Row],[depression_score]]&lt;=30, "Severe", "Extremely Severe")))</f>
        <v>Extremely Severe</v>
      </c>
      <c r="O132">
        <v>2.1659999999999999</v>
      </c>
      <c r="P132">
        <v>26</v>
      </c>
      <c r="Q132">
        <f>ROUND(Table1[[#This Row],[dass21_raw_score]],0)</f>
        <v>26</v>
      </c>
      <c r="R132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32">
        <v>1.4454956999999999</v>
      </c>
      <c r="T132">
        <v>2.5404057999999998</v>
      </c>
      <c r="U132">
        <v>3600</v>
      </c>
      <c r="V132" s="1">
        <f>ROUND(Table1[[#This Row],[fmpce]],0)</f>
        <v>3600</v>
      </c>
      <c r="W132">
        <v>48.976790000000001</v>
      </c>
      <c r="X132" s="4">
        <f>Table1[[#This Row],[mpce]]*89</f>
        <v>4358.9343100000006</v>
      </c>
      <c r="Y132" s="2" t="s">
        <v>32</v>
      </c>
      <c r="Z132" s="3">
        <f>VLOOKUP(Y132, rmpce_reference!$B$1:$D$7,3,FALSE) * 89</f>
        <v>4450</v>
      </c>
      <c r="AA132" s="1" t="str">
        <f>IF(Table1[rmpce_inr]&lt;=rmpce_reference!$F$2, "Low Income", IF(Table1[rmpce_inr]&lt;=rmpce_reference!$F$3, "Middle Income", "High Income"))</f>
        <v>Low Income</v>
      </c>
    </row>
    <row r="133" spans="1:27" x14ac:dyDescent="0.25">
      <c r="A133">
        <v>1132</v>
      </c>
      <c r="B133" t="s">
        <v>20</v>
      </c>
      <c r="C133" t="s">
        <v>21</v>
      </c>
      <c r="D133">
        <v>47</v>
      </c>
      <c r="E133" t="s">
        <v>22</v>
      </c>
      <c r="F133" t="s">
        <v>30</v>
      </c>
      <c r="G133">
        <v>18</v>
      </c>
      <c r="H133" s="1" t="str">
        <f>IF(Table1[[#This Row],[anxiety_score]]&lt;=10, "Normal", IF(Table1[[#This Row],[anxiety_score]]&lt;=20, "Moderate", IF(Table1[[#This Row],[anxiety_score]]&lt;=30, "Severe", "Extremely Severe")))</f>
        <v>Moderate</v>
      </c>
      <c r="I133">
        <v>0.79597896000000001</v>
      </c>
      <c r="J133">
        <v>28</v>
      </c>
      <c r="K133" s="1" t="str">
        <f>IF(Table1[[#This Row],[stress_score]]&lt;=10, "Normal", IF(Table1[[#This Row],[stress_score]]&lt;=20, "Moderate", IF(Table1[[#This Row],[stress_score]]&lt;=30, "Severe", "Extremely Severe")))</f>
        <v>Severe</v>
      </c>
      <c r="L133">
        <v>1.5627863</v>
      </c>
      <c r="M133">
        <v>24</v>
      </c>
      <c r="N133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133">
        <v>1.2028128</v>
      </c>
      <c r="P133">
        <v>23.333334000000001</v>
      </c>
      <c r="Q133">
        <f>ROUND(Table1[[#This Row],[dass21_raw_score]],0)</f>
        <v>23</v>
      </c>
      <c r="R133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33">
        <v>1.1871927</v>
      </c>
      <c r="T133">
        <v>2.2821026</v>
      </c>
      <c r="U133">
        <v>2800</v>
      </c>
      <c r="V133" s="1">
        <f>ROUND(Table1[[#This Row],[fmpce]],0)</f>
        <v>2800</v>
      </c>
      <c r="W133">
        <v>38.093060000000001</v>
      </c>
      <c r="X133" s="4">
        <f>Table1[[#This Row],[mpce]]*89</f>
        <v>3390.2823400000002</v>
      </c>
      <c r="Y133" s="2" t="s">
        <v>34</v>
      </c>
      <c r="Z133" s="3">
        <f>VLOOKUP(Y133, rmpce_reference!$B$1:$D$7,3,FALSE) * 89</f>
        <v>2848</v>
      </c>
      <c r="AA133" s="1" t="str">
        <f>IF(Table1[rmpce_inr]&lt;=rmpce_reference!$F$2, "Low Income", IF(Table1[rmpce_inr]&lt;=rmpce_reference!$F$3, "Middle Income", "High Income"))</f>
        <v>Low Income</v>
      </c>
    </row>
    <row r="134" spans="1:27" x14ac:dyDescent="0.25">
      <c r="A134">
        <v>1133</v>
      </c>
      <c r="B134" t="s">
        <v>20</v>
      </c>
      <c r="C134" t="s">
        <v>29</v>
      </c>
      <c r="D134">
        <v>35</v>
      </c>
      <c r="E134" t="s">
        <v>22</v>
      </c>
      <c r="F134" t="s">
        <v>30</v>
      </c>
      <c r="G134">
        <v>18</v>
      </c>
      <c r="H134" s="1" t="str">
        <f>IF(Table1[[#This Row],[anxiety_score]]&lt;=10, "Normal", IF(Table1[[#This Row],[anxiety_score]]&lt;=20, "Moderate", IF(Table1[[#This Row],[anxiety_score]]&lt;=30, "Severe", "Extremely Severe")))</f>
        <v>Moderate</v>
      </c>
      <c r="I134">
        <v>0.79597896000000001</v>
      </c>
      <c r="J134">
        <v>30</v>
      </c>
      <c r="K134" s="1" t="str">
        <f>IF(Table1[[#This Row],[stress_score]]&lt;=10, "Normal", IF(Table1[[#This Row],[stress_score]]&lt;=20, "Moderate", IF(Table1[[#This Row],[stress_score]]&lt;=30, "Severe", "Extremely Severe")))</f>
        <v>Severe</v>
      </c>
      <c r="L134">
        <v>1.7574476000000001</v>
      </c>
      <c r="M134">
        <v>24</v>
      </c>
      <c r="N134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134">
        <v>1.2028128</v>
      </c>
      <c r="P134">
        <v>24</v>
      </c>
      <c r="Q134">
        <f>ROUND(Table1[[#This Row],[dass21_raw_score]],0)</f>
        <v>24</v>
      </c>
      <c r="R134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34">
        <v>1.2520796999999999</v>
      </c>
      <c r="T134">
        <v>2.3469896000000001</v>
      </c>
      <c r="U134">
        <v>3200</v>
      </c>
      <c r="V134" s="1">
        <f>ROUND(Table1[[#This Row],[fmpce]],0)</f>
        <v>3200</v>
      </c>
      <c r="W134">
        <v>43.534927000000003</v>
      </c>
      <c r="X134" s="4">
        <f>Table1[[#This Row],[mpce]]*89</f>
        <v>3874.6085030000004</v>
      </c>
      <c r="Y134" s="2" t="s">
        <v>32</v>
      </c>
      <c r="Z134" s="3">
        <f>VLOOKUP(Y134, rmpce_reference!$B$1:$D$7,3,FALSE) * 89</f>
        <v>4450</v>
      </c>
      <c r="AA134" s="1" t="str">
        <f>IF(Table1[rmpce_inr]&lt;=rmpce_reference!$F$2, "Low Income", IF(Table1[rmpce_inr]&lt;=rmpce_reference!$F$3, "Middle Income", "High Income"))</f>
        <v>Low Income</v>
      </c>
    </row>
    <row r="135" spans="1:27" x14ac:dyDescent="0.25">
      <c r="A135">
        <v>1134</v>
      </c>
      <c r="B135" t="s">
        <v>20</v>
      </c>
      <c r="C135" t="s">
        <v>21</v>
      </c>
      <c r="D135">
        <v>44</v>
      </c>
      <c r="E135" t="s">
        <v>22</v>
      </c>
      <c r="F135" t="s">
        <v>30</v>
      </c>
      <c r="G135">
        <v>24</v>
      </c>
      <c r="H135" s="1" t="str">
        <f>IF(Table1[[#This Row],[anxiety_score]]&lt;=10, "Normal", IF(Table1[[#This Row],[anxiety_score]]&lt;=20, "Moderate", IF(Table1[[#This Row],[anxiety_score]]&lt;=30, "Severe", "Extremely Severe")))</f>
        <v>Severe</v>
      </c>
      <c r="I135">
        <v>1.3991127999999999</v>
      </c>
      <c r="J135">
        <v>28</v>
      </c>
      <c r="K135" s="1" t="str">
        <f>IF(Table1[[#This Row],[stress_score]]&lt;=10, "Normal", IF(Table1[[#This Row],[stress_score]]&lt;=20, "Moderate", IF(Table1[[#This Row],[stress_score]]&lt;=30, "Severe", "Extremely Severe")))</f>
        <v>Severe</v>
      </c>
      <c r="L135">
        <v>1.5627863</v>
      </c>
      <c r="M135">
        <v>36</v>
      </c>
      <c r="N135" s="1" t="str">
        <f>IF(Table1[[#This Row],[depression_score]]&lt;=10, "Normal", IF(Table1[[#This Row],[depression_score]]&lt;=20, "Moderate", IF(Table1[[#This Row],[depression_score]]&lt;=30, "Severe", "Extremely Severe")))</f>
        <v>Extremely Severe</v>
      </c>
      <c r="O135">
        <v>2.3586369999999999</v>
      </c>
      <c r="P135">
        <v>29.333334000000001</v>
      </c>
      <c r="Q135">
        <f>ROUND(Table1[[#This Row],[dass21_raw_score]],0)</f>
        <v>29</v>
      </c>
      <c r="R135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35">
        <v>1.7735121</v>
      </c>
      <c r="T135">
        <v>2.8684219999999998</v>
      </c>
      <c r="U135">
        <v>2400</v>
      </c>
      <c r="V135" s="1">
        <f>ROUND(Table1[[#This Row],[fmpce]],0)</f>
        <v>2400</v>
      </c>
      <c r="W135">
        <v>32.651195999999999</v>
      </c>
      <c r="X135" s="4">
        <f>Table1[[#This Row],[mpce]]*89</f>
        <v>2905.9564439999999</v>
      </c>
      <c r="Y135" s="2" t="s">
        <v>34</v>
      </c>
      <c r="Z135" s="3">
        <f>VLOOKUP(Y135, rmpce_reference!$B$1:$D$7,3,FALSE) * 89</f>
        <v>2848</v>
      </c>
      <c r="AA135" s="1" t="str">
        <f>IF(Table1[rmpce_inr]&lt;=rmpce_reference!$F$2, "Low Income", IF(Table1[rmpce_inr]&lt;=rmpce_reference!$F$3, "Middle Income", "High Income"))</f>
        <v>Low Income</v>
      </c>
    </row>
    <row r="136" spans="1:27" x14ac:dyDescent="0.25">
      <c r="A136">
        <v>1135</v>
      </c>
      <c r="B136" t="s">
        <v>20</v>
      </c>
      <c r="C136" t="s">
        <v>21</v>
      </c>
      <c r="D136">
        <v>43</v>
      </c>
      <c r="E136" t="s">
        <v>22</v>
      </c>
      <c r="F136" t="s">
        <v>23</v>
      </c>
      <c r="G136">
        <v>20</v>
      </c>
      <c r="H136" s="1" t="str">
        <f>IF(Table1[[#This Row],[anxiety_score]]&lt;=10, "Normal", IF(Table1[[#This Row],[anxiety_score]]&lt;=20, "Moderate", IF(Table1[[#This Row],[anxiety_score]]&lt;=30, "Severe", "Extremely Severe")))</f>
        <v>Moderate</v>
      </c>
      <c r="I136">
        <v>0.99702360000000001</v>
      </c>
      <c r="J136">
        <v>30</v>
      </c>
      <c r="K136" s="1" t="str">
        <f>IF(Table1[[#This Row],[stress_score]]&lt;=10, "Normal", IF(Table1[[#This Row],[stress_score]]&lt;=20, "Moderate", IF(Table1[[#This Row],[stress_score]]&lt;=30, "Severe", "Extremely Severe")))</f>
        <v>Severe</v>
      </c>
      <c r="L136">
        <v>1.7574476000000001</v>
      </c>
      <c r="M136">
        <v>28</v>
      </c>
      <c r="N136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136">
        <v>1.5880875999999999</v>
      </c>
      <c r="P136">
        <v>26</v>
      </c>
      <c r="Q136">
        <f>ROUND(Table1[[#This Row],[dass21_raw_score]],0)</f>
        <v>26</v>
      </c>
      <c r="R136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36">
        <v>1.4475195000000001</v>
      </c>
      <c r="T136">
        <v>2.5424294000000001</v>
      </c>
      <c r="U136">
        <v>1000</v>
      </c>
      <c r="V136" s="1">
        <f>ROUND(Table1[[#This Row],[fmpce]],0)</f>
        <v>1000</v>
      </c>
      <c r="W136">
        <v>13.604665000000001</v>
      </c>
      <c r="X136" s="4">
        <f>Table1[[#This Row],[mpce]]*89</f>
        <v>1210.8151850000002</v>
      </c>
      <c r="Y136" s="2" t="s">
        <v>24</v>
      </c>
      <c r="Z136" s="3">
        <f>VLOOKUP(Y136, rmpce_reference!$B$1:$D$7,3,FALSE) * 89</f>
        <v>2225</v>
      </c>
      <c r="AA136" s="1" t="str">
        <f>IF(Table1[rmpce_inr]&lt;=rmpce_reference!$F$2, "Low Income", IF(Table1[rmpce_inr]&lt;=rmpce_reference!$F$3, "Middle Income", "High Income"))</f>
        <v>Low Income</v>
      </c>
    </row>
    <row r="137" spans="1:27" x14ac:dyDescent="0.25">
      <c r="A137">
        <v>1136</v>
      </c>
      <c r="B137" t="s">
        <v>20</v>
      </c>
      <c r="C137" t="s">
        <v>21</v>
      </c>
      <c r="D137">
        <v>42</v>
      </c>
      <c r="E137" t="s">
        <v>22</v>
      </c>
      <c r="F137" t="s">
        <v>23</v>
      </c>
      <c r="G137">
        <v>24</v>
      </c>
      <c r="H137" s="1" t="str">
        <f>IF(Table1[[#This Row],[anxiety_score]]&lt;=10, "Normal", IF(Table1[[#This Row],[anxiety_score]]&lt;=20, "Moderate", IF(Table1[[#This Row],[anxiety_score]]&lt;=30, "Severe", "Extremely Severe")))</f>
        <v>Severe</v>
      </c>
      <c r="I137">
        <v>1.3991127999999999</v>
      </c>
      <c r="J137">
        <v>34</v>
      </c>
      <c r="K137" s="1" t="str">
        <f>IF(Table1[[#This Row],[stress_score]]&lt;=10, "Normal", IF(Table1[[#This Row],[stress_score]]&lt;=20, "Moderate", IF(Table1[[#This Row],[stress_score]]&lt;=30, "Severe", "Extremely Severe")))</f>
        <v>Extremely Severe</v>
      </c>
      <c r="L137">
        <v>2.1467700000000001</v>
      </c>
      <c r="M137">
        <v>32</v>
      </c>
      <c r="N137" s="1" t="str">
        <f>IF(Table1[[#This Row],[depression_score]]&lt;=10, "Normal", IF(Table1[[#This Row],[depression_score]]&lt;=20, "Moderate", IF(Table1[[#This Row],[depression_score]]&lt;=30, "Severe", "Extremely Severe")))</f>
        <v>Extremely Severe</v>
      </c>
      <c r="O137">
        <v>1.9733623</v>
      </c>
      <c r="P137">
        <v>30</v>
      </c>
      <c r="Q137">
        <f>ROUND(Table1[[#This Row],[dass21_raw_score]],0)</f>
        <v>30</v>
      </c>
      <c r="R137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37">
        <v>1.8397484</v>
      </c>
      <c r="T137">
        <v>2.9346583000000002</v>
      </c>
      <c r="U137">
        <v>2600</v>
      </c>
      <c r="V137" s="1">
        <f>ROUND(Table1[[#This Row],[fmpce]],0)</f>
        <v>2600</v>
      </c>
      <c r="W137">
        <v>35.372127999999996</v>
      </c>
      <c r="X137" s="4">
        <f>Table1[[#This Row],[mpce]]*89</f>
        <v>3148.1193919999996</v>
      </c>
      <c r="Y137" s="2" t="s">
        <v>34</v>
      </c>
      <c r="Z137" s="3">
        <f>VLOOKUP(Y137, rmpce_reference!$B$1:$D$7,3,FALSE) * 89</f>
        <v>2848</v>
      </c>
      <c r="AA137" s="1" t="str">
        <f>IF(Table1[rmpce_inr]&lt;=rmpce_reference!$F$2, "Low Income", IF(Table1[rmpce_inr]&lt;=rmpce_reference!$F$3, "Middle Income", "High Income"))</f>
        <v>Low Income</v>
      </c>
    </row>
    <row r="138" spans="1:27" x14ac:dyDescent="0.25">
      <c r="A138">
        <v>1137</v>
      </c>
      <c r="B138" t="s">
        <v>20</v>
      </c>
      <c r="C138" t="s">
        <v>21</v>
      </c>
      <c r="D138">
        <v>50</v>
      </c>
      <c r="E138" t="s">
        <v>22</v>
      </c>
      <c r="F138" t="s">
        <v>23</v>
      </c>
      <c r="G138">
        <v>26</v>
      </c>
      <c r="H138" s="1" t="str">
        <f>IF(Table1[[#This Row],[anxiety_score]]&lt;=10, "Normal", IF(Table1[[#This Row],[anxiety_score]]&lt;=20, "Moderate", IF(Table1[[#This Row],[anxiety_score]]&lt;=30, "Severe", "Extremely Severe")))</f>
        <v>Severe</v>
      </c>
      <c r="I138">
        <v>1.6001574999999999</v>
      </c>
      <c r="J138">
        <v>32</v>
      </c>
      <c r="K138" s="1" t="str">
        <f>IF(Table1[[#This Row],[stress_score]]&lt;=10, "Normal", IF(Table1[[#This Row],[stress_score]]&lt;=20, "Moderate", IF(Table1[[#This Row],[stress_score]]&lt;=30, "Severe", "Extremely Severe")))</f>
        <v>Extremely Severe</v>
      </c>
      <c r="L138">
        <v>1.9521089</v>
      </c>
      <c r="M138">
        <v>14</v>
      </c>
      <c r="N138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138">
        <v>0.23962580999999999</v>
      </c>
      <c r="P138">
        <v>24</v>
      </c>
      <c r="Q138">
        <f>ROUND(Table1[[#This Row],[dass21_raw_score]],0)</f>
        <v>24</v>
      </c>
      <c r="R138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38">
        <v>1.2639640000000001</v>
      </c>
      <c r="T138">
        <v>2.3588738</v>
      </c>
      <c r="U138">
        <v>3750</v>
      </c>
      <c r="V138" s="1">
        <f>ROUND(Table1[[#This Row],[fmpce]],0)</f>
        <v>3750</v>
      </c>
      <c r="W138">
        <v>51.017493999999999</v>
      </c>
      <c r="X138" s="4">
        <f>Table1[[#This Row],[mpce]]*89</f>
        <v>4540.5569660000001</v>
      </c>
      <c r="Y138" s="2" t="s">
        <v>32</v>
      </c>
      <c r="Z138" s="3">
        <f>VLOOKUP(Y138, rmpce_reference!$B$1:$D$7,3,FALSE) * 89</f>
        <v>4450</v>
      </c>
      <c r="AA138" s="1" t="str">
        <f>IF(Table1[rmpce_inr]&lt;=rmpce_reference!$F$2, "Low Income", IF(Table1[rmpce_inr]&lt;=rmpce_reference!$F$3, "Middle Income", "High Income"))</f>
        <v>Low Income</v>
      </c>
    </row>
    <row r="139" spans="1:27" x14ac:dyDescent="0.25">
      <c r="A139">
        <v>1138</v>
      </c>
      <c r="B139" t="s">
        <v>20</v>
      </c>
      <c r="C139" t="s">
        <v>29</v>
      </c>
      <c r="D139">
        <v>35</v>
      </c>
      <c r="E139" t="s">
        <v>22</v>
      </c>
      <c r="F139" t="s">
        <v>30</v>
      </c>
      <c r="G139">
        <v>28</v>
      </c>
      <c r="H139" s="1" t="str">
        <f>IF(Table1[[#This Row],[anxiety_score]]&lt;=10, "Normal", IF(Table1[[#This Row],[anxiety_score]]&lt;=20, "Moderate", IF(Table1[[#This Row],[anxiety_score]]&lt;=30, "Severe", "Extremely Severe")))</f>
        <v>Severe</v>
      </c>
      <c r="I139">
        <v>1.801202</v>
      </c>
      <c r="J139">
        <v>22</v>
      </c>
      <c r="K139" s="1" t="str">
        <f>IF(Table1[[#This Row],[stress_score]]&lt;=10, "Normal", IF(Table1[[#This Row],[stress_score]]&lt;=20, "Moderate", IF(Table1[[#This Row],[stress_score]]&lt;=30, "Severe", "Extremely Severe")))</f>
        <v>Severe</v>
      </c>
      <c r="L139">
        <v>0.97880255999999999</v>
      </c>
      <c r="M139">
        <v>26</v>
      </c>
      <c r="N139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139">
        <v>1.3954502</v>
      </c>
      <c r="P139">
        <v>25.333334000000001</v>
      </c>
      <c r="Q139">
        <f>ROUND(Table1[[#This Row],[dass21_raw_score]],0)</f>
        <v>25</v>
      </c>
      <c r="R139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39">
        <v>1.3918183</v>
      </c>
      <c r="T139">
        <v>2.4867281999999999</v>
      </c>
      <c r="U139">
        <v>1750</v>
      </c>
      <c r="V139" s="1">
        <f>ROUND(Table1[[#This Row],[fmpce]],0)</f>
        <v>1750</v>
      </c>
      <c r="W139">
        <v>23.808163</v>
      </c>
      <c r="X139" s="4">
        <f>Table1[[#This Row],[mpce]]*89</f>
        <v>2118.9265070000001</v>
      </c>
      <c r="Y139" s="2" t="s">
        <v>24</v>
      </c>
      <c r="Z139" s="3">
        <f>VLOOKUP(Y139, rmpce_reference!$B$1:$D$7,3,FALSE) * 89</f>
        <v>2225</v>
      </c>
      <c r="AA139" s="1" t="str">
        <f>IF(Table1[rmpce_inr]&lt;=rmpce_reference!$F$2, "Low Income", IF(Table1[rmpce_inr]&lt;=rmpce_reference!$F$3, "Middle Income", "High Income"))</f>
        <v>Low Income</v>
      </c>
    </row>
    <row r="140" spans="1:27" x14ac:dyDescent="0.25">
      <c r="A140">
        <v>1139</v>
      </c>
      <c r="B140" t="s">
        <v>20</v>
      </c>
      <c r="C140" t="s">
        <v>29</v>
      </c>
      <c r="D140">
        <v>36</v>
      </c>
      <c r="E140" t="s">
        <v>22</v>
      </c>
      <c r="F140" t="s">
        <v>23</v>
      </c>
      <c r="G140">
        <v>4</v>
      </c>
      <c r="H140" s="1" t="str">
        <f>IF(Table1[[#This Row],[anxiety_score]]&lt;=10, "Normal", IF(Table1[[#This Row],[anxiety_score]]&lt;=20, "Moderate", IF(Table1[[#This Row],[anxiety_score]]&lt;=30, "Severe", "Extremely Severe")))</f>
        <v>Normal</v>
      </c>
      <c r="I140">
        <v>-0.61133329999999997</v>
      </c>
      <c r="J140">
        <v>0</v>
      </c>
      <c r="K140" s="1" t="str">
        <f>IF(Table1[[#This Row],[stress_score]]&lt;=10, "Normal", IF(Table1[[#This Row],[stress_score]]&lt;=20, "Moderate", IF(Table1[[#This Row],[stress_score]]&lt;=30, "Severe", "Extremely Severe")))</f>
        <v>Normal</v>
      </c>
      <c r="L140">
        <v>-1.1624711999999999</v>
      </c>
      <c r="M140">
        <v>4</v>
      </c>
      <c r="N140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40">
        <v>-0.72356116999999998</v>
      </c>
      <c r="P140">
        <v>2.6666666999999999</v>
      </c>
      <c r="Q140">
        <f>ROUND(Table1[[#This Row],[dass21_raw_score]],0)</f>
        <v>3</v>
      </c>
      <c r="R140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40">
        <v>-0.83245519999999995</v>
      </c>
      <c r="T140">
        <v>0.26245469999999999</v>
      </c>
      <c r="U140">
        <v>5000</v>
      </c>
      <c r="V140" s="1">
        <f>ROUND(Table1[[#This Row],[fmpce]],0)</f>
        <v>5000</v>
      </c>
      <c r="W140">
        <v>68.023319999999998</v>
      </c>
      <c r="X140" s="4">
        <f>Table1[[#This Row],[mpce]]*89</f>
        <v>6054.0754799999995</v>
      </c>
      <c r="Y140" s="2" t="s">
        <v>28</v>
      </c>
      <c r="Z140" s="3">
        <f>VLOOKUP(Y140, rmpce_reference!$B$1:$D$7,3,FALSE) * 89</f>
        <v>6230</v>
      </c>
      <c r="AA140" s="1" t="str">
        <f>IF(Table1[rmpce_inr]&lt;=rmpce_reference!$F$2, "Low Income", IF(Table1[rmpce_inr]&lt;=rmpce_reference!$F$3, "Middle Income", "High Income"))</f>
        <v>Middle Income</v>
      </c>
    </row>
    <row r="141" spans="1:27" x14ac:dyDescent="0.25">
      <c r="A141">
        <v>1140</v>
      </c>
      <c r="B141" t="s">
        <v>20</v>
      </c>
      <c r="C141" t="s">
        <v>21</v>
      </c>
      <c r="D141">
        <v>50</v>
      </c>
      <c r="E141" t="s">
        <v>22</v>
      </c>
      <c r="F141" t="s">
        <v>30</v>
      </c>
      <c r="G141">
        <v>26</v>
      </c>
      <c r="H141" s="1" t="str">
        <f>IF(Table1[[#This Row],[anxiety_score]]&lt;=10, "Normal", IF(Table1[[#This Row],[anxiety_score]]&lt;=20, "Moderate", IF(Table1[[#This Row],[anxiety_score]]&lt;=30, "Severe", "Extremely Severe")))</f>
        <v>Severe</v>
      </c>
      <c r="I141">
        <v>1.6001574999999999</v>
      </c>
      <c r="J141">
        <v>18</v>
      </c>
      <c r="K141" s="1" t="str">
        <f>IF(Table1[[#This Row],[stress_score]]&lt;=10, "Normal", IF(Table1[[#This Row],[stress_score]]&lt;=20, "Moderate", IF(Table1[[#This Row],[stress_score]]&lt;=30, "Severe", "Extremely Severe")))</f>
        <v>Moderate</v>
      </c>
      <c r="L141">
        <v>0.58948003999999998</v>
      </c>
      <c r="M141">
        <v>28</v>
      </c>
      <c r="N141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141">
        <v>1.5880875999999999</v>
      </c>
      <c r="P141">
        <v>24</v>
      </c>
      <c r="Q141">
        <f>ROUND(Table1[[#This Row],[dass21_raw_score]],0)</f>
        <v>24</v>
      </c>
      <c r="R141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41">
        <v>1.2592417</v>
      </c>
      <c r="T141">
        <v>2.3541517000000001</v>
      </c>
      <c r="U141">
        <v>3333.3332999999998</v>
      </c>
      <c r="V141" s="1">
        <f>ROUND(Table1[[#This Row],[fmpce]],0)</f>
        <v>3333</v>
      </c>
      <c r="W141">
        <v>45.348880000000001</v>
      </c>
      <c r="X141" s="4">
        <f>Table1[[#This Row],[mpce]]*89</f>
        <v>4036.0503200000003</v>
      </c>
      <c r="Y141" s="2" t="s">
        <v>32</v>
      </c>
      <c r="Z141" s="3">
        <f>VLOOKUP(Y141, rmpce_reference!$B$1:$D$7,3,FALSE) * 89</f>
        <v>4450</v>
      </c>
      <c r="AA141" s="1" t="str">
        <f>IF(Table1[rmpce_inr]&lt;=rmpce_reference!$F$2, "Low Income", IF(Table1[rmpce_inr]&lt;=rmpce_reference!$F$3, "Middle Income", "High Income"))</f>
        <v>Low Income</v>
      </c>
    </row>
    <row r="142" spans="1:27" x14ac:dyDescent="0.25">
      <c r="A142">
        <v>1141</v>
      </c>
      <c r="B142" t="s">
        <v>20</v>
      </c>
      <c r="C142" t="s">
        <v>33</v>
      </c>
      <c r="D142">
        <v>30</v>
      </c>
      <c r="E142" t="s">
        <v>22</v>
      </c>
      <c r="F142" t="s">
        <v>23</v>
      </c>
      <c r="G142">
        <v>24</v>
      </c>
      <c r="H142" s="1" t="str">
        <f>IF(Table1[[#This Row],[anxiety_score]]&lt;=10, "Normal", IF(Table1[[#This Row],[anxiety_score]]&lt;=20, "Moderate", IF(Table1[[#This Row],[anxiety_score]]&lt;=30, "Severe", "Extremely Severe")))</f>
        <v>Severe</v>
      </c>
      <c r="I142">
        <v>1.3991127999999999</v>
      </c>
      <c r="J142">
        <v>24</v>
      </c>
      <c r="K142" s="1" t="str">
        <f>IF(Table1[[#This Row],[stress_score]]&lt;=10, "Normal", IF(Table1[[#This Row],[stress_score]]&lt;=20, "Moderate", IF(Table1[[#This Row],[stress_score]]&lt;=30, "Severe", "Extremely Severe")))</f>
        <v>Severe</v>
      </c>
      <c r="L142">
        <v>1.1734637999999999</v>
      </c>
      <c r="M142">
        <v>30</v>
      </c>
      <c r="N142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142">
        <v>1.7807249999999999</v>
      </c>
      <c r="P142">
        <v>26</v>
      </c>
      <c r="Q142">
        <f>ROUND(Table1[[#This Row],[dass21_raw_score]],0)</f>
        <v>26</v>
      </c>
      <c r="R142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42">
        <v>1.4511006</v>
      </c>
      <c r="T142">
        <v>2.5460105</v>
      </c>
      <c r="U142">
        <v>6250</v>
      </c>
      <c r="V142" s="1">
        <f>ROUND(Table1[[#This Row],[fmpce]],0)</f>
        <v>6250</v>
      </c>
      <c r="W142">
        <v>85.029150000000001</v>
      </c>
      <c r="X142" s="4">
        <f>Table1[[#This Row],[mpce]]*89</f>
        <v>7567.5943500000003</v>
      </c>
      <c r="Y142" s="2" t="s">
        <v>31</v>
      </c>
      <c r="Z142" s="3">
        <f>VLOOKUP(Y142, rmpce_reference!$B$1:$D$7,3,FALSE) * 89</f>
        <v>8010</v>
      </c>
      <c r="AA142" s="1" t="str">
        <f>IF(Table1[rmpce_inr]&lt;=rmpce_reference!$F$2, "Low Income", IF(Table1[rmpce_inr]&lt;=rmpce_reference!$F$3, "Middle Income", "High Income"))</f>
        <v>High Income</v>
      </c>
    </row>
    <row r="143" spans="1:27" x14ac:dyDescent="0.25">
      <c r="A143">
        <v>1142</v>
      </c>
      <c r="B143" t="s">
        <v>20</v>
      </c>
      <c r="C143" t="s">
        <v>33</v>
      </c>
      <c r="D143">
        <v>29</v>
      </c>
      <c r="E143" t="s">
        <v>22</v>
      </c>
      <c r="F143" t="s">
        <v>23</v>
      </c>
      <c r="G143">
        <v>20</v>
      </c>
      <c r="H143" s="1" t="str">
        <f>IF(Table1[[#This Row],[anxiety_score]]&lt;=10, "Normal", IF(Table1[[#This Row],[anxiety_score]]&lt;=20, "Moderate", IF(Table1[[#This Row],[anxiety_score]]&lt;=30, "Severe", "Extremely Severe")))</f>
        <v>Moderate</v>
      </c>
      <c r="I143">
        <v>0.99702360000000001</v>
      </c>
      <c r="J143">
        <v>28</v>
      </c>
      <c r="K143" s="1" t="str">
        <f>IF(Table1[[#This Row],[stress_score]]&lt;=10, "Normal", IF(Table1[[#This Row],[stress_score]]&lt;=20, "Moderate", IF(Table1[[#This Row],[stress_score]]&lt;=30, "Severe", "Extremely Severe")))</f>
        <v>Severe</v>
      </c>
      <c r="L143">
        <v>1.5627863</v>
      </c>
      <c r="M143">
        <v>28</v>
      </c>
      <c r="N143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143">
        <v>1.5880875999999999</v>
      </c>
      <c r="P143">
        <v>25.333334000000001</v>
      </c>
      <c r="Q143">
        <f>ROUND(Table1[[#This Row],[dass21_raw_score]],0)</f>
        <v>25</v>
      </c>
      <c r="R143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43">
        <v>1.3826324999999999</v>
      </c>
      <c r="T143">
        <v>2.4775423999999999</v>
      </c>
      <c r="U143">
        <v>5000</v>
      </c>
      <c r="V143" s="1">
        <f>ROUND(Table1[[#This Row],[fmpce]],0)</f>
        <v>5000</v>
      </c>
      <c r="W143">
        <v>68.023319999999998</v>
      </c>
      <c r="X143" s="4">
        <f>Table1[[#This Row],[mpce]]*89</f>
        <v>6054.0754799999995</v>
      </c>
      <c r="Y143" s="2" t="s">
        <v>28</v>
      </c>
      <c r="Z143" s="3">
        <f>VLOOKUP(Y143, rmpce_reference!$B$1:$D$7,3,FALSE) * 89</f>
        <v>6230</v>
      </c>
      <c r="AA143" s="1" t="str">
        <f>IF(Table1[rmpce_inr]&lt;=rmpce_reference!$F$2, "Low Income", IF(Table1[rmpce_inr]&lt;=rmpce_reference!$F$3, "Middle Income", "High Income"))</f>
        <v>Middle Income</v>
      </c>
    </row>
    <row r="144" spans="1:27" x14ac:dyDescent="0.25">
      <c r="A144">
        <v>1143</v>
      </c>
      <c r="B144" t="s">
        <v>20</v>
      </c>
      <c r="C144" t="s">
        <v>21</v>
      </c>
      <c r="D144">
        <v>41</v>
      </c>
      <c r="E144" t="s">
        <v>22</v>
      </c>
      <c r="F144" t="s">
        <v>23</v>
      </c>
      <c r="G144">
        <v>20</v>
      </c>
      <c r="H144" s="1" t="str">
        <f>IF(Table1[[#This Row],[anxiety_score]]&lt;=10, "Normal", IF(Table1[[#This Row],[anxiety_score]]&lt;=20, "Moderate", IF(Table1[[#This Row],[anxiety_score]]&lt;=30, "Severe", "Extremely Severe")))</f>
        <v>Moderate</v>
      </c>
      <c r="I144">
        <v>0.99702360000000001</v>
      </c>
      <c r="J144">
        <v>32</v>
      </c>
      <c r="K144" s="1" t="str">
        <f>IF(Table1[[#This Row],[stress_score]]&lt;=10, "Normal", IF(Table1[[#This Row],[stress_score]]&lt;=20, "Moderate", IF(Table1[[#This Row],[stress_score]]&lt;=30, "Severe", "Extremely Severe")))</f>
        <v>Extremely Severe</v>
      </c>
      <c r="L144">
        <v>1.9521089</v>
      </c>
      <c r="M144">
        <v>32</v>
      </c>
      <c r="N144" s="1" t="str">
        <f>IF(Table1[[#This Row],[depression_score]]&lt;=10, "Normal", IF(Table1[[#This Row],[depression_score]]&lt;=20, "Moderate", IF(Table1[[#This Row],[depression_score]]&lt;=30, "Severe", "Extremely Severe")))</f>
        <v>Extremely Severe</v>
      </c>
      <c r="O144">
        <v>1.9733623</v>
      </c>
      <c r="P144">
        <v>28</v>
      </c>
      <c r="Q144">
        <f>ROUND(Table1[[#This Row],[dass21_raw_score]],0)</f>
        <v>28</v>
      </c>
      <c r="R144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44">
        <v>1.6408316000000001</v>
      </c>
      <c r="T144">
        <v>2.7357415999999999</v>
      </c>
      <c r="U144">
        <v>5000</v>
      </c>
      <c r="V144" s="1">
        <f>ROUND(Table1[[#This Row],[fmpce]],0)</f>
        <v>5000</v>
      </c>
      <c r="W144">
        <v>68.023319999999998</v>
      </c>
      <c r="X144" s="4">
        <f>Table1[[#This Row],[mpce]]*89</f>
        <v>6054.0754799999995</v>
      </c>
      <c r="Y144" s="2" t="s">
        <v>28</v>
      </c>
      <c r="Z144" s="3">
        <f>VLOOKUP(Y144, rmpce_reference!$B$1:$D$7,3,FALSE) * 89</f>
        <v>6230</v>
      </c>
      <c r="AA144" s="1" t="str">
        <f>IF(Table1[rmpce_inr]&lt;=rmpce_reference!$F$2, "Low Income", IF(Table1[rmpce_inr]&lt;=rmpce_reference!$F$3, "Middle Income", "High Income"))</f>
        <v>Middle Income</v>
      </c>
    </row>
    <row r="145" spans="1:27" x14ac:dyDescent="0.25">
      <c r="A145">
        <v>1144</v>
      </c>
      <c r="B145" t="s">
        <v>20</v>
      </c>
      <c r="C145" t="s">
        <v>29</v>
      </c>
      <c r="D145">
        <v>31</v>
      </c>
      <c r="E145" t="s">
        <v>22</v>
      </c>
      <c r="F145" t="s">
        <v>23</v>
      </c>
      <c r="G145">
        <v>20</v>
      </c>
      <c r="H145" s="1" t="str">
        <f>IF(Table1[[#This Row],[anxiety_score]]&lt;=10, "Normal", IF(Table1[[#This Row],[anxiety_score]]&lt;=20, "Moderate", IF(Table1[[#This Row],[anxiety_score]]&lt;=30, "Severe", "Extremely Severe")))</f>
        <v>Moderate</v>
      </c>
      <c r="I145">
        <v>0.99702360000000001</v>
      </c>
      <c r="J145">
        <v>28</v>
      </c>
      <c r="K145" s="1" t="str">
        <f>IF(Table1[[#This Row],[stress_score]]&lt;=10, "Normal", IF(Table1[[#This Row],[stress_score]]&lt;=20, "Moderate", IF(Table1[[#This Row],[stress_score]]&lt;=30, "Severe", "Extremely Severe")))</f>
        <v>Severe</v>
      </c>
      <c r="L145">
        <v>1.5627863</v>
      </c>
      <c r="M145">
        <v>20</v>
      </c>
      <c r="N145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145">
        <v>0.81753799999999999</v>
      </c>
      <c r="P145">
        <v>22.666665999999999</v>
      </c>
      <c r="Q145">
        <f>ROUND(Table1[[#This Row],[dass21_raw_score]],0)</f>
        <v>23</v>
      </c>
      <c r="R145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45">
        <v>1.1257826</v>
      </c>
      <c r="T145">
        <v>2.2206926</v>
      </c>
      <c r="U145">
        <v>2500</v>
      </c>
      <c r="V145" s="1">
        <f>ROUND(Table1[[#This Row],[fmpce]],0)</f>
        <v>2500</v>
      </c>
      <c r="W145">
        <v>34.011659999999999</v>
      </c>
      <c r="X145" s="4">
        <f>Table1[[#This Row],[mpce]]*89</f>
        <v>3027.0377399999998</v>
      </c>
      <c r="Y145" s="2" t="s">
        <v>34</v>
      </c>
      <c r="Z145" s="3">
        <f>VLOOKUP(Y145, rmpce_reference!$B$1:$D$7,3,FALSE) * 89</f>
        <v>2848</v>
      </c>
      <c r="AA145" s="1" t="str">
        <f>IF(Table1[rmpce_inr]&lt;=rmpce_reference!$F$2, "Low Income", IF(Table1[rmpce_inr]&lt;=rmpce_reference!$F$3, "Middle Income", "High Income"))</f>
        <v>Low Income</v>
      </c>
    </row>
    <row r="146" spans="1:27" x14ac:dyDescent="0.25">
      <c r="A146">
        <v>1145</v>
      </c>
      <c r="B146" t="s">
        <v>20</v>
      </c>
      <c r="C146" t="s">
        <v>29</v>
      </c>
      <c r="D146">
        <v>40</v>
      </c>
      <c r="E146" t="s">
        <v>22</v>
      </c>
      <c r="F146" t="s">
        <v>23</v>
      </c>
      <c r="G146">
        <v>24</v>
      </c>
      <c r="H146" s="1" t="str">
        <f>IF(Table1[[#This Row],[anxiety_score]]&lt;=10, "Normal", IF(Table1[[#This Row],[anxiety_score]]&lt;=20, "Moderate", IF(Table1[[#This Row],[anxiety_score]]&lt;=30, "Severe", "Extremely Severe")))</f>
        <v>Severe</v>
      </c>
      <c r="I146">
        <v>1.3991127999999999</v>
      </c>
      <c r="J146">
        <v>32</v>
      </c>
      <c r="K146" s="1" t="str">
        <f>IF(Table1[[#This Row],[stress_score]]&lt;=10, "Normal", IF(Table1[[#This Row],[stress_score]]&lt;=20, "Moderate", IF(Table1[[#This Row],[stress_score]]&lt;=30, "Severe", "Extremely Severe")))</f>
        <v>Extremely Severe</v>
      </c>
      <c r="L146">
        <v>1.9521089</v>
      </c>
      <c r="M146">
        <v>26</v>
      </c>
      <c r="N146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146">
        <v>1.3954502</v>
      </c>
      <c r="P146">
        <v>27.333334000000001</v>
      </c>
      <c r="Q146">
        <f>ROUND(Table1[[#This Row],[dass21_raw_score]],0)</f>
        <v>27</v>
      </c>
      <c r="R146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46">
        <v>1.5822240000000001</v>
      </c>
      <c r="T146">
        <v>2.6771340000000001</v>
      </c>
      <c r="U146">
        <v>4000</v>
      </c>
      <c r="V146" s="1">
        <f>ROUND(Table1[[#This Row],[fmpce]],0)</f>
        <v>4000</v>
      </c>
      <c r="W146">
        <v>54.418660000000003</v>
      </c>
      <c r="X146" s="4">
        <f>Table1[[#This Row],[mpce]]*89</f>
        <v>4843.2607400000006</v>
      </c>
      <c r="Y146" s="2" t="s">
        <v>32</v>
      </c>
      <c r="Z146" s="3">
        <f>VLOOKUP(Y146, rmpce_reference!$B$1:$D$7,3,FALSE) * 89</f>
        <v>4450</v>
      </c>
      <c r="AA146" s="1" t="str">
        <f>IF(Table1[rmpce_inr]&lt;=rmpce_reference!$F$2, "Low Income", IF(Table1[rmpce_inr]&lt;=rmpce_reference!$F$3, "Middle Income", "High Income"))</f>
        <v>Low Income</v>
      </c>
    </row>
    <row r="147" spans="1:27" x14ac:dyDescent="0.25">
      <c r="A147">
        <v>1146</v>
      </c>
      <c r="B147" t="s">
        <v>20</v>
      </c>
      <c r="C147" t="s">
        <v>21</v>
      </c>
      <c r="D147">
        <v>42</v>
      </c>
      <c r="E147" t="s">
        <v>22</v>
      </c>
      <c r="F147" t="s">
        <v>23</v>
      </c>
      <c r="G147">
        <v>24</v>
      </c>
      <c r="H147" s="1" t="str">
        <f>IF(Table1[[#This Row],[anxiety_score]]&lt;=10, "Normal", IF(Table1[[#This Row],[anxiety_score]]&lt;=20, "Moderate", IF(Table1[[#This Row],[anxiety_score]]&lt;=30, "Severe", "Extremely Severe")))</f>
        <v>Severe</v>
      </c>
      <c r="I147">
        <v>1.3991127999999999</v>
      </c>
      <c r="J147">
        <v>22</v>
      </c>
      <c r="K147" s="1" t="str">
        <f>IF(Table1[[#This Row],[stress_score]]&lt;=10, "Normal", IF(Table1[[#This Row],[stress_score]]&lt;=20, "Moderate", IF(Table1[[#This Row],[stress_score]]&lt;=30, "Severe", "Extremely Severe")))</f>
        <v>Severe</v>
      </c>
      <c r="L147">
        <v>0.97880255999999999</v>
      </c>
      <c r="M147">
        <v>30</v>
      </c>
      <c r="N147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147">
        <v>1.7807249999999999</v>
      </c>
      <c r="P147">
        <v>25.333334000000001</v>
      </c>
      <c r="Q147">
        <f>ROUND(Table1[[#This Row],[dass21_raw_score]],0)</f>
        <v>25</v>
      </c>
      <c r="R147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47">
        <v>1.3862133999999999</v>
      </c>
      <c r="T147">
        <v>2.4811234</v>
      </c>
      <c r="U147">
        <v>2000</v>
      </c>
      <c r="V147" s="1">
        <f>ROUND(Table1[[#This Row],[fmpce]],0)</f>
        <v>2000</v>
      </c>
      <c r="W147">
        <v>27.209330000000001</v>
      </c>
      <c r="X147" s="4">
        <f>Table1[[#This Row],[mpce]]*89</f>
        <v>2421.6303700000003</v>
      </c>
      <c r="Y147" s="2" t="s">
        <v>34</v>
      </c>
      <c r="Z147" s="3">
        <f>VLOOKUP(Y147, rmpce_reference!$B$1:$D$7,3,FALSE) * 89</f>
        <v>2848</v>
      </c>
      <c r="AA147" s="1" t="str">
        <f>IF(Table1[rmpce_inr]&lt;=rmpce_reference!$F$2, "Low Income", IF(Table1[rmpce_inr]&lt;=rmpce_reference!$F$3, "Middle Income", "High Income"))</f>
        <v>Low Income</v>
      </c>
    </row>
    <row r="148" spans="1:27" x14ac:dyDescent="0.25">
      <c r="A148">
        <v>1147</v>
      </c>
      <c r="B148" t="s">
        <v>20</v>
      </c>
      <c r="C148" t="s">
        <v>29</v>
      </c>
      <c r="D148">
        <v>35</v>
      </c>
      <c r="E148" t="s">
        <v>22</v>
      </c>
      <c r="F148" t="s">
        <v>30</v>
      </c>
      <c r="G148">
        <v>26</v>
      </c>
      <c r="H148" s="1" t="str">
        <f>IF(Table1[[#This Row],[anxiety_score]]&lt;=10, "Normal", IF(Table1[[#This Row],[anxiety_score]]&lt;=20, "Moderate", IF(Table1[[#This Row],[anxiety_score]]&lt;=30, "Severe", "Extremely Severe")))</f>
        <v>Severe</v>
      </c>
      <c r="I148">
        <v>1.6001574999999999</v>
      </c>
      <c r="J148">
        <v>26</v>
      </c>
      <c r="K148" s="1" t="str">
        <f>IF(Table1[[#This Row],[stress_score]]&lt;=10, "Normal", IF(Table1[[#This Row],[stress_score]]&lt;=20, "Moderate", IF(Table1[[#This Row],[stress_score]]&lt;=30, "Severe", "Extremely Severe")))</f>
        <v>Severe</v>
      </c>
      <c r="L148">
        <v>1.3681251000000001</v>
      </c>
      <c r="M148">
        <v>18</v>
      </c>
      <c r="N148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148">
        <v>0.62490060000000003</v>
      </c>
      <c r="P148">
        <v>23.333334000000001</v>
      </c>
      <c r="Q148">
        <f>ROUND(Table1[[#This Row],[dass21_raw_score]],0)</f>
        <v>23</v>
      </c>
      <c r="R148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48">
        <v>1.1977277</v>
      </c>
      <c r="T148">
        <v>2.2926375999999999</v>
      </c>
      <c r="U148">
        <v>2000</v>
      </c>
      <c r="V148" s="1">
        <f>ROUND(Table1[[#This Row],[fmpce]],0)</f>
        <v>2000</v>
      </c>
      <c r="W148">
        <v>27.209330000000001</v>
      </c>
      <c r="X148" s="4">
        <f>Table1[[#This Row],[mpce]]*89</f>
        <v>2421.6303700000003</v>
      </c>
      <c r="Y148" s="2" t="s">
        <v>34</v>
      </c>
      <c r="Z148" s="3">
        <f>VLOOKUP(Y148, rmpce_reference!$B$1:$D$7,3,FALSE) * 89</f>
        <v>2848</v>
      </c>
      <c r="AA148" s="1" t="str">
        <f>IF(Table1[rmpce_inr]&lt;=rmpce_reference!$F$2, "Low Income", IF(Table1[rmpce_inr]&lt;=rmpce_reference!$F$3, "Middle Income", "High Income"))</f>
        <v>Low Income</v>
      </c>
    </row>
    <row r="149" spans="1:27" x14ac:dyDescent="0.25">
      <c r="A149">
        <v>1148</v>
      </c>
      <c r="B149" t="s">
        <v>20</v>
      </c>
      <c r="C149" t="s">
        <v>29</v>
      </c>
      <c r="D149">
        <v>37</v>
      </c>
      <c r="E149" t="s">
        <v>22</v>
      </c>
      <c r="F149" t="s">
        <v>23</v>
      </c>
      <c r="G149">
        <v>22</v>
      </c>
      <c r="H149" s="1" t="str">
        <f>IF(Table1[[#This Row],[anxiety_score]]&lt;=10, "Normal", IF(Table1[[#This Row],[anxiety_score]]&lt;=20, "Moderate", IF(Table1[[#This Row],[anxiety_score]]&lt;=30, "Severe", "Extremely Severe")))</f>
        <v>Severe</v>
      </c>
      <c r="I149">
        <v>1.1980683000000001</v>
      </c>
      <c r="J149">
        <v>18</v>
      </c>
      <c r="K149" s="1" t="str">
        <f>IF(Table1[[#This Row],[stress_score]]&lt;=10, "Normal", IF(Table1[[#This Row],[stress_score]]&lt;=20, "Moderate", IF(Table1[[#This Row],[stress_score]]&lt;=30, "Severe", "Extremely Severe")))</f>
        <v>Moderate</v>
      </c>
      <c r="L149">
        <v>0.58948003999999998</v>
      </c>
      <c r="M149">
        <v>30</v>
      </c>
      <c r="N149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149">
        <v>1.7807249999999999</v>
      </c>
      <c r="P149">
        <v>23.333334000000001</v>
      </c>
      <c r="Q149">
        <f>ROUND(Table1[[#This Row],[dass21_raw_score]],0)</f>
        <v>23</v>
      </c>
      <c r="R149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49">
        <v>1.1894244</v>
      </c>
      <c r="T149">
        <v>2.2843342</v>
      </c>
      <c r="U149">
        <v>2666.6667000000002</v>
      </c>
      <c r="V149" s="1">
        <f>ROUND(Table1[[#This Row],[fmpce]],0)</f>
        <v>2667</v>
      </c>
      <c r="W149">
        <v>36.279105999999999</v>
      </c>
      <c r="X149" s="4">
        <f>Table1[[#This Row],[mpce]]*89</f>
        <v>3228.8404339999997</v>
      </c>
      <c r="Y149" s="2" t="s">
        <v>34</v>
      </c>
      <c r="Z149" s="3">
        <f>VLOOKUP(Y149, rmpce_reference!$B$1:$D$7,3,FALSE) * 89</f>
        <v>2848</v>
      </c>
      <c r="AA149" s="1" t="str">
        <f>IF(Table1[rmpce_inr]&lt;=rmpce_reference!$F$2, "Low Income", IF(Table1[rmpce_inr]&lt;=rmpce_reference!$F$3, "Middle Income", "High Income"))</f>
        <v>Low Income</v>
      </c>
    </row>
    <row r="150" spans="1:27" x14ac:dyDescent="0.25">
      <c r="A150">
        <v>1149</v>
      </c>
      <c r="B150" t="s">
        <v>20</v>
      </c>
      <c r="C150" t="s">
        <v>36</v>
      </c>
      <c r="D150">
        <v>51</v>
      </c>
      <c r="E150" t="s">
        <v>22</v>
      </c>
      <c r="F150" t="s">
        <v>23</v>
      </c>
      <c r="G150">
        <v>24</v>
      </c>
      <c r="H150" s="1" t="str">
        <f>IF(Table1[[#This Row],[anxiety_score]]&lt;=10, "Normal", IF(Table1[[#This Row],[anxiety_score]]&lt;=20, "Moderate", IF(Table1[[#This Row],[anxiety_score]]&lt;=30, "Severe", "Extremely Severe")))</f>
        <v>Severe</v>
      </c>
      <c r="I150">
        <v>1.3991127999999999</v>
      </c>
      <c r="J150">
        <v>20</v>
      </c>
      <c r="K150" s="1" t="str">
        <f>IF(Table1[[#This Row],[stress_score]]&lt;=10, "Normal", IF(Table1[[#This Row],[stress_score]]&lt;=20, "Moderate", IF(Table1[[#This Row],[stress_score]]&lt;=30, "Severe", "Extremely Severe")))</f>
        <v>Moderate</v>
      </c>
      <c r="L150">
        <v>0.78414130000000004</v>
      </c>
      <c r="M150">
        <v>26</v>
      </c>
      <c r="N150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150">
        <v>1.3954502</v>
      </c>
      <c r="P150">
        <v>23.333334000000001</v>
      </c>
      <c r="Q150">
        <f>ROUND(Table1[[#This Row],[dass21_raw_score]],0)</f>
        <v>23</v>
      </c>
      <c r="R150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50">
        <v>1.1929015000000001</v>
      </c>
      <c r="T150">
        <v>2.2878113</v>
      </c>
      <c r="U150">
        <v>3750</v>
      </c>
      <c r="V150" s="1">
        <f>ROUND(Table1[[#This Row],[fmpce]],0)</f>
        <v>3750</v>
      </c>
      <c r="W150">
        <v>51.017493999999999</v>
      </c>
      <c r="X150" s="4">
        <f>Table1[[#This Row],[mpce]]*89</f>
        <v>4540.5569660000001</v>
      </c>
      <c r="Y150" s="2" t="s">
        <v>32</v>
      </c>
      <c r="Z150" s="3">
        <f>VLOOKUP(Y150, rmpce_reference!$B$1:$D$7,3,FALSE) * 89</f>
        <v>4450</v>
      </c>
      <c r="AA150" s="1" t="str">
        <f>IF(Table1[rmpce_inr]&lt;=rmpce_reference!$F$2, "Low Income", IF(Table1[rmpce_inr]&lt;=rmpce_reference!$F$3, "Middle Income", "High Income"))</f>
        <v>Low Income</v>
      </c>
    </row>
    <row r="151" spans="1:27" x14ac:dyDescent="0.25">
      <c r="A151">
        <v>1150</v>
      </c>
      <c r="B151" t="s">
        <v>20</v>
      </c>
      <c r="C151" t="s">
        <v>21</v>
      </c>
      <c r="D151">
        <v>46</v>
      </c>
      <c r="E151" t="s">
        <v>22</v>
      </c>
      <c r="F151" t="s">
        <v>23</v>
      </c>
      <c r="G151">
        <v>24</v>
      </c>
      <c r="H151" s="1" t="str">
        <f>IF(Table1[[#This Row],[anxiety_score]]&lt;=10, "Normal", IF(Table1[[#This Row],[anxiety_score]]&lt;=20, "Moderate", IF(Table1[[#This Row],[anxiety_score]]&lt;=30, "Severe", "Extremely Severe")))</f>
        <v>Severe</v>
      </c>
      <c r="I151">
        <v>1.3991127999999999</v>
      </c>
      <c r="J151">
        <v>22</v>
      </c>
      <c r="K151" s="1" t="str">
        <f>IF(Table1[[#This Row],[stress_score]]&lt;=10, "Normal", IF(Table1[[#This Row],[stress_score]]&lt;=20, "Moderate", IF(Table1[[#This Row],[stress_score]]&lt;=30, "Severe", "Extremely Severe")))</f>
        <v>Severe</v>
      </c>
      <c r="L151">
        <v>0.97880255999999999</v>
      </c>
      <c r="M151">
        <v>32</v>
      </c>
      <c r="N151" s="1" t="str">
        <f>IF(Table1[[#This Row],[depression_score]]&lt;=10, "Normal", IF(Table1[[#This Row],[depression_score]]&lt;=20, "Moderate", IF(Table1[[#This Row],[depression_score]]&lt;=30, "Severe", "Extremely Severe")))</f>
        <v>Extremely Severe</v>
      </c>
      <c r="O151">
        <v>1.9733623</v>
      </c>
      <c r="P151">
        <v>26</v>
      </c>
      <c r="Q151">
        <f>ROUND(Table1[[#This Row],[dass21_raw_score]],0)</f>
        <v>26</v>
      </c>
      <c r="R151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51">
        <v>1.4504258999999999</v>
      </c>
      <c r="T151">
        <v>2.5453358000000001</v>
      </c>
      <c r="U151">
        <v>3600</v>
      </c>
      <c r="V151" s="1">
        <f>ROUND(Table1[[#This Row],[fmpce]],0)</f>
        <v>3600</v>
      </c>
      <c r="W151">
        <v>48.976790000000001</v>
      </c>
      <c r="X151" s="4">
        <f>Table1[[#This Row],[mpce]]*89</f>
        <v>4358.9343100000006</v>
      </c>
      <c r="Y151" s="2" t="s">
        <v>32</v>
      </c>
      <c r="Z151" s="3">
        <f>VLOOKUP(Y151, rmpce_reference!$B$1:$D$7,3,FALSE) * 89</f>
        <v>4450</v>
      </c>
      <c r="AA151" s="1" t="str">
        <f>IF(Table1[rmpce_inr]&lt;=rmpce_reference!$F$2, "Low Income", IF(Table1[rmpce_inr]&lt;=rmpce_reference!$F$3, "Middle Income", "High Income"))</f>
        <v>Low Income</v>
      </c>
    </row>
    <row r="152" spans="1:27" x14ac:dyDescent="0.25">
      <c r="A152">
        <v>1151</v>
      </c>
      <c r="B152" t="s">
        <v>20</v>
      </c>
      <c r="C152" t="s">
        <v>29</v>
      </c>
      <c r="D152">
        <v>38</v>
      </c>
      <c r="E152" t="s">
        <v>22</v>
      </c>
      <c r="F152" t="s">
        <v>23</v>
      </c>
      <c r="G152">
        <v>22</v>
      </c>
      <c r="H152" s="1" t="str">
        <f>IF(Table1[[#This Row],[anxiety_score]]&lt;=10, "Normal", IF(Table1[[#This Row],[anxiety_score]]&lt;=20, "Moderate", IF(Table1[[#This Row],[anxiety_score]]&lt;=30, "Severe", "Extremely Severe")))</f>
        <v>Severe</v>
      </c>
      <c r="I152">
        <v>1.1980683000000001</v>
      </c>
      <c r="J152">
        <v>20</v>
      </c>
      <c r="K152" s="1" t="str">
        <f>IF(Table1[[#This Row],[stress_score]]&lt;=10, "Normal", IF(Table1[[#This Row],[stress_score]]&lt;=20, "Moderate", IF(Table1[[#This Row],[stress_score]]&lt;=30, "Severe", "Extremely Severe")))</f>
        <v>Moderate</v>
      </c>
      <c r="L152">
        <v>0.78414130000000004</v>
      </c>
      <c r="M152">
        <v>24</v>
      </c>
      <c r="N152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152">
        <v>1.2028128</v>
      </c>
      <c r="P152">
        <v>22</v>
      </c>
      <c r="Q152">
        <f>ROUND(Table1[[#This Row],[dass21_raw_score]],0)</f>
        <v>22</v>
      </c>
      <c r="R152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52">
        <v>1.0616741000000001</v>
      </c>
      <c r="T152">
        <v>2.1565840000000001</v>
      </c>
      <c r="U152">
        <v>3000</v>
      </c>
      <c r="V152" s="1">
        <f>ROUND(Table1[[#This Row],[fmpce]],0)</f>
        <v>3000</v>
      </c>
      <c r="W152">
        <v>40.813994999999998</v>
      </c>
      <c r="X152" s="4">
        <f>Table1[[#This Row],[mpce]]*89</f>
        <v>3632.4455549999998</v>
      </c>
      <c r="Y152" s="2" t="s">
        <v>32</v>
      </c>
      <c r="Z152" s="3">
        <f>VLOOKUP(Y152, rmpce_reference!$B$1:$D$7,3,FALSE) * 89</f>
        <v>4450</v>
      </c>
      <c r="AA152" s="1" t="str">
        <f>IF(Table1[rmpce_inr]&lt;=rmpce_reference!$F$2, "Low Income", IF(Table1[rmpce_inr]&lt;=rmpce_reference!$F$3, "Middle Income", "High Income"))</f>
        <v>Low Income</v>
      </c>
    </row>
    <row r="153" spans="1:27" x14ac:dyDescent="0.25">
      <c r="A153">
        <v>1152</v>
      </c>
      <c r="B153" t="s">
        <v>20</v>
      </c>
      <c r="C153" t="s">
        <v>21</v>
      </c>
      <c r="D153">
        <v>41</v>
      </c>
      <c r="E153" t="s">
        <v>22</v>
      </c>
      <c r="F153" t="s">
        <v>23</v>
      </c>
      <c r="G153">
        <v>26</v>
      </c>
      <c r="H153" s="1" t="str">
        <f>IF(Table1[[#This Row],[anxiety_score]]&lt;=10, "Normal", IF(Table1[[#This Row],[anxiety_score]]&lt;=20, "Moderate", IF(Table1[[#This Row],[anxiety_score]]&lt;=30, "Severe", "Extremely Severe")))</f>
        <v>Severe</v>
      </c>
      <c r="I153">
        <v>1.6001574999999999</v>
      </c>
      <c r="J153">
        <v>28</v>
      </c>
      <c r="K153" s="1" t="str">
        <f>IF(Table1[[#This Row],[stress_score]]&lt;=10, "Normal", IF(Table1[[#This Row],[stress_score]]&lt;=20, "Moderate", IF(Table1[[#This Row],[stress_score]]&lt;=30, "Severe", "Extremely Severe")))</f>
        <v>Severe</v>
      </c>
      <c r="L153">
        <v>1.5627863</v>
      </c>
      <c r="M153">
        <v>36</v>
      </c>
      <c r="N153" s="1" t="str">
        <f>IF(Table1[[#This Row],[depression_score]]&lt;=10, "Normal", IF(Table1[[#This Row],[depression_score]]&lt;=20, "Moderate", IF(Table1[[#This Row],[depression_score]]&lt;=30, "Severe", "Extremely Severe")))</f>
        <v>Extremely Severe</v>
      </c>
      <c r="O153">
        <v>2.3586369999999999</v>
      </c>
      <c r="P153">
        <v>30</v>
      </c>
      <c r="Q153">
        <f>ROUND(Table1[[#This Row],[dass21_raw_score]],0)</f>
        <v>30</v>
      </c>
      <c r="R153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53">
        <v>1.8405269</v>
      </c>
      <c r="T153">
        <v>2.9354366999999999</v>
      </c>
      <c r="U153">
        <v>2500</v>
      </c>
      <c r="V153" s="1">
        <f>ROUND(Table1[[#This Row],[fmpce]],0)</f>
        <v>2500</v>
      </c>
      <c r="W153">
        <v>34.011659999999999</v>
      </c>
      <c r="X153" s="4">
        <f>Table1[[#This Row],[mpce]]*89</f>
        <v>3027.0377399999998</v>
      </c>
      <c r="Y153" s="2" t="s">
        <v>34</v>
      </c>
      <c r="Z153" s="3">
        <f>VLOOKUP(Y153, rmpce_reference!$B$1:$D$7,3,FALSE) * 89</f>
        <v>2848</v>
      </c>
      <c r="AA153" s="1" t="str">
        <f>IF(Table1[rmpce_inr]&lt;=rmpce_reference!$F$2, "Low Income", IF(Table1[rmpce_inr]&lt;=rmpce_reference!$F$3, "Middle Income", "High Income"))</f>
        <v>Low Income</v>
      </c>
    </row>
    <row r="154" spans="1:27" x14ac:dyDescent="0.25">
      <c r="A154">
        <v>1153</v>
      </c>
      <c r="B154" t="s">
        <v>20</v>
      </c>
      <c r="C154" t="s">
        <v>29</v>
      </c>
      <c r="D154">
        <v>32</v>
      </c>
      <c r="E154" t="s">
        <v>22</v>
      </c>
      <c r="F154" t="s">
        <v>23</v>
      </c>
      <c r="G154">
        <v>24</v>
      </c>
      <c r="H154" s="1" t="str">
        <f>IF(Table1[[#This Row],[anxiety_score]]&lt;=10, "Normal", IF(Table1[[#This Row],[anxiety_score]]&lt;=20, "Moderate", IF(Table1[[#This Row],[anxiety_score]]&lt;=30, "Severe", "Extremely Severe")))</f>
        <v>Severe</v>
      </c>
      <c r="I154">
        <v>1.3991127999999999</v>
      </c>
      <c r="J154">
        <v>18</v>
      </c>
      <c r="K154" s="1" t="str">
        <f>IF(Table1[[#This Row],[stress_score]]&lt;=10, "Normal", IF(Table1[[#This Row],[stress_score]]&lt;=20, "Moderate", IF(Table1[[#This Row],[stress_score]]&lt;=30, "Severe", "Extremely Severe")))</f>
        <v>Moderate</v>
      </c>
      <c r="L154">
        <v>0.58948003999999998</v>
      </c>
      <c r="M154">
        <v>30</v>
      </c>
      <c r="N154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154">
        <v>1.7807249999999999</v>
      </c>
      <c r="P154">
        <v>24</v>
      </c>
      <c r="Q154">
        <f>ROUND(Table1[[#This Row],[dass21_raw_score]],0)</f>
        <v>24</v>
      </c>
      <c r="R154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54">
        <v>1.2564393</v>
      </c>
      <c r="T154">
        <v>2.3513494000000001</v>
      </c>
      <c r="U154">
        <v>2000</v>
      </c>
      <c r="V154" s="1">
        <f>ROUND(Table1[[#This Row],[fmpce]],0)</f>
        <v>2000</v>
      </c>
      <c r="W154">
        <v>27.209330000000001</v>
      </c>
      <c r="X154" s="4">
        <f>Table1[[#This Row],[mpce]]*89</f>
        <v>2421.6303700000003</v>
      </c>
      <c r="Y154" s="2" t="s">
        <v>34</v>
      </c>
      <c r="Z154" s="3">
        <f>VLOOKUP(Y154, rmpce_reference!$B$1:$D$7,3,FALSE) * 89</f>
        <v>2848</v>
      </c>
      <c r="AA154" s="1" t="str">
        <f>IF(Table1[rmpce_inr]&lt;=rmpce_reference!$F$2, "Low Income", IF(Table1[rmpce_inr]&lt;=rmpce_reference!$F$3, "Middle Income", "High Income"))</f>
        <v>Low Income</v>
      </c>
    </row>
    <row r="155" spans="1:27" x14ac:dyDescent="0.25">
      <c r="A155">
        <v>1154</v>
      </c>
      <c r="B155" t="s">
        <v>20</v>
      </c>
      <c r="C155" t="s">
        <v>29</v>
      </c>
      <c r="D155">
        <v>32</v>
      </c>
      <c r="E155" t="s">
        <v>22</v>
      </c>
      <c r="F155" t="s">
        <v>23</v>
      </c>
      <c r="G155">
        <v>22</v>
      </c>
      <c r="H155" s="1" t="str">
        <f>IF(Table1[[#This Row],[anxiety_score]]&lt;=10, "Normal", IF(Table1[[#This Row],[anxiety_score]]&lt;=20, "Moderate", IF(Table1[[#This Row],[anxiety_score]]&lt;=30, "Severe", "Extremely Severe")))</f>
        <v>Severe</v>
      </c>
      <c r="I155">
        <v>1.1980683000000001</v>
      </c>
      <c r="J155">
        <v>24</v>
      </c>
      <c r="K155" s="1" t="str">
        <f>IF(Table1[[#This Row],[stress_score]]&lt;=10, "Normal", IF(Table1[[#This Row],[stress_score]]&lt;=20, "Moderate", IF(Table1[[#This Row],[stress_score]]&lt;=30, "Severe", "Extremely Severe")))</f>
        <v>Severe</v>
      </c>
      <c r="L155">
        <v>1.1734637999999999</v>
      </c>
      <c r="M155">
        <v>30</v>
      </c>
      <c r="N155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155">
        <v>1.7807249999999999</v>
      </c>
      <c r="P155">
        <v>25.333334000000001</v>
      </c>
      <c r="Q155">
        <f>ROUND(Table1[[#This Row],[dass21_raw_score]],0)</f>
        <v>25</v>
      </c>
      <c r="R155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55">
        <v>1.3840857</v>
      </c>
      <c r="T155">
        <v>2.4789956000000002</v>
      </c>
      <c r="U155">
        <v>2250</v>
      </c>
      <c r="V155" s="1">
        <f>ROUND(Table1[[#This Row],[fmpce]],0)</f>
        <v>2250</v>
      </c>
      <c r="W155">
        <v>30.610496999999999</v>
      </c>
      <c r="X155" s="4">
        <f>Table1[[#This Row],[mpce]]*89</f>
        <v>2724.334233</v>
      </c>
      <c r="Y155" s="2" t="s">
        <v>34</v>
      </c>
      <c r="Z155" s="3">
        <f>VLOOKUP(Y155, rmpce_reference!$B$1:$D$7,3,FALSE) * 89</f>
        <v>2848</v>
      </c>
      <c r="AA155" s="1" t="str">
        <f>IF(Table1[rmpce_inr]&lt;=rmpce_reference!$F$2, "Low Income", IF(Table1[rmpce_inr]&lt;=rmpce_reference!$F$3, "Middle Income", "High Income"))</f>
        <v>Low Income</v>
      </c>
    </row>
    <row r="156" spans="1:27" x14ac:dyDescent="0.25">
      <c r="A156">
        <v>1155</v>
      </c>
      <c r="B156" t="s">
        <v>20</v>
      </c>
      <c r="C156" t="s">
        <v>21</v>
      </c>
      <c r="D156">
        <v>50</v>
      </c>
      <c r="E156" t="s">
        <v>22</v>
      </c>
      <c r="F156" t="s">
        <v>30</v>
      </c>
      <c r="G156">
        <v>28</v>
      </c>
      <c r="H156" s="1" t="str">
        <f>IF(Table1[[#This Row],[anxiety_score]]&lt;=10, "Normal", IF(Table1[[#This Row],[anxiety_score]]&lt;=20, "Moderate", IF(Table1[[#This Row],[anxiety_score]]&lt;=30, "Severe", "Extremely Severe")))</f>
        <v>Severe</v>
      </c>
      <c r="I156">
        <v>1.801202</v>
      </c>
      <c r="J156">
        <v>30</v>
      </c>
      <c r="K156" s="1" t="str">
        <f>IF(Table1[[#This Row],[stress_score]]&lt;=10, "Normal", IF(Table1[[#This Row],[stress_score]]&lt;=20, "Moderate", IF(Table1[[#This Row],[stress_score]]&lt;=30, "Severe", "Extremely Severe")))</f>
        <v>Severe</v>
      </c>
      <c r="L156">
        <v>1.7574476000000001</v>
      </c>
      <c r="M156">
        <v>20</v>
      </c>
      <c r="N156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156">
        <v>0.81753799999999999</v>
      </c>
      <c r="P156">
        <v>26</v>
      </c>
      <c r="Q156">
        <f>ROUND(Table1[[#This Row],[dass21_raw_score]],0)</f>
        <v>26</v>
      </c>
      <c r="R156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56">
        <v>1.4587292999999999</v>
      </c>
      <c r="T156">
        <v>2.5536392000000001</v>
      </c>
      <c r="U156">
        <v>1750</v>
      </c>
      <c r="V156" s="1">
        <f>ROUND(Table1[[#This Row],[fmpce]],0)</f>
        <v>1750</v>
      </c>
      <c r="W156">
        <v>23.808163</v>
      </c>
      <c r="X156" s="4">
        <f>Table1[[#This Row],[mpce]]*89</f>
        <v>2118.9265070000001</v>
      </c>
      <c r="Y156" s="2" t="s">
        <v>24</v>
      </c>
      <c r="Z156" s="3">
        <f>VLOOKUP(Y156, rmpce_reference!$B$1:$D$7,3,FALSE) * 89</f>
        <v>2225</v>
      </c>
      <c r="AA156" s="1" t="str">
        <f>IF(Table1[rmpce_inr]&lt;=rmpce_reference!$F$2, "Low Income", IF(Table1[rmpce_inr]&lt;=rmpce_reference!$F$3, "Middle Income", "High Income"))</f>
        <v>Low Income</v>
      </c>
    </row>
    <row r="157" spans="1:27" x14ac:dyDescent="0.25">
      <c r="A157">
        <v>1156</v>
      </c>
      <c r="B157" t="s">
        <v>20</v>
      </c>
      <c r="C157" t="s">
        <v>33</v>
      </c>
      <c r="D157">
        <v>26</v>
      </c>
      <c r="E157" t="s">
        <v>22</v>
      </c>
      <c r="F157" t="s">
        <v>23</v>
      </c>
      <c r="G157">
        <v>24</v>
      </c>
      <c r="H157" s="1" t="str">
        <f>IF(Table1[[#This Row],[anxiety_score]]&lt;=10, "Normal", IF(Table1[[#This Row],[anxiety_score]]&lt;=20, "Moderate", IF(Table1[[#This Row],[anxiety_score]]&lt;=30, "Severe", "Extremely Severe")))</f>
        <v>Severe</v>
      </c>
      <c r="I157">
        <v>1.3991127999999999</v>
      </c>
      <c r="J157">
        <v>24</v>
      </c>
      <c r="K157" s="1" t="str">
        <f>IF(Table1[[#This Row],[stress_score]]&lt;=10, "Normal", IF(Table1[[#This Row],[stress_score]]&lt;=20, "Moderate", IF(Table1[[#This Row],[stress_score]]&lt;=30, "Severe", "Extremely Severe")))</f>
        <v>Severe</v>
      </c>
      <c r="L157">
        <v>1.1734637999999999</v>
      </c>
      <c r="M157">
        <v>32</v>
      </c>
      <c r="N157" s="1" t="str">
        <f>IF(Table1[[#This Row],[depression_score]]&lt;=10, "Normal", IF(Table1[[#This Row],[depression_score]]&lt;=20, "Moderate", IF(Table1[[#This Row],[depression_score]]&lt;=30, "Severe", "Extremely Severe")))</f>
        <v>Extremely Severe</v>
      </c>
      <c r="O157">
        <v>1.9733623</v>
      </c>
      <c r="P157">
        <v>26.666665999999999</v>
      </c>
      <c r="Q157">
        <f>ROUND(Table1[[#This Row],[dass21_raw_score]],0)</f>
        <v>27</v>
      </c>
      <c r="R157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57">
        <v>1.5153129999999999</v>
      </c>
      <c r="T157">
        <v>2.6102227999999998</v>
      </c>
      <c r="U157">
        <v>5000</v>
      </c>
      <c r="V157" s="1">
        <f>ROUND(Table1[[#This Row],[fmpce]],0)</f>
        <v>5000</v>
      </c>
      <c r="W157">
        <v>68.023319999999998</v>
      </c>
      <c r="X157" s="4">
        <f>Table1[[#This Row],[mpce]]*89</f>
        <v>6054.0754799999995</v>
      </c>
      <c r="Y157" s="2" t="s">
        <v>28</v>
      </c>
      <c r="Z157" s="3">
        <f>VLOOKUP(Y157, rmpce_reference!$B$1:$D$7,3,FALSE) * 89</f>
        <v>6230</v>
      </c>
      <c r="AA157" s="1" t="str">
        <f>IF(Table1[rmpce_inr]&lt;=rmpce_reference!$F$2, "Low Income", IF(Table1[rmpce_inr]&lt;=rmpce_reference!$F$3, "Middle Income", "High Income"))</f>
        <v>Middle Income</v>
      </c>
    </row>
    <row r="158" spans="1:27" x14ac:dyDescent="0.25">
      <c r="A158">
        <v>1157</v>
      </c>
      <c r="B158" t="s">
        <v>20</v>
      </c>
      <c r="C158" t="s">
        <v>29</v>
      </c>
      <c r="D158">
        <v>36</v>
      </c>
      <c r="E158" t="s">
        <v>25</v>
      </c>
      <c r="F158" t="s">
        <v>30</v>
      </c>
      <c r="G158">
        <v>22</v>
      </c>
      <c r="H158" s="1" t="str">
        <f>IF(Table1[[#This Row],[anxiety_score]]&lt;=10, "Normal", IF(Table1[[#This Row],[anxiety_score]]&lt;=20, "Moderate", IF(Table1[[#This Row],[anxiety_score]]&lt;=30, "Severe", "Extremely Severe")))</f>
        <v>Severe</v>
      </c>
      <c r="I158">
        <v>1.1980683000000001</v>
      </c>
      <c r="J158">
        <v>28</v>
      </c>
      <c r="K158" s="1" t="str">
        <f>IF(Table1[[#This Row],[stress_score]]&lt;=10, "Normal", IF(Table1[[#This Row],[stress_score]]&lt;=20, "Moderate", IF(Table1[[#This Row],[stress_score]]&lt;=30, "Severe", "Extremely Severe")))</f>
        <v>Severe</v>
      </c>
      <c r="L158">
        <v>1.5627863</v>
      </c>
      <c r="M158">
        <v>26</v>
      </c>
      <c r="N158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158">
        <v>1.3954502</v>
      </c>
      <c r="P158">
        <v>25.333334000000001</v>
      </c>
      <c r="Q158">
        <f>ROUND(Table1[[#This Row],[dass21_raw_score]],0)</f>
        <v>25</v>
      </c>
      <c r="R158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58">
        <v>1.385435</v>
      </c>
      <c r="T158">
        <v>2.4803448000000001</v>
      </c>
      <c r="U158">
        <v>2333.3332999999998</v>
      </c>
      <c r="V158" s="1">
        <f>ROUND(Table1[[#This Row],[fmpce]],0)</f>
        <v>2333</v>
      </c>
      <c r="W158">
        <v>31.744216999999999</v>
      </c>
      <c r="X158" s="4">
        <f>Table1[[#This Row],[mpce]]*89</f>
        <v>2825.2353130000001</v>
      </c>
      <c r="Y158" s="2" t="s">
        <v>34</v>
      </c>
      <c r="Z158" s="3">
        <f>VLOOKUP(Y158, rmpce_reference!$B$1:$D$7,3,FALSE) * 89</f>
        <v>2848</v>
      </c>
      <c r="AA158" s="1" t="str">
        <f>IF(Table1[rmpce_inr]&lt;=rmpce_reference!$F$2, "Low Income", IF(Table1[rmpce_inr]&lt;=rmpce_reference!$F$3, "Middle Income", "High Income"))</f>
        <v>Low Income</v>
      </c>
    </row>
    <row r="159" spans="1:27" x14ac:dyDescent="0.25">
      <c r="A159">
        <v>1158</v>
      </c>
      <c r="B159" t="s">
        <v>20</v>
      </c>
      <c r="C159" t="s">
        <v>29</v>
      </c>
      <c r="D159">
        <v>37</v>
      </c>
      <c r="E159" t="s">
        <v>25</v>
      </c>
      <c r="F159" t="s">
        <v>23</v>
      </c>
      <c r="G159">
        <v>32</v>
      </c>
      <c r="H159" s="1" t="str">
        <f>IF(Table1[[#This Row],[anxiety_score]]&lt;=10, "Normal", IF(Table1[[#This Row],[anxiety_score]]&lt;=20, "Moderate", IF(Table1[[#This Row],[anxiety_score]]&lt;=30, "Severe", "Extremely Severe")))</f>
        <v>Extremely Severe</v>
      </c>
      <c r="I159">
        <v>2.2032911999999998</v>
      </c>
      <c r="J159">
        <v>22</v>
      </c>
      <c r="K159" s="1" t="str">
        <f>IF(Table1[[#This Row],[stress_score]]&lt;=10, "Normal", IF(Table1[[#This Row],[stress_score]]&lt;=20, "Moderate", IF(Table1[[#This Row],[stress_score]]&lt;=30, "Severe", "Extremely Severe")))</f>
        <v>Severe</v>
      </c>
      <c r="L159">
        <v>0.97880255999999999</v>
      </c>
      <c r="M159">
        <v>26</v>
      </c>
      <c r="N159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159">
        <v>1.3954502</v>
      </c>
      <c r="P159">
        <v>26.666665999999999</v>
      </c>
      <c r="Q159">
        <f>ROUND(Table1[[#This Row],[dass21_raw_score]],0)</f>
        <v>27</v>
      </c>
      <c r="R159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59">
        <v>1.5258480000000001</v>
      </c>
      <c r="T159">
        <v>2.6207579999999999</v>
      </c>
      <c r="U159">
        <v>3250</v>
      </c>
      <c r="V159" s="1">
        <f>ROUND(Table1[[#This Row],[fmpce]],0)</f>
        <v>3250</v>
      </c>
      <c r="W159">
        <v>44.215159999999997</v>
      </c>
      <c r="X159" s="4">
        <f>Table1[[#This Row],[mpce]]*89</f>
        <v>3935.1492399999997</v>
      </c>
      <c r="Y159" s="2" t="s">
        <v>32</v>
      </c>
      <c r="Z159" s="3">
        <f>VLOOKUP(Y159, rmpce_reference!$B$1:$D$7,3,FALSE) * 89</f>
        <v>4450</v>
      </c>
      <c r="AA159" s="1" t="str">
        <f>IF(Table1[rmpce_inr]&lt;=rmpce_reference!$F$2, "Low Income", IF(Table1[rmpce_inr]&lt;=rmpce_reference!$F$3, "Middle Income", "High Income"))</f>
        <v>Low Income</v>
      </c>
    </row>
    <row r="160" spans="1:27" x14ac:dyDescent="0.25">
      <c r="A160">
        <v>1159</v>
      </c>
      <c r="B160" t="s">
        <v>20</v>
      </c>
      <c r="C160" t="s">
        <v>29</v>
      </c>
      <c r="D160">
        <v>40</v>
      </c>
      <c r="E160" t="s">
        <v>25</v>
      </c>
      <c r="F160" t="s">
        <v>26</v>
      </c>
      <c r="G160">
        <v>26</v>
      </c>
      <c r="H160" s="1" t="str">
        <f>IF(Table1[[#This Row],[anxiety_score]]&lt;=10, "Normal", IF(Table1[[#This Row],[anxiety_score]]&lt;=20, "Moderate", IF(Table1[[#This Row],[anxiety_score]]&lt;=30, "Severe", "Extremely Severe")))</f>
        <v>Severe</v>
      </c>
      <c r="I160">
        <v>1.6001574999999999</v>
      </c>
      <c r="J160">
        <v>30</v>
      </c>
      <c r="K160" s="1" t="str">
        <f>IF(Table1[[#This Row],[stress_score]]&lt;=10, "Normal", IF(Table1[[#This Row],[stress_score]]&lt;=20, "Moderate", IF(Table1[[#This Row],[stress_score]]&lt;=30, "Severe", "Extremely Severe")))</f>
        <v>Severe</v>
      </c>
      <c r="L160">
        <v>1.7574476000000001</v>
      </c>
      <c r="M160">
        <v>28</v>
      </c>
      <c r="N160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160">
        <v>1.5880875999999999</v>
      </c>
      <c r="P160">
        <v>28</v>
      </c>
      <c r="Q160">
        <f>ROUND(Table1[[#This Row],[dass21_raw_score]],0)</f>
        <v>28</v>
      </c>
      <c r="R160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60">
        <v>1.6485642</v>
      </c>
      <c r="T160">
        <v>2.743474</v>
      </c>
      <c r="U160">
        <v>3500</v>
      </c>
      <c r="V160" s="1">
        <f>ROUND(Table1[[#This Row],[fmpce]],0)</f>
        <v>3500</v>
      </c>
      <c r="W160">
        <v>47.616325000000003</v>
      </c>
      <c r="X160" s="4">
        <f>Table1[[#This Row],[mpce]]*89</f>
        <v>4237.8529250000001</v>
      </c>
      <c r="Y160" s="2" t="s">
        <v>32</v>
      </c>
      <c r="Z160" s="3">
        <f>VLOOKUP(Y160, rmpce_reference!$B$1:$D$7,3,FALSE) * 89</f>
        <v>4450</v>
      </c>
      <c r="AA160" s="1" t="str">
        <f>IF(Table1[rmpce_inr]&lt;=rmpce_reference!$F$2, "Low Income", IF(Table1[rmpce_inr]&lt;=rmpce_reference!$F$3, "Middle Income", "High Income"))</f>
        <v>Low Income</v>
      </c>
    </row>
    <row r="161" spans="1:27" x14ac:dyDescent="0.25">
      <c r="A161">
        <v>1160</v>
      </c>
      <c r="B161" t="s">
        <v>20</v>
      </c>
      <c r="C161" t="s">
        <v>29</v>
      </c>
      <c r="D161">
        <v>37</v>
      </c>
      <c r="E161" t="s">
        <v>25</v>
      </c>
      <c r="F161" t="s">
        <v>30</v>
      </c>
      <c r="G161">
        <v>28</v>
      </c>
      <c r="H161" s="1" t="str">
        <f>IF(Table1[[#This Row],[anxiety_score]]&lt;=10, "Normal", IF(Table1[[#This Row],[anxiety_score]]&lt;=20, "Moderate", IF(Table1[[#This Row],[anxiety_score]]&lt;=30, "Severe", "Extremely Severe")))</f>
        <v>Severe</v>
      </c>
      <c r="I161">
        <v>1.801202</v>
      </c>
      <c r="J161">
        <v>24</v>
      </c>
      <c r="K161" s="1" t="str">
        <f>IF(Table1[[#This Row],[stress_score]]&lt;=10, "Normal", IF(Table1[[#This Row],[stress_score]]&lt;=20, "Moderate", IF(Table1[[#This Row],[stress_score]]&lt;=30, "Severe", "Extremely Severe")))</f>
        <v>Severe</v>
      </c>
      <c r="L161">
        <v>1.1734637999999999</v>
      </c>
      <c r="M161">
        <v>22</v>
      </c>
      <c r="N161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161">
        <v>1.0101753</v>
      </c>
      <c r="P161">
        <v>24.666665999999999</v>
      </c>
      <c r="Q161">
        <f>ROUND(Table1[[#This Row],[dass21_raw_score]],0)</f>
        <v>25</v>
      </c>
      <c r="R161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61">
        <v>1.3282803999999999</v>
      </c>
      <c r="T161">
        <v>2.4231904000000002</v>
      </c>
      <c r="U161">
        <v>3000</v>
      </c>
      <c r="V161" s="1">
        <f>ROUND(Table1[[#This Row],[fmpce]],0)</f>
        <v>3000</v>
      </c>
      <c r="W161">
        <v>40.813994999999998</v>
      </c>
      <c r="X161" s="4">
        <f>Table1[[#This Row],[mpce]]*89</f>
        <v>3632.4455549999998</v>
      </c>
      <c r="Y161" s="2" t="s">
        <v>32</v>
      </c>
      <c r="Z161" s="3">
        <f>VLOOKUP(Y161, rmpce_reference!$B$1:$D$7,3,FALSE) * 89</f>
        <v>4450</v>
      </c>
      <c r="AA161" s="1" t="str">
        <f>IF(Table1[rmpce_inr]&lt;=rmpce_reference!$F$2, "Low Income", IF(Table1[rmpce_inr]&lt;=rmpce_reference!$F$3, "Middle Income", "High Income"))</f>
        <v>Low Income</v>
      </c>
    </row>
    <row r="162" spans="1:27" x14ac:dyDescent="0.25">
      <c r="A162">
        <v>1161</v>
      </c>
      <c r="B162" t="s">
        <v>20</v>
      </c>
      <c r="C162" t="s">
        <v>33</v>
      </c>
      <c r="D162">
        <v>26</v>
      </c>
      <c r="E162" t="s">
        <v>25</v>
      </c>
      <c r="F162" t="s">
        <v>38</v>
      </c>
      <c r="G162">
        <v>24</v>
      </c>
      <c r="H162" s="1" t="str">
        <f>IF(Table1[[#This Row],[anxiety_score]]&lt;=10, "Normal", IF(Table1[[#This Row],[anxiety_score]]&lt;=20, "Moderate", IF(Table1[[#This Row],[anxiety_score]]&lt;=30, "Severe", "Extremely Severe")))</f>
        <v>Severe</v>
      </c>
      <c r="I162">
        <v>1.3991127999999999</v>
      </c>
      <c r="J162">
        <v>26</v>
      </c>
      <c r="K162" s="1" t="str">
        <f>IF(Table1[[#This Row],[stress_score]]&lt;=10, "Normal", IF(Table1[[#This Row],[stress_score]]&lt;=20, "Moderate", IF(Table1[[#This Row],[stress_score]]&lt;=30, "Severe", "Extremely Severe")))</f>
        <v>Severe</v>
      </c>
      <c r="L162">
        <v>1.3681251000000001</v>
      </c>
      <c r="M162">
        <v>28</v>
      </c>
      <c r="N162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162">
        <v>1.5880875999999999</v>
      </c>
      <c r="P162">
        <v>26</v>
      </c>
      <c r="Q162">
        <f>ROUND(Table1[[#This Row],[dass21_raw_score]],0)</f>
        <v>26</v>
      </c>
      <c r="R162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62">
        <v>1.4517751999999999</v>
      </c>
      <c r="T162">
        <v>2.5466852000000002</v>
      </c>
      <c r="U162">
        <v>3600</v>
      </c>
      <c r="V162" s="1">
        <f>ROUND(Table1[[#This Row],[fmpce]],0)</f>
        <v>3600</v>
      </c>
      <c r="W162">
        <v>48.976790000000001</v>
      </c>
      <c r="X162" s="4">
        <f>Table1[[#This Row],[mpce]]*89</f>
        <v>4358.9343100000006</v>
      </c>
      <c r="Y162" s="2" t="s">
        <v>32</v>
      </c>
      <c r="Z162" s="3">
        <f>VLOOKUP(Y162, rmpce_reference!$B$1:$D$7,3,FALSE) * 89</f>
        <v>4450</v>
      </c>
      <c r="AA162" s="1" t="str">
        <f>IF(Table1[rmpce_inr]&lt;=rmpce_reference!$F$2, "Low Income", IF(Table1[rmpce_inr]&lt;=rmpce_reference!$F$3, "Middle Income", "High Income"))</f>
        <v>Low Income</v>
      </c>
    </row>
    <row r="163" spans="1:27" x14ac:dyDescent="0.25">
      <c r="A163">
        <v>1162</v>
      </c>
      <c r="B163" t="s">
        <v>20</v>
      </c>
      <c r="C163" t="s">
        <v>33</v>
      </c>
      <c r="D163">
        <v>25</v>
      </c>
      <c r="E163" t="s">
        <v>25</v>
      </c>
      <c r="F163" t="s">
        <v>30</v>
      </c>
      <c r="G163">
        <v>22</v>
      </c>
      <c r="H163" s="1" t="str">
        <f>IF(Table1[[#This Row],[anxiety_score]]&lt;=10, "Normal", IF(Table1[[#This Row],[anxiety_score]]&lt;=20, "Moderate", IF(Table1[[#This Row],[anxiety_score]]&lt;=30, "Severe", "Extremely Severe")))</f>
        <v>Severe</v>
      </c>
      <c r="I163">
        <v>1.1980683000000001</v>
      </c>
      <c r="J163">
        <v>24</v>
      </c>
      <c r="K163" s="1" t="str">
        <f>IF(Table1[[#This Row],[stress_score]]&lt;=10, "Normal", IF(Table1[[#This Row],[stress_score]]&lt;=20, "Moderate", IF(Table1[[#This Row],[stress_score]]&lt;=30, "Severe", "Extremely Severe")))</f>
        <v>Severe</v>
      </c>
      <c r="L163">
        <v>1.1734637999999999</v>
      </c>
      <c r="M163">
        <v>34</v>
      </c>
      <c r="N163" s="1" t="str">
        <f>IF(Table1[[#This Row],[depression_score]]&lt;=10, "Normal", IF(Table1[[#This Row],[depression_score]]&lt;=20, "Moderate", IF(Table1[[#This Row],[depression_score]]&lt;=30, "Severe", "Extremely Severe")))</f>
        <v>Extremely Severe</v>
      </c>
      <c r="O163">
        <v>2.1659999999999999</v>
      </c>
      <c r="P163">
        <v>26.666665999999999</v>
      </c>
      <c r="Q163">
        <f>ROUND(Table1[[#This Row],[dass21_raw_score]],0)</f>
        <v>27</v>
      </c>
      <c r="R163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63">
        <v>1.5125107</v>
      </c>
      <c r="T163">
        <v>2.6074204000000001</v>
      </c>
      <c r="U163">
        <v>3200</v>
      </c>
      <c r="V163" s="1">
        <f>ROUND(Table1[[#This Row],[fmpce]],0)</f>
        <v>3200</v>
      </c>
      <c r="W163">
        <v>43.534927000000003</v>
      </c>
      <c r="X163" s="4">
        <f>Table1[[#This Row],[mpce]]*89</f>
        <v>3874.6085030000004</v>
      </c>
      <c r="Y163" s="2" t="s">
        <v>32</v>
      </c>
      <c r="Z163" s="3">
        <f>VLOOKUP(Y163, rmpce_reference!$B$1:$D$7,3,FALSE) * 89</f>
        <v>4450</v>
      </c>
      <c r="AA163" s="1" t="str">
        <f>IF(Table1[rmpce_inr]&lt;=rmpce_reference!$F$2, "Low Income", IF(Table1[rmpce_inr]&lt;=rmpce_reference!$F$3, "Middle Income", "High Income"))</f>
        <v>Low Income</v>
      </c>
    </row>
    <row r="164" spans="1:27" x14ac:dyDescent="0.25">
      <c r="A164">
        <v>1163</v>
      </c>
      <c r="B164" t="s">
        <v>20</v>
      </c>
      <c r="C164" t="s">
        <v>33</v>
      </c>
      <c r="D164">
        <v>28</v>
      </c>
      <c r="E164" t="s">
        <v>25</v>
      </c>
      <c r="F164" t="s">
        <v>26</v>
      </c>
      <c r="G164">
        <v>26</v>
      </c>
      <c r="H164" s="1" t="str">
        <f>IF(Table1[[#This Row],[anxiety_score]]&lt;=10, "Normal", IF(Table1[[#This Row],[anxiety_score]]&lt;=20, "Moderate", IF(Table1[[#This Row],[anxiety_score]]&lt;=30, "Severe", "Extremely Severe")))</f>
        <v>Severe</v>
      </c>
      <c r="I164">
        <v>1.6001574999999999</v>
      </c>
      <c r="J164">
        <v>30</v>
      </c>
      <c r="K164" s="1" t="str">
        <f>IF(Table1[[#This Row],[stress_score]]&lt;=10, "Normal", IF(Table1[[#This Row],[stress_score]]&lt;=20, "Moderate", IF(Table1[[#This Row],[stress_score]]&lt;=30, "Severe", "Extremely Severe")))</f>
        <v>Severe</v>
      </c>
      <c r="L164">
        <v>1.7574476000000001</v>
      </c>
      <c r="M164">
        <v>26</v>
      </c>
      <c r="N164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164">
        <v>1.3954502</v>
      </c>
      <c r="P164">
        <v>27.333334000000001</v>
      </c>
      <c r="Q164">
        <f>ROUND(Table1[[#This Row],[dass21_raw_score]],0)</f>
        <v>27</v>
      </c>
      <c r="R164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64">
        <v>1.5843518000000001</v>
      </c>
      <c r="T164">
        <v>2.6792617000000001</v>
      </c>
      <c r="U164">
        <v>3400</v>
      </c>
      <c r="V164" s="1">
        <f>ROUND(Table1[[#This Row],[fmpce]],0)</f>
        <v>3400</v>
      </c>
      <c r="W164">
        <v>46.255859999999998</v>
      </c>
      <c r="X164" s="4">
        <f>Table1[[#This Row],[mpce]]*89</f>
        <v>4116.7715399999997</v>
      </c>
      <c r="Y164" s="2" t="s">
        <v>32</v>
      </c>
      <c r="Z164" s="3">
        <f>VLOOKUP(Y164, rmpce_reference!$B$1:$D$7,3,FALSE) * 89</f>
        <v>4450</v>
      </c>
      <c r="AA164" s="1" t="str">
        <f>IF(Table1[rmpce_inr]&lt;=rmpce_reference!$F$2, "Low Income", IF(Table1[rmpce_inr]&lt;=rmpce_reference!$F$3, "Middle Income", "High Income"))</f>
        <v>Low Income</v>
      </c>
    </row>
    <row r="165" spans="1:27" x14ac:dyDescent="0.25">
      <c r="A165">
        <v>1164</v>
      </c>
      <c r="B165" t="s">
        <v>20</v>
      </c>
      <c r="C165" t="s">
        <v>33</v>
      </c>
      <c r="D165">
        <v>26</v>
      </c>
      <c r="E165" t="s">
        <v>25</v>
      </c>
      <c r="F165" t="s">
        <v>30</v>
      </c>
      <c r="G165">
        <v>24</v>
      </c>
      <c r="H165" s="1" t="str">
        <f>IF(Table1[[#This Row],[anxiety_score]]&lt;=10, "Normal", IF(Table1[[#This Row],[anxiety_score]]&lt;=20, "Moderate", IF(Table1[[#This Row],[anxiety_score]]&lt;=30, "Severe", "Extremely Severe")))</f>
        <v>Severe</v>
      </c>
      <c r="I165">
        <v>1.3991127999999999</v>
      </c>
      <c r="J165">
        <v>22</v>
      </c>
      <c r="K165" s="1" t="str">
        <f>IF(Table1[[#This Row],[stress_score]]&lt;=10, "Normal", IF(Table1[[#This Row],[stress_score]]&lt;=20, "Moderate", IF(Table1[[#This Row],[stress_score]]&lt;=30, "Severe", "Extremely Severe")))</f>
        <v>Severe</v>
      </c>
      <c r="L165">
        <v>0.97880255999999999</v>
      </c>
      <c r="M165">
        <v>28</v>
      </c>
      <c r="N165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165">
        <v>1.5880875999999999</v>
      </c>
      <c r="P165">
        <v>24.666665999999999</v>
      </c>
      <c r="Q165">
        <f>ROUND(Table1[[#This Row],[dass21_raw_score]],0)</f>
        <v>25</v>
      </c>
      <c r="R165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65">
        <v>1.322001</v>
      </c>
      <c r="T165">
        <v>2.4169109999999998</v>
      </c>
      <c r="U165">
        <v>3750</v>
      </c>
      <c r="V165" s="1">
        <f>ROUND(Table1[[#This Row],[fmpce]],0)</f>
        <v>3750</v>
      </c>
      <c r="W165">
        <v>51.017493999999999</v>
      </c>
      <c r="X165" s="4">
        <f>Table1[[#This Row],[mpce]]*89</f>
        <v>4540.5569660000001</v>
      </c>
      <c r="Y165" s="2" t="s">
        <v>32</v>
      </c>
      <c r="Z165" s="3">
        <f>VLOOKUP(Y165, rmpce_reference!$B$1:$D$7,3,FALSE) * 89</f>
        <v>4450</v>
      </c>
      <c r="AA165" s="1" t="str">
        <f>IF(Table1[rmpce_inr]&lt;=rmpce_reference!$F$2, "Low Income", IF(Table1[rmpce_inr]&lt;=rmpce_reference!$F$3, "Middle Income", "High Income"))</f>
        <v>Low Income</v>
      </c>
    </row>
    <row r="166" spans="1:27" x14ac:dyDescent="0.25">
      <c r="A166">
        <v>1165</v>
      </c>
      <c r="B166" t="s">
        <v>20</v>
      </c>
      <c r="C166" t="s">
        <v>33</v>
      </c>
      <c r="D166">
        <v>28</v>
      </c>
      <c r="E166" t="s">
        <v>25</v>
      </c>
      <c r="F166" t="s">
        <v>30</v>
      </c>
      <c r="G166">
        <v>26</v>
      </c>
      <c r="H166" s="1" t="str">
        <f>IF(Table1[[#This Row],[anxiety_score]]&lt;=10, "Normal", IF(Table1[[#This Row],[anxiety_score]]&lt;=20, "Moderate", IF(Table1[[#This Row],[anxiety_score]]&lt;=30, "Severe", "Extremely Severe")))</f>
        <v>Severe</v>
      </c>
      <c r="I166">
        <v>1.6001574999999999</v>
      </c>
      <c r="J166">
        <v>24</v>
      </c>
      <c r="K166" s="1" t="str">
        <f>IF(Table1[[#This Row],[stress_score]]&lt;=10, "Normal", IF(Table1[[#This Row],[stress_score]]&lt;=20, "Moderate", IF(Table1[[#This Row],[stress_score]]&lt;=30, "Severe", "Extremely Severe")))</f>
        <v>Severe</v>
      </c>
      <c r="L166">
        <v>1.1734637999999999</v>
      </c>
      <c r="M166">
        <v>26</v>
      </c>
      <c r="N166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166">
        <v>1.3954502</v>
      </c>
      <c r="P166">
        <v>25.333334000000001</v>
      </c>
      <c r="Q166">
        <f>ROUND(Table1[[#This Row],[dass21_raw_score]],0)</f>
        <v>25</v>
      </c>
      <c r="R166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66">
        <v>1.3896904999999999</v>
      </c>
      <c r="T166">
        <v>2.4846005</v>
      </c>
      <c r="U166">
        <v>3500</v>
      </c>
      <c r="V166" s="1">
        <f>ROUND(Table1[[#This Row],[fmpce]],0)</f>
        <v>3500</v>
      </c>
      <c r="W166">
        <v>47.616325000000003</v>
      </c>
      <c r="X166" s="4">
        <f>Table1[[#This Row],[mpce]]*89</f>
        <v>4237.8529250000001</v>
      </c>
      <c r="Y166" s="2" t="s">
        <v>32</v>
      </c>
      <c r="Z166" s="3">
        <f>VLOOKUP(Y166, rmpce_reference!$B$1:$D$7,3,FALSE) * 89</f>
        <v>4450</v>
      </c>
      <c r="AA166" s="1" t="str">
        <f>IF(Table1[rmpce_inr]&lt;=rmpce_reference!$F$2, "Low Income", IF(Table1[rmpce_inr]&lt;=rmpce_reference!$F$3, "Middle Income", "High Income"))</f>
        <v>Low Income</v>
      </c>
    </row>
    <row r="167" spans="1:27" x14ac:dyDescent="0.25">
      <c r="A167">
        <v>1166</v>
      </c>
      <c r="B167" t="s">
        <v>20</v>
      </c>
      <c r="C167" t="s">
        <v>33</v>
      </c>
      <c r="D167">
        <v>25</v>
      </c>
      <c r="E167" t="s">
        <v>25</v>
      </c>
      <c r="F167" t="s">
        <v>30</v>
      </c>
      <c r="G167">
        <v>20</v>
      </c>
      <c r="H167" s="1" t="str">
        <f>IF(Table1[[#This Row],[anxiety_score]]&lt;=10, "Normal", IF(Table1[[#This Row],[anxiety_score]]&lt;=20, "Moderate", IF(Table1[[#This Row],[anxiety_score]]&lt;=30, "Severe", "Extremely Severe")))</f>
        <v>Moderate</v>
      </c>
      <c r="I167">
        <v>0.99702360000000001</v>
      </c>
      <c r="J167">
        <v>28</v>
      </c>
      <c r="K167" s="1" t="str">
        <f>IF(Table1[[#This Row],[stress_score]]&lt;=10, "Normal", IF(Table1[[#This Row],[stress_score]]&lt;=20, "Moderate", IF(Table1[[#This Row],[stress_score]]&lt;=30, "Severe", "Extremely Severe")))</f>
        <v>Severe</v>
      </c>
      <c r="L167">
        <v>1.5627863</v>
      </c>
      <c r="M167">
        <v>24</v>
      </c>
      <c r="N167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167">
        <v>1.2028128</v>
      </c>
      <c r="P167">
        <v>24</v>
      </c>
      <c r="Q167">
        <f>ROUND(Table1[[#This Row],[dass21_raw_score]],0)</f>
        <v>24</v>
      </c>
      <c r="R167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67">
        <v>1.2542076</v>
      </c>
      <c r="T167">
        <v>2.3491175000000002</v>
      </c>
      <c r="U167">
        <v>3400</v>
      </c>
      <c r="V167" s="1">
        <f>ROUND(Table1[[#This Row],[fmpce]],0)</f>
        <v>3400</v>
      </c>
      <c r="W167">
        <v>46.255859999999998</v>
      </c>
      <c r="X167" s="4">
        <f>Table1[[#This Row],[mpce]]*89</f>
        <v>4116.7715399999997</v>
      </c>
      <c r="Y167" s="2" t="s">
        <v>32</v>
      </c>
      <c r="Z167" s="3">
        <f>VLOOKUP(Y167, rmpce_reference!$B$1:$D$7,3,FALSE) * 89</f>
        <v>4450</v>
      </c>
      <c r="AA167" s="1" t="str">
        <f>IF(Table1[rmpce_inr]&lt;=rmpce_reference!$F$2, "Low Income", IF(Table1[rmpce_inr]&lt;=rmpce_reference!$F$3, "Middle Income", "High Income"))</f>
        <v>Low Income</v>
      </c>
    </row>
    <row r="168" spans="1:27" x14ac:dyDescent="0.25">
      <c r="A168">
        <v>1167</v>
      </c>
      <c r="B168" t="s">
        <v>20</v>
      </c>
      <c r="C168" t="s">
        <v>33</v>
      </c>
      <c r="D168">
        <v>27</v>
      </c>
      <c r="E168" t="s">
        <v>25</v>
      </c>
      <c r="F168" t="s">
        <v>30</v>
      </c>
      <c r="G168">
        <v>32</v>
      </c>
      <c r="H168" s="1" t="str">
        <f>IF(Table1[[#This Row],[anxiety_score]]&lt;=10, "Normal", IF(Table1[[#This Row],[anxiety_score]]&lt;=20, "Moderate", IF(Table1[[#This Row],[anxiety_score]]&lt;=30, "Severe", "Extremely Severe")))</f>
        <v>Extremely Severe</v>
      </c>
      <c r="I168">
        <v>2.2032911999999998</v>
      </c>
      <c r="J168">
        <v>26</v>
      </c>
      <c r="K168" s="1" t="str">
        <f>IF(Table1[[#This Row],[stress_score]]&lt;=10, "Normal", IF(Table1[[#This Row],[stress_score]]&lt;=20, "Moderate", IF(Table1[[#This Row],[stress_score]]&lt;=30, "Severe", "Extremely Severe")))</f>
        <v>Severe</v>
      </c>
      <c r="L168">
        <v>1.3681251000000001</v>
      </c>
      <c r="M168">
        <v>22</v>
      </c>
      <c r="N168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168">
        <v>1.0101753</v>
      </c>
      <c r="P168">
        <v>26.666665999999999</v>
      </c>
      <c r="Q168">
        <f>ROUND(Table1[[#This Row],[dass21_raw_score]],0)</f>
        <v>27</v>
      </c>
      <c r="R168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68">
        <v>1.5271972</v>
      </c>
      <c r="T168">
        <v>2.6221070000000002</v>
      </c>
      <c r="U168">
        <v>2800</v>
      </c>
      <c r="V168" s="1">
        <f>ROUND(Table1[[#This Row],[fmpce]],0)</f>
        <v>2800</v>
      </c>
      <c r="W168">
        <v>38.093060000000001</v>
      </c>
      <c r="X168" s="4">
        <f>Table1[[#This Row],[mpce]]*89</f>
        <v>3390.2823400000002</v>
      </c>
      <c r="Y168" s="2" t="s">
        <v>34</v>
      </c>
      <c r="Z168" s="3">
        <f>VLOOKUP(Y168, rmpce_reference!$B$1:$D$7,3,FALSE) * 89</f>
        <v>2848</v>
      </c>
      <c r="AA168" s="1" t="str">
        <f>IF(Table1[rmpce_inr]&lt;=rmpce_reference!$F$2, "Low Income", IF(Table1[rmpce_inr]&lt;=rmpce_reference!$F$3, "Middle Income", "High Income"))</f>
        <v>Low Income</v>
      </c>
    </row>
    <row r="169" spans="1:27" x14ac:dyDescent="0.25">
      <c r="A169">
        <v>1168</v>
      </c>
      <c r="B169" t="s">
        <v>20</v>
      </c>
      <c r="C169" t="s">
        <v>33</v>
      </c>
      <c r="D169">
        <v>25</v>
      </c>
      <c r="E169" t="s">
        <v>25</v>
      </c>
      <c r="F169" t="s">
        <v>30</v>
      </c>
      <c r="G169">
        <v>24</v>
      </c>
      <c r="H169" s="1" t="str">
        <f>IF(Table1[[#This Row],[anxiety_score]]&lt;=10, "Normal", IF(Table1[[#This Row],[anxiety_score]]&lt;=20, "Moderate", IF(Table1[[#This Row],[anxiety_score]]&lt;=30, "Severe", "Extremely Severe")))</f>
        <v>Severe</v>
      </c>
      <c r="I169">
        <v>1.3991127999999999</v>
      </c>
      <c r="J169">
        <v>24</v>
      </c>
      <c r="K169" s="1" t="str">
        <f>IF(Table1[[#This Row],[stress_score]]&lt;=10, "Normal", IF(Table1[[#This Row],[stress_score]]&lt;=20, "Moderate", IF(Table1[[#This Row],[stress_score]]&lt;=30, "Severe", "Extremely Severe")))</f>
        <v>Severe</v>
      </c>
      <c r="L169">
        <v>1.1734637999999999</v>
      </c>
      <c r="M169">
        <v>26</v>
      </c>
      <c r="N169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169">
        <v>1.3954502</v>
      </c>
      <c r="P169">
        <v>24.666665999999999</v>
      </c>
      <c r="Q169">
        <f>ROUND(Table1[[#This Row],[dass21_raw_score]],0)</f>
        <v>25</v>
      </c>
      <c r="R169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69">
        <v>1.3226756</v>
      </c>
      <c r="T169">
        <v>2.4175854000000001</v>
      </c>
      <c r="U169">
        <v>4000</v>
      </c>
      <c r="V169" s="1">
        <f>ROUND(Table1[[#This Row],[fmpce]],0)</f>
        <v>4000</v>
      </c>
      <c r="W169">
        <v>54.418660000000003</v>
      </c>
      <c r="X169" s="4">
        <f>Table1[[#This Row],[mpce]]*89</f>
        <v>4843.2607400000006</v>
      </c>
      <c r="Y169" s="2" t="s">
        <v>32</v>
      </c>
      <c r="Z169" s="3">
        <f>VLOOKUP(Y169, rmpce_reference!$B$1:$D$7,3,FALSE) * 89</f>
        <v>4450</v>
      </c>
      <c r="AA169" s="1" t="str">
        <f>IF(Table1[rmpce_inr]&lt;=rmpce_reference!$F$2, "Low Income", IF(Table1[rmpce_inr]&lt;=rmpce_reference!$F$3, "Middle Income", "High Income"))</f>
        <v>Low Income</v>
      </c>
    </row>
    <row r="170" spans="1:27" x14ac:dyDescent="0.25">
      <c r="A170">
        <v>1169</v>
      </c>
      <c r="B170" t="s">
        <v>20</v>
      </c>
      <c r="C170" t="s">
        <v>29</v>
      </c>
      <c r="D170">
        <v>36</v>
      </c>
      <c r="E170" t="s">
        <v>25</v>
      </c>
      <c r="F170" t="s">
        <v>23</v>
      </c>
      <c r="G170">
        <v>24</v>
      </c>
      <c r="H170" s="1" t="str">
        <f>IF(Table1[[#This Row],[anxiety_score]]&lt;=10, "Normal", IF(Table1[[#This Row],[anxiety_score]]&lt;=20, "Moderate", IF(Table1[[#This Row],[anxiety_score]]&lt;=30, "Severe", "Extremely Severe")))</f>
        <v>Severe</v>
      </c>
      <c r="I170">
        <v>1.3991127999999999</v>
      </c>
      <c r="J170">
        <v>26</v>
      </c>
      <c r="K170" s="1" t="str">
        <f>IF(Table1[[#This Row],[stress_score]]&lt;=10, "Normal", IF(Table1[[#This Row],[stress_score]]&lt;=20, "Moderate", IF(Table1[[#This Row],[stress_score]]&lt;=30, "Severe", "Extremely Severe")))</f>
        <v>Severe</v>
      </c>
      <c r="L170">
        <v>1.3681251000000001</v>
      </c>
      <c r="M170">
        <v>34</v>
      </c>
      <c r="N170" s="1" t="str">
        <f>IF(Table1[[#This Row],[depression_score]]&lt;=10, "Normal", IF(Table1[[#This Row],[depression_score]]&lt;=20, "Moderate", IF(Table1[[#This Row],[depression_score]]&lt;=30, "Severe", "Extremely Severe")))</f>
        <v>Extremely Severe</v>
      </c>
      <c r="O170">
        <v>2.1659999999999999</v>
      </c>
      <c r="P170">
        <v>28</v>
      </c>
      <c r="Q170">
        <f>ROUND(Table1[[#This Row],[dass21_raw_score]],0)</f>
        <v>28</v>
      </c>
      <c r="R170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70">
        <v>1.6444125999999999</v>
      </c>
      <c r="T170">
        <v>2.7393227000000002</v>
      </c>
      <c r="U170">
        <v>2333.3332999999998</v>
      </c>
      <c r="V170" s="1">
        <f>ROUND(Table1[[#This Row],[fmpce]],0)</f>
        <v>2333</v>
      </c>
      <c r="W170">
        <v>31.744216999999999</v>
      </c>
      <c r="X170" s="4">
        <f>Table1[[#This Row],[mpce]]*89</f>
        <v>2825.2353130000001</v>
      </c>
      <c r="Y170" s="2" t="s">
        <v>34</v>
      </c>
      <c r="Z170" s="3">
        <f>VLOOKUP(Y170, rmpce_reference!$B$1:$D$7,3,FALSE) * 89</f>
        <v>2848</v>
      </c>
      <c r="AA170" s="1" t="str">
        <f>IF(Table1[rmpce_inr]&lt;=rmpce_reference!$F$2, "Low Income", IF(Table1[rmpce_inr]&lt;=rmpce_reference!$F$3, "Middle Income", "High Income"))</f>
        <v>Low Income</v>
      </c>
    </row>
    <row r="171" spans="1:27" x14ac:dyDescent="0.25">
      <c r="A171">
        <v>1170</v>
      </c>
      <c r="B171" t="s">
        <v>20</v>
      </c>
      <c r="C171" t="s">
        <v>29</v>
      </c>
      <c r="D171">
        <v>35</v>
      </c>
      <c r="E171" t="s">
        <v>25</v>
      </c>
      <c r="F171" t="s">
        <v>26</v>
      </c>
      <c r="G171">
        <v>34</v>
      </c>
      <c r="H171" s="1" t="str">
        <f>IF(Table1[[#This Row],[anxiety_score]]&lt;=10, "Normal", IF(Table1[[#This Row],[anxiety_score]]&lt;=20, "Moderate", IF(Table1[[#This Row],[anxiety_score]]&lt;=30, "Severe", "Extremely Severe")))</f>
        <v>Extremely Severe</v>
      </c>
      <c r="I171">
        <v>2.4043359999999998</v>
      </c>
      <c r="J171">
        <v>34</v>
      </c>
      <c r="K171" s="1" t="str">
        <f>IF(Table1[[#This Row],[stress_score]]&lt;=10, "Normal", IF(Table1[[#This Row],[stress_score]]&lt;=20, "Moderate", IF(Table1[[#This Row],[stress_score]]&lt;=30, "Severe", "Extremely Severe")))</f>
        <v>Extremely Severe</v>
      </c>
      <c r="L171">
        <v>2.1467700000000001</v>
      </c>
      <c r="M171">
        <v>22</v>
      </c>
      <c r="N171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171">
        <v>1.0101753</v>
      </c>
      <c r="P171">
        <v>30</v>
      </c>
      <c r="Q171">
        <f>ROUND(Table1[[#This Row],[dass21_raw_score]],0)</f>
        <v>30</v>
      </c>
      <c r="R171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71">
        <v>1.8537604999999999</v>
      </c>
      <c r="T171">
        <v>2.9486704000000001</v>
      </c>
      <c r="U171">
        <v>3750</v>
      </c>
      <c r="V171" s="1">
        <f>ROUND(Table1[[#This Row],[fmpce]],0)</f>
        <v>3750</v>
      </c>
      <c r="W171">
        <v>51.017493999999999</v>
      </c>
      <c r="X171" s="4">
        <f>Table1[[#This Row],[mpce]]*89</f>
        <v>4540.5569660000001</v>
      </c>
      <c r="Y171" s="2" t="s">
        <v>32</v>
      </c>
      <c r="Z171" s="3">
        <f>VLOOKUP(Y171, rmpce_reference!$B$1:$D$7,3,FALSE) * 89</f>
        <v>4450</v>
      </c>
      <c r="AA171" s="1" t="str">
        <f>IF(Table1[rmpce_inr]&lt;=rmpce_reference!$F$2, "Low Income", IF(Table1[rmpce_inr]&lt;=rmpce_reference!$F$3, "Middle Income", "High Income"))</f>
        <v>Low Income</v>
      </c>
    </row>
    <row r="172" spans="1:27" x14ac:dyDescent="0.25">
      <c r="A172">
        <v>1171</v>
      </c>
      <c r="B172" t="s">
        <v>20</v>
      </c>
      <c r="C172" t="s">
        <v>33</v>
      </c>
      <c r="D172">
        <v>26</v>
      </c>
      <c r="E172" t="s">
        <v>25</v>
      </c>
      <c r="F172" t="s">
        <v>26</v>
      </c>
      <c r="G172">
        <v>26</v>
      </c>
      <c r="H172" s="1" t="str">
        <f>IF(Table1[[#This Row],[anxiety_score]]&lt;=10, "Normal", IF(Table1[[#This Row],[anxiety_score]]&lt;=20, "Moderate", IF(Table1[[#This Row],[anxiety_score]]&lt;=30, "Severe", "Extremely Severe")))</f>
        <v>Severe</v>
      </c>
      <c r="I172">
        <v>1.6001574999999999</v>
      </c>
      <c r="J172">
        <v>24</v>
      </c>
      <c r="K172" s="1" t="str">
        <f>IF(Table1[[#This Row],[stress_score]]&lt;=10, "Normal", IF(Table1[[#This Row],[stress_score]]&lt;=20, "Moderate", IF(Table1[[#This Row],[stress_score]]&lt;=30, "Severe", "Extremely Severe")))</f>
        <v>Severe</v>
      </c>
      <c r="L172">
        <v>1.1734637999999999</v>
      </c>
      <c r="M172">
        <v>32</v>
      </c>
      <c r="N172" s="1" t="str">
        <f>IF(Table1[[#This Row],[depression_score]]&lt;=10, "Normal", IF(Table1[[#This Row],[depression_score]]&lt;=20, "Moderate", IF(Table1[[#This Row],[depression_score]]&lt;=30, "Severe", "Extremely Severe")))</f>
        <v>Extremely Severe</v>
      </c>
      <c r="O172">
        <v>1.9733623</v>
      </c>
      <c r="P172">
        <v>27.333334000000001</v>
      </c>
      <c r="Q172">
        <f>ROUND(Table1[[#This Row],[dass21_raw_score]],0)</f>
        <v>27</v>
      </c>
      <c r="R172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72">
        <v>1.5823278000000001</v>
      </c>
      <c r="T172">
        <v>2.6772377000000001</v>
      </c>
      <c r="U172">
        <v>3200</v>
      </c>
      <c r="V172" s="1">
        <f>ROUND(Table1[[#This Row],[fmpce]],0)</f>
        <v>3200</v>
      </c>
      <c r="W172">
        <v>43.534927000000003</v>
      </c>
      <c r="X172" s="4">
        <f>Table1[[#This Row],[mpce]]*89</f>
        <v>3874.6085030000004</v>
      </c>
      <c r="Y172" s="2" t="s">
        <v>32</v>
      </c>
      <c r="Z172" s="3">
        <f>VLOOKUP(Y172, rmpce_reference!$B$1:$D$7,3,FALSE) * 89</f>
        <v>4450</v>
      </c>
      <c r="AA172" s="1" t="str">
        <f>IF(Table1[rmpce_inr]&lt;=rmpce_reference!$F$2, "Low Income", IF(Table1[rmpce_inr]&lt;=rmpce_reference!$F$3, "Middle Income", "High Income"))</f>
        <v>Low Income</v>
      </c>
    </row>
    <row r="173" spans="1:27" x14ac:dyDescent="0.25">
      <c r="A173">
        <v>1172</v>
      </c>
      <c r="B173" t="s">
        <v>20</v>
      </c>
      <c r="C173" t="s">
        <v>29</v>
      </c>
      <c r="D173">
        <v>35</v>
      </c>
      <c r="E173" t="s">
        <v>25</v>
      </c>
      <c r="F173" t="s">
        <v>26</v>
      </c>
      <c r="G173">
        <v>22</v>
      </c>
      <c r="H173" s="1" t="str">
        <f>IF(Table1[[#This Row],[anxiety_score]]&lt;=10, "Normal", IF(Table1[[#This Row],[anxiety_score]]&lt;=20, "Moderate", IF(Table1[[#This Row],[anxiety_score]]&lt;=30, "Severe", "Extremely Severe")))</f>
        <v>Severe</v>
      </c>
      <c r="I173">
        <v>1.1980683000000001</v>
      </c>
      <c r="J173">
        <v>20</v>
      </c>
      <c r="K173" s="1" t="str">
        <f>IF(Table1[[#This Row],[stress_score]]&lt;=10, "Normal", IF(Table1[[#This Row],[stress_score]]&lt;=20, "Moderate", IF(Table1[[#This Row],[stress_score]]&lt;=30, "Severe", "Extremely Severe")))</f>
        <v>Moderate</v>
      </c>
      <c r="L173">
        <v>0.78414130000000004</v>
      </c>
      <c r="M173">
        <v>34</v>
      </c>
      <c r="N173" s="1" t="str">
        <f>IF(Table1[[#This Row],[depression_score]]&lt;=10, "Normal", IF(Table1[[#This Row],[depression_score]]&lt;=20, "Moderate", IF(Table1[[#This Row],[depression_score]]&lt;=30, "Severe", "Extremely Severe")))</f>
        <v>Extremely Severe</v>
      </c>
      <c r="O173">
        <v>2.1659999999999999</v>
      </c>
      <c r="P173">
        <v>25.333334000000001</v>
      </c>
      <c r="Q173">
        <f>ROUND(Table1[[#This Row],[dass21_raw_score]],0)</f>
        <v>25</v>
      </c>
      <c r="R173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73">
        <v>1.3827364</v>
      </c>
      <c r="T173">
        <v>2.4776463999999998</v>
      </c>
      <c r="U173">
        <v>3000</v>
      </c>
      <c r="V173" s="1">
        <f>ROUND(Table1[[#This Row],[fmpce]],0)</f>
        <v>3000</v>
      </c>
      <c r="W173">
        <v>40.813994999999998</v>
      </c>
      <c r="X173" s="4">
        <f>Table1[[#This Row],[mpce]]*89</f>
        <v>3632.4455549999998</v>
      </c>
      <c r="Y173" s="2" t="s">
        <v>32</v>
      </c>
      <c r="Z173" s="3">
        <f>VLOOKUP(Y173, rmpce_reference!$B$1:$D$7,3,FALSE) * 89</f>
        <v>4450</v>
      </c>
      <c r="AA173" s="1" t="str">
        <f>IF(Table1[rmpce_inr]&lt;=rmpce_reference!$F$2, "Low Income", IF(Table1[rmpce_inr]&lt;=rmpce_reference!$F$3, "Middle Income", "High Income"))</f>
        <v>Low Income</v>
      </c>
    </row>
    <row r="174" spans="1:27" x14ac:dyDescent="0.25">
      <c r="A174">
        <v>1173</v>
      </c>
      <c r="B174" t="s">
        <v>20</v>
      </c>
      <c r="C174" t="s">
        <v>29</v>
      </c>
      <c r="D174">
        <v>38</v>
      </c>
      <c r="E174" t="s">
        <v>25</v>
      </c>
      <c r="F174" t="s">
        <v>30</v>
      </c>
      <c r="G174">
        <v>30</v>
      </c>
      <c r="H174" s="1" t="str">
        <f>IF(Table1[[#This Row],[anxiety_score]]&lt;=10, "Normal", IF(Table1[[#This Row],[anxiety_score]]&lt;=20, "Moderate", IF(Table1[[#This Row],[anxiety_score]]&lt;=30, "Severe", "Extremely Severe")))</f>
        <v>Severe</v>
      </c>
      <c r="I174">
        <v>2.0022465999999999</v>
      </c>
      <c r="J174">
        <v>24</v>
      </c>
      <c r="K174" s="1" t="str">
        <f>IF(Table1[[#This Row],[stress_score]]&lt;=10, "Normal", IF(Table1[[#This Row],[stress_score]]&lt;=20, "Moderate", IF(Table1[[#This Row],[stress_score]]&lt;=30, "Severe", "Extremely Severe")))</f>
        <v>Severe</v>
      </c>
      <c r="L174">
        <v>1.1734637999999999</v>
      </c>
      <c r="M174">
        <v>18</v>
      </c>
      <c r="N174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174">
        <v>0.62490060000000003</v>
      </c>
      <c r="P174">
        <v>24</v>
      </c>
      <c r="Q174">
        <f>ROUND(Table1[[#This Row],[dass21_raw_score]],0)</f>
        <v>24</v>
      </c>
      <c r="R174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74">
        <v>1.2668704</v>
      </c>
      <c r="T174">
        <v>2.3617802000000001</v>
      </c>
      <c r="U174">
        <v>3250</v>
      </c>
      <c r="V174" s="1">
        <f>ROUND(Table1[[#This Row],[fmpce]],0)</f>
        <v>3250</v>
      </c>
      <c r="W174">
        <v>44.215159999999997</v>
      </c>
      <c r="X174" s="4">
        <f>Table1[[#This Row],[mpce]]*89</f>
        <v>3935.1492399999997</v>
      </c>
      <c r="Y174" s="2" t="s">
        <v>32</v>
      </c>
      <c r="Z174" s="3">
        <f>VLOOKUP(Y174, rmpce_reference!$B$1:$D$7,3,FALSE) * 89</f>
        <v>4450</v>
      </c>
      <c r="AA174" s="1" t="str">
        <f>IF(Table1[rmpce_inr]&lt;=rmpce_reference!$F$2, "Low Income", IF(Table1[rmpce_inr]&lt;=rmpce_reference!$F$3, "Middle Income", "High Income"))</f>
        <v>Low Income</v>
      </c>
    </row>
    <row r="175" spans="1:27" x14ac:dyDescent="0.25">
      <c r="A175">
        <v>1174</v>
      </c>
      <c r="B175" t="s">
        <v>20</v>
      </c>
      <c r="C175" t="s">
        <v>21</v>
      </c>
      <c r="D175">
        <v>43</v>
      </c>
      <c r="E175" t="s">
        <v>25</v>
      </c>
      <c r="F175" t="s">
        <v>26</v>
      </c>
      <c r="G175">
        <v>22</v>
      </c>
      <c r="H175" s="1" t="str">
        <f>IF(Table1[[#This Row],[anxiety_score]]&lt;=10, "Normal", IF(Table1[[#This Row],[anxiety_score]]&lt;=20, "Moderate", IF(Table1[[#This Row],[anxiety_score]]&lt;=30, "Severe", "Extremely Severe")))</f>
        <v>Severe</v>
      </c>
      <c r="I175">
        <v>1.1980683000000001</v>
      </c>
      <c r="J175">
        <v>26</v>
      </c>
      <c r="K175" s="1" t="str">
        <f>IF(Table1[[#This Row],[stress_score]]&lt;=10, "Normal", IF(Table1[[#This Row],[stress_score]]&lt;=20, "Moderate", IF(Table1[[#This Row],[stress_score]]&lt;=30, "Severe", "Extremely Severe")))</f>
        <v>Severe</v>
      </c>
      <c r="L175">
        <v>1.3681251000000001</v>
      </c>
      <c r="M175">
        <v>30</v>
      </c>
      <c r="N175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175">
        <v>1.7807249999999999</v>
      </c>
      <c r="P175">
        <v>26</v>
      </c>
      <c r="Q175">
        <f>ROUND(Table1[[#This Row],[dass21_raw_score]],0)</f>
        <v>26</v>
      </c>
      <c r="R175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75">
        <v>1.4489727999999999</v>
      </c>
      <c r="T175">
        <v>2.5438828</v>
      </c>
      <c r="U175">
        <v>2600</v>
      </c>
      <c r="V175" s="1">
        <f>ROUND(Table1[[#This Row],[fmpce]],0)</f>
        <v>2600</v>
      </c>
      <c r="W175">
        <v>35.372127999999996</v>
      </c>
      <c r="X175" s="4">
        <f>Table1[[#This Row],[mpce]]*89</f>
        <v>3148.1193919999996</v>
      </c>
      <c r="Y175" s="2" t="s">
        <v>34</v>
      </c>
      <c r="Z175" s="3">
        <f>VLOOKUP(Y175, rmpce_reference!$B$1:$D$7,3,FALSE) * 89</f>
        <v>2848</v>
      </c>
      <c r="AA175" s="1" t="str">
        <f>IF(Table1[rmpce_inr]&lt;=rmpce_reference!$F$2, "Low Income", IF(Table1[rmpce_inr]&lt;=rmpce_reference!$F$3, "Middle Income", "High Income"))</f>
        <v>Low Income</v>
      </c>
    </row>
    <row r="176" spans="1:27" x14ac:dyDescent="0.25">
      <c r="A176">
        <v>1175</v>
      </c>
      <c r="B176" t="s">
        <v>20</v>
      </c>
      <c r="C176" t="s">
        <v>29</v>
      </c>
      <c r="D176">
        <v>32</v>
      </c>
      <c r="E176" t="s">
        <v>25</v>
      </c>
      <c r="F176" t="s">
        <v>26</v>
      </c>
      <c r="G176">
        <v>28</v>
      </c>
      <c r="H176" s="1" t="str">
        <f>IF(Table1[[#This Row],[anxiety_score]]&lt;=10, "Normal", IF(Table1[[#This Row],[anxiety_score]]&lt;=20, "Moderate", IF(Table1[[#This Row],[anxiety_score]]&lt;=30, "Severe", "Extremely Severe")))</f>
        <v>Severe</v>
      </c>
      <c r="I176">
        <v>1.801202</v>
      </c>
      <c r="J176">
        <v>30</v>
      </c>
      <c r="K176" s="1" t="str">
        <f>IF(Table1[[#This Row],[stress_score]]&lt;=10, "Normal", IF(Table1[[#This Row],[stress_score]]&lt;=20, "Moderate", IF(Table1[[#This Row],[stress_score]]&lt;=30, "Severe", "Extremely Severe")))</f>
        <v>Severe</v>
      </c>
      <c r="L176">
        <v>1.7574476000000001</v>
      </c>
      <c r="M176">
        <v>28</v>
      </c>
      <c r="N176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176">
        <v>1.5880875999999999</v>
      </c>
      <c r="P176">
        <v>28.666665999999999</v>
      </c>
      <c r="Q176">
        <f>ROUND(Table1[[#This Row],[dass21_raw_score]],0)</f>
        <v>29</v>
      </c>
      <c r="R176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76">
        <v>1.715579</v>
      </c>
      <c r="T176">
        <v>2.810489</v>
      </c>
      <c r="U176">
        <v>4000</v>
      </c>
      <c r="V176" s="1">
        <f>ROUND(Table1[[#This Row],[fmpce]],0)</f>
        <v>4000</v>
      </c>
      <c r="W176">
        <v>54.418660000000003</v>
      </c>
      <c r="X176" s="4">
        <f>Table1[[#This Row],[mpce]]*89</f>
        <v>4843.2607400000006</v>
      </c>
      <c r="Y176" s="2" t="s">
        <v>32</v>
      </c>
      <c r="Z176" s="3">
        <f>VLOOKUP(Y176, rmpce_reference!$B$1:$D$7,3,FALSE) * 89</f>
        <v>4450</v>
      </c>
      <c r="AA176" s="1" t="str">
        <f>IF(Table1[rmpce_inr]&lt;=rmpce_reference!$F$2, "Low Income", IF(Table1[rmpce_inr]&lt;=rmpce_reference!$F$3, "Middle Income", "High Income"))</f>
        <v>Low Income</v>
      </c>
    </row>
    <row r="177" spans="1:27" x14ac:dyDescent="0.25">
      <c r="A177">
        <v>1176</v>
      </c>
      <c r="B177" t="s">
        <v>20</v>
      </c>
      <c r="C177" t="s">
        <v>33</v>
      </c>
      <c r="D177">
        <v>28</v>
      </c>
      <c r="E177" t="s">
        <v>25</v>
      </c>
      <c r="F177" t="s">
        <v>26</v>
      </c>
      <c r="G177">
        <v>20</v>
      </c>
      <c r="H177" s="1" t="str">
        <f>IF(Table1[[#This Row],[anxiety_score]]&lt;=10, "Normal", IF(Table1[[#This Row],[anxiety_score]]&lt;=20, "Moderate", IF(Table1[[#This Row],[anxiety_score]]&lt;=30, "Severe", "Extremely Severe")))</f>
        <v>Moderate</v>
      </c>
      <c r="I177">
        <v>0.99702360000000001</v>
      </c>
      <c r="J177">
        <v>32</v>
      </c>
      <c r="K177" s="1" t="str">
        <f>IF(Table1[[#This Row],[stress_score]]&lt;=10, "Normal", IF(Table1[[#This Row],[stress_score]]&lt;=20, "Moderate", IF(Table1[[#This Row],[stress_score]]&lt;=30, "Severe", "Extremely Severe")))</f>
        <v>Extremely Severe</v>
      </c>
      <c r="L177">
        <v>1.9521089</v>
      </c>
      <c r="M177">
        <v>34</v>
      </c>
      <c r="N177" s="1" t="str">
        <f>IF(Table1[[#This Row],[depression_score]]&lt;=10, "Normal", IF(Table1[[#This Row],[depression_score]]&lt;=20, "Moderate", IF(Table1[[#This Row],[depression_score]]&lt;=30, "Severe", "Extremely Severe")))</f>
        <v>Extremely Severe</v>
      </c>
      <c r="O177">
        <v>2.1659999999999999</v>
      </c>
      <c r="P177">
        <v>28.666665999999999</v>
      </c>
      <c r="Q177">
        <f>ROUND(Table1[[#This Row],[dass21_raw_score]],0)</f>
        <v>29</v>
      </c>
      <c r="R177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77">
        <v>1.7050441999999999</v>
      </c>
      <c r="T177">
        <v>2.7999540000000001</v>
      </c>
      <c r="U177">
        <v>4250</v>
      </c>
      <c r="V177" s="1">
        <f>ROUND(Table1[[#This Row],[fmpce]],0)</f>
        <v>4250</v>
      </c>
      <c r="W177">
        <v>57.819823999999997</v>
      </c>
      <c r="X177" s="4">
        <f>Table1[[#This Row],[mpce]]*89</f>
        <v>5145.964336</v>
      </c>
      <c r="Y177" s="2" t="s">
        <v>32</v>
      </c>
      <c r="Z177" s="3">
        <f>VLOOKUP(Y177, rmpce_reference!$B$1:$D$7,3,FALSE) * 89</f>
        <v>4450</v>
      </c>
      <c r="AA177" s="1" t="str">
        <f>IF(Table1[rmpce_inr]&lt;=rmpce_reference!$F$2, "Low Income", IF(Table1[rmpce_inr]&lt;=rmpce_reference!$F$3, "Middle Income", "High Income"))</f>
        <v>Low Income</v>
      </c>
    </row>
    <row r="178" spans="1:27" x14ac:dyDescent="0.25">
      <c r="A178">
        <v>1177</v>
      </c>
      <c r="B178" t="s">
        <v>20</v>
      </c>
      <c r="C178" t="s">
        <v>29</v>
      </c>
      <c r="D178">
        <v>36</v>
      </c>
      <c r="E178" t="s">
        <v>25</v>
      </c>
      <c r="F178" t="s">
        <v>26</v>
      </c>
      <c r="G178">
        <v>24</v>
      </c>
      <c r="H178" s="1" t="str">
        <f>IF(Table1[[#This Row],[anxiety_score]]&lt;=10, "Normal", IF(Table1[[#This Row],[anxiety_score]]&lt;=20, "Moderate", IF(Table1[[#This Row],[anxiety_score]]&lt;=30, "Severe", "Extremely Severe")))</f>
        <v>Severe</v>
      </c>
      <c r="I178">
        <v>1.3991127999999999</v>
      </c>
      <c r="J178">
        <v>24</v>
      </c>
      <c r="K178" s="1" t="str">
        <f>IF(Table1[[#This Row],[stress_score]]&lt;=10, "Normal", IF(Table1[[#This Row],[stress_score]]&lt;=20, "Moderate", IF(Table1[[#This Row],[stress_score]]&lt;=30, "Severe", "Extremely Severe")))</f>
        <v>Severe</v>
      </c>
      <c r="L178">
        <v>1.1734637999999999</v>
      </c>
      <c r="M178">
        <v>32</v>
      </c>
      <c r="N178" s="1" t="str">
        <f>IF(Table1[[#This Row],[depression_score]]&lt;=10, "Normal", IF(Table1[[#This Row],[depression_score]]&lt;=20, "Moderate", IF(Table1[[#This Row],[depression_score]]&lt;=30, "Severe", "Extremely Severe")))</f>
        <v>Extremely Severe</v>
      </c>
      <c r="O178">
        <v>1.9733623</v>
      </c>
      <c r="P178">
        <v>26.666665999999999</v>
      </c>
      <c r="Q178">
        <f>ROUND(Table1[[#This Row],[dass21_raw_score]],0)</f>
        <v>27</v>
      </c>
      <c r="R178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78">
        <v>1.5153129999999999</v>
      </c>
      <c r="T178">
        <v>2.6102227999999998</v>
      </c>
      <c r="U178">
        <v>4500</v>
      </c>
      <c r="V178" s="1">
        <f>ROUND(Table1[[#This Row],[fmpce]],0)</f>
        <v>4500</v>
      </c>
      <c r="W178">
        <v>61.220993</v>
      </c>
      <c r="X178" s="4">
        <f>Table1[[#This Row],[mpce]]*89</f>
        <v>5448.668377</v>
      </c>
      <c r="Y178" s="2" t="s">
        <v>28</v>
      </c>
      <c r="Z178" s="3">
        <f>VLOOKUP(Y178, rmpce_reference!$B$1:$D$7,3,FALSE) * 89</f>
        <v>6230</v>
      </c>
      <c r="AA178" s="1" t="str">
        <f>IF(Table1[rmpce_inr]&lt;=rmpce_reference!$F$2, "Low Income", IF(Table1[rmpce_inr]&lt;=rmpce_reference!$F$3, "Middle Income", "High Income"))</f>
        <v>Middle Income</v>
      </c>
    </row>
    <row r="179" spans="1:27" x14ac:dyDescent="0.25">
      <c r="A179">
        <v>1178</v>
      </c>
      <c r="B179" t="s">
        <v>20</v>
      </c>
      <c r="C179" t="s">
        <v>33</v>
      </c>
      <c r="D179">
        <v>26</v>
      </c>
      <c r="E179" t="s">
        <v>25</v>
      </c>
      <c r="F179" t="s">
        <v>38</v>
      </c>
      <c r="G179">
        <v>28</v>
      </c>
      <c r="H179" s="1" t="str">
        <f>IF(Table1[[#This Row],[anxiety_score]]&lt;=10, "Normal", IF(Table1[[#This Row],[anxiety_score]]&lt;=20, "Moderate", IF(Table1[[#This Row],[anxiety_score]]&lt;=30, "Severe", "Extremely Severe")))</f>
        <v>Severe</v>
      </c>
      <c r="I179">
        <v>1.801202</v>
      </c>
      <c r="J179">
        <v>28</v>
      </c>
      <c r="K179" s="1" t="str">
        <f>IF(Table1[[#This Row],[stress_score]]&lt;=10, "Normal", IF(Table1[[#This Row],[stress_score]]&lt;=20, "Moderate", IF(Table1[[#This Row],[stress_score]]&lt;=30, "Severe", "Extremely Severe")))</f>
        <v>Severe</v>
      </c>
      <c r="L179">
        <v>1.5627863</v>
      </c>
      <c r="M179">
        <v>32</v>
      </c>
      <c r="N179" s="1" t="str">
        <f>IF(Table1[[#This Row],[depression_score]]&lt;=10, "Normal", IF(Table1[[#This Row],[depression_score]]&lt;=20, "Moderate", IF(Table1[[#This Row],[depression_score]]&lt;=30, "Severe", "Extremely Severe")))</f>
        <v>Extremely Severe</v>
      </c>
      <c r="O179">
        <v>1.9733623</v>
      </c>
      <c r="P179">
        <v>29.333334000000001</v>
      </c>
      <c r="Q179">
        <f>ROUND(Table1[[#This Row],[dass21_raw_score]],0)</f>
        <v>29</v>
      </c>
      <c r="R179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79">
        <v>1.7791169</v>
      </c>
      <c r="T179">
        <v>2.8740268000000002</v>
      </c>
      <c r="U179">
        <v>3200</v>
      </c>
      <c r="V179" s="1">
        <f>ROUND(Table1[[#This Row],[fmpce]],0)</f>
        <v>3200</v>
      </c>
      <c r="W179">
        <v>43.534927000000003</v>
      </c>
      <c r="X179" s="4">
        <f>Table1[[#This Row],[mpce]]*89</f>
        <v>3874.6085030000004</v>
      </c>
      <c r="Y179" s="2" t="s">
        <v>32</v>
      </c>
      <c r="Z179" s="3">
        <f>VLOOKUP(Y179, rmpce_reference!$B$1:$D$7,3,FALSE) * 89</f>
        <v>4450</v>
      </c>
      <c r="AA179" s="1" t="str">
        <f>IF(Table1[rmpce_inr]&lt;=rmpce_reference!$F$2, "Low Income", IF(Table1[rmpce_inr]&lt;=rmpce_reference!$F$3, "Middle Income", "High Income"))</f>
        <v>Low Income</v>
      </c>
    </row>
    <row r="180" spans="1:27" x14ac:dyDescent="0.25">
      <c r="A180">
        <v>1179</v>
      </c>
      <c r="B180" t="s">
        <v>20</v>
      </c>
      <c r="C180" t="s">
        <v>33</v>
      </c>
      <c r="D180">
        <v>26</v>
      </c>
      <c r="E180" t="s">
        <v>25</v>
      </c>
      <c r="F180" t="s">
        <v>30</v>
      </c>
      <c r="G180">
        <v>28</v>
      </c>
      <c r="H180" s="1" t="str">
        <f>IF(Table1[[#This Row],[anxiety_score]]&lt;=10, "Normal", IF(Table1[[#This Row],[anxiety_score]]&lt;=20, "Moderate", IF(Table1[[#This Row],[anxiety_score]]&lt;=30, "Severe", "Extremely Severe")))</f>
        <v>Severe</v>
      </c>
      <c r="I180">
        <v>1.801202</v>
      </c>
      <c r="J180">
        <v>22</v>
      </c>
      <c r="K180" s="1" t="str">
        <f>IF(Table1[[#This Row],[stress_score]]&lt;=10, "Normal", IF(Table1[[#This Row],[stress_score]]&lt;=20, "Moderate", IF(Table1[[#This Row],[stress_score]]&lt;=30, "Severe", "Extremely Severe")))</f>
        <v>Severe</v>
      </c>
      <c r="L180">
        <v>0.97880255999999999</v>
      </c>
      <c r="M180">
        <v>28</v>
      </c>
      <c r="N180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180">
        <v>1.5880875999999999</v>
      </c>
      <c r="P180">
        <v>26</v>
      </c>
      <c r="Q180">
        <f>ROUND(Table1[[#This Row],[dass21_raw_score]],0)</f>
        <v>26</v>
      </c>
      <c r="R180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80">
        <v>1.4560306999999999</v>
      </c>
      <c r="T180">
        <v>2.5509404999999998</v>
      </c>
      <c r="U180">
        <v>2800</v>
      </c>
      <c r="V180" s="1">
        <f>ROUND(Table1[[#This Row],[fmpce]],0)</f>
        <v>2800</v>
      </c>
      <c r="W180">
        <v>38.093060000000001</v>
      </c>
      <c r="X180" s="4">
        <f>Table1[[#This Row],[mpce]]*89</f>
        <v>3390.2823400000002</v>
      </c>
      <c r="Y180" s="2" t="s">
        <v>34</v>
      </c>
      <c r="Z180" s="3">
        <f>VLOOKUP(Y180, rmpce_reference!$B$1:$D$7,3,FALSE) * 89</f>
        <v>2848</v>
      </c>
      <c r="AA180" s="1" t="str">
        <f>IF(Table1[rmpce_inr]&lt;=rmpce_reference!$F$2, "Low Income", IF(Table1[rmpce_inr]&lt;=rmpce_reference!$F$3, "Middle Income", "High Income"))</f>
        <v>Low Income</v>
      </c>
    </row>
    <row r="181" spans="1:27" x14ac:dyDescent="0.25">
      <c r="A181">
        <v>1180</v>
      </c>
      <c r="B181" t="s">
        <v>20</v>
      </c>
      <c r="C181" t="s">
        <v>21</v>
      </c>
      <c r="D181">
        <v>43</v>
      </c>
      <c r="E181" t="s">
        <v>25</v>
      </c>
      <c r="F181" t="s">
        <v>30</v>
      </c>
      <c r="G181">
        <v>24</v>
      </c>
      <c r="H181" s="1" t="str">
        <f>IF(Table1[[#This Row],[anxiety_score]]&lt;=10, "Normal", IF(Table1[[#This Row],[anxiety_score]]&lt;=20, "Moderate", IF(Table1[[#This Row],[anxiety_score]]&lt;=30, "Severe", "Extremely Severe")))</f>
        <v>Severe</v>
      </c>
      <c r="I181">
        <v>1.3991127999999999</v>
      </c>
      <c r="J181">
        <v>26</v>
      </c>
      <c r="K181" s="1" t="str">
        <f>IF(Table1[[#This Row],[stress_score]]&lt;=10, "Normal", IF(Table1[[#This Row],[stress_score]]&lt;=20, "Moderate", IF(Table1[[#This Row],[stress_score]]&lt;=30, "Severe", "Extremely Severe")))</f>
        <v>Severe</v>
      </c>
      <c r="L181">
        <v>1.3681251000000001</v>
      </c>
      <c r="M181">
        <v>20</v>
      </c>
      <c r="N181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181">
        <v>0.81753799999999999</v>
      </c>
      <c r="P181">
        <v>23.333334000000001</v>
      </c>
      <c r="Q181">
        <f>ROUND(Table1[[#This Row],[dass21_raw_score]],0)</f>
        <v>23</v>
      </c>
      <c r="R181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81">
        <v>1.1949253</v>
      </c>
      <c r="T181">
        <v>2.2898352000000002</v>
      </c>
      <c r="U181">
        <v>3200</v>
      </c>
      <c r="V181" s="1">
        <f>ROUND(Table1[[#This Row],[fmpce]],0)</f>
        <v>3200</v>
      </c>
      <c r="W181">
        <v>43.534927000000003</v>
      </c>
      <c r="X181" s="4">
        <f>Table1[[#This Row],[mpce]]*89</f>
        <v>3874.6085030000004</v>
      </c>
      <c r="Y181" s="2" t="s">
        <v>32</v>
      </c>
      <c r="Z181" s="3">
        <f>VLOOKUP(Y181, rmpce_reference!$B$1:$D$7,3,FALSE) * 89</f>
        <v>4450</v>
      </c>
      <c r="AA181" s="1" t="str">
        <f>IF(Table1[rmpce_inr]&lt;=rmpce_reference!$F$2, "Low Income", IF(Table1[rmpce_inr]&lt;=rmpce_reference!$F$3, "Middle Income", "High Income"))</f>
        <v>Low Income</v>
      </c>
    </row>
    <row r="182" spans="1:27" x14ac:dyDescent="0.25">
      <c r="A182">
        <v>1181</v>
      </c>
      <c r="B182" t="s">
        <v>20</v>
      </c>
      <c r="C182" t="s">
        <v>33</v>
      </c>
      <c r="D182">
        <v>26</v>
      </c>
      <c r="E182" t="s">
        <v>25</v>
      </c>
      <c r="F182" t="s">
        <v>38</v>
      </c>
      <c r="G182">
        <v>20</v>
      </c>
      <c r="H182" s="1" t="str">
        <f>IF(Table1[[#This Row],[anxiety_score]]&lt;=10, "Normal", IF(Table1[[#This Row],[anxiety_score]]&lt;=20, "Moderate", IF(Table1[[#This Row],[anxiety_score]]&lt;=30, "Severe", "Extremely Severe")))</f>
        <v>Moderate</v>
      </c>
      <c r="I182">
        <v>0.99702360000000001</v>
      </c>
      <c r="J182">
        <v>22</v>
      </c>
      <c r="K182" s="1" t="str">
        <f>IF(Table1[[#This Row],[stress_score]]&lt;=10, "Normal", IF(Table1[[#This Row],[stress_score]]&lt;=20, "Moderate", IF(Table1[[#This Row],[stress_score]]&lt;=30, "Severe", "Extremely Severe")))</f>
        <v>Severe</v>
      </c>
      <c r="L182">
        <v>0.97880255999999999</v>
      </c>
      <c r="M182">
        <v>26</v>
      </c>
      <c r="N182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182">
        <v>1.3954502</v>
      </c>
      <c r="P182">
        <v>22.666665999999999</v>
      </c>
      <c r="Q182">
        <f>ROUND(Table1[[#This Row],[dass21_raw_score]],0)</f>
        <v>23</v>
      </c>
      <c r="R182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82">
        <v>1.1237588000000001</v>
      </c>
      <c r="T182">
        <v>2.2186686999999998</v>
      </c>
      <c r="U182">
        <v>2571.4285</v>
      </c>
      <c r="V182" s="1">
        <f>ROUND(Table1[[#This Row],[fmpce]],0)</f>
        <v>2571</v>
      </c>
      <c r="W182">
        <v>34.983420000000002</v>
      </c>
      <c r="X182" s="4">
        <f>Table1[[#This Row],[mpce]]*89</f>
        <v>3113.5243800000003</v>
      </c>
      <c r="Y182" s="2" t="s">
        <v>34</v>
      </c>
      <c r="Z182" s="3">
        <f>VLOOKUP(Y182, rmpce_reference!$B$1:$D$7,3,FALSE) * 89</f>
        <v>2848</v>
      </c>
      <c r="AA182" s="1" t="str">
        <f>IF(Table1[rmpce_inr]&lt;=rmpce_reference!$F$2, "Low Income", IF(Table1[rmpce_inr]&lt;=rmpce_reference!$F$3, "Middle Income", "High Income"))</f>
        <v>Low Income</v>
      </c>
    </row>
    <row r="183" spans="1:27" x14ac:dyDescent="0.25">
      <c r="A183">
        <v>1182</v>
      </c>
      <c r="B183" t="s">
        <v>20</v>
      </c>
      <c r="C183" t="s">
        <v>21</v>
      </c>
      <c r="D183">
        <v>43</v>
      </c>
      <c r="E183" t="s">
        <v>25</v>
      </c>
      <c r="F183" t="s">
        <v>26</v>
      </c>
      <c r="G183">
        <v>30</v>
      </c>
      <c r="H183" s="1" t="str">
        <f>IF(Table1[[#This Row],[anxiety_score]]&lt;=10, "Normal", IF(Table1[[#This Row],[anxiety_score]]&lt;=20, "Moderate", IF(Table1[[#This Row],[anxiety_score]]&lt;=30, "Severe", "Extremely Severe")))</f>
        <v>Severe</v>
      </c>
      <c r="I183">
        <v>2.0022465999999999</v>
      </c>
      <c r="J183">
        <v>26</v>
      </c>
      <c r="K183" s="1" t="str">
        <f>IF(Table1[[#This Row],[stress_score]]&lt;=10, "Normal", IF(Table1[[#This Row],[stress_score]]&lt;=20, "Moderate", IF(Table1[[#This Row],[stress_score]]&lt;=30, "Severe", "Extremely Severe")))</f>
        <v>Severe</v>
      </c>
      <c r="L183">
        <v>1.3681251000000001</v>
      </c>
      <c r="M183">
        <v>26</v>
      </c>
      <c r="N183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183">
        <v>1.3954502</v>
      </c>
      <c r="P183">
        <v>27.333334000000001</v>
      </c>
      <c r="Q183">
        <f>ROUND(Table1[[#This Row],[dass21_raw_score]],0)</f>
        <v>27</v>
      </c>
      <c r="R183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83">
        <v>1.5886073000000001</v>
      </c>
      <c r="T183">
        <v>2.6835171999999998</v>
      </c>
      <c r="U183">
        <v>3750</v>
      </c>
      <c r="V183" s="1">
        <f>ROUND(Table1[[#This Row],[fmpce]],0)</f>
        <v>3750</v>
      </c>
      <c r="W183">
        <v>51.017493999999999</v>
      </c>
      <c r="X183" s="4">
        <f>Table1[[#This Row],[mpce]]*89</f>
        <v>4540.5569660000001</v>
      </c>
      <c r="Y183" s="2" t="s">
        <v>32</v>
      </c>
      <c r="Z183" s="3">
        <f>VLOOKUP(Y183, rmpce_reference!$B$1:$D$7,3,FALSE) * 89</f>
        <v>4450</v>
      </c>
      <c r="AA183" s="1" t="str">
        <f>IF(Table1[rmpce_inr]&lt;=rmpce_reference!$F$2, "Low Income", IF(Table1[rmpce_inr]&lt;=rmpce_reference!$F$3, "Middle Income", "High Income"))</f>
        <v>Low Income</v>
      </c>
    </row>
    <row r="184" spans="1:27" x14ac:dyDescent="0.25">
      <c r="A184">
        <v>1183</v>
      </c>
      <c r="B184" t="s">
        <v>20</v>
      </c>
      <c r="C184" t="s">
        <v>33</v>
      </c>
      <c r="D184">
        <v>27</v>
      </c>
      <c r="E184" t="s">
        <v>25</v>
      </c>
      <c r="F184" t="s">
        <v>30</v>
      </c>
      <c r="G184">
        <v>28</v>
      </c>
      <c r="H184" s="1" t="str">
        <f>IF(Table1[[#This Row],[anxiety_score]]&lt;=10, "Normal", IF(Table1[[#This Row],[anxiety_score]]&lt;=20, "Moderate", IF(Table1[[#This Row],[anxiety_score]]&lt;=30, "Severe", "Extremely Severe")))</f>
        <v>Severe</v>
      </c>
      <c r="I184">
        <v>1.801202</v>
      </c>
      <c r="J184">
        <v>24</v>
      </c>
      <c r="K184" s="1" t="str">
        <f>IF(Table1[[#This Row],[stress_score]]&lt;=10, "Normal", IF(Table1[[#This Row],[stress_score]]&lt;=20, "Moderate", IF(Table1[[#This Row],[stress_score]]&lt;=30, "Severe", "Extremely Severe")))</f>
        <v>Severe</v>
      </c>
      <c r="L184">
        <v>1.1734637999999999</v>
      </c>
      <c r="M184">
        <v>32</v>
      </c>
      <c r="N184" s="1" t="str">
        <f>IF(Table1[[#This Row],[depression_score]]&lt;=10, "Normal", IF(Table1[[#This Row],[depression_score]]&lt;=20, "Moderate", IF(Table1[[#This Row],[depression_score]]&lt;=30, "Severe", "Extremely Severe")))</f>
        <v>Extremely Severe</v>
      </c>
      <c r="O184">
        <v>1.9733623</v>
      </c>
      <c r="P184">
        <v>28</v>
      </c>
      <c r="Q184">
        <f>ROUND(Table1[[#This Row],[dass21_raw_score]],0)</f>
        <v>28</v>
      </c>
      <c r="R184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84">
        <v>1.6493428000000001</v>
      </c>
      <c r="T184">
        <v>2.7442527000000001</v>
      </c>
      <c r="U184">
        <v>3000</v>
      </c>
      <c r="V184" s="1">
        <f>ROUND(Table1[[#This Row],[fmpce]],0)</f>
        <v>3000</v>
      </c>
      <c r="W184">
        <v>40.813994999999998</v>
      </c>
      <c r="X184" s="4">
        <f>Table1[[#This Row],[mpce]]*89</f>
        <v>3632.4455549999998</v>
      </c>
      <c r="Y184" s="2" t="s">
        <v>32</v>
      </c>
      <c r="Z184" s="3">
        <f>VLOOKUP(Y184, rmpce_reference!$B$1:$D$7,3,FALSE) * 89</f>
        <v>4450</v>
      </c>
      <c r="AA184" s="1" t="str">
        <f>IF(Table1[rmpce_inr]&lt;=rmpce_reference!$F$2, "Low Income", IF(Table1[rmpce_inr]&lt;=rmpce_reference!$F$3, "Middle Income", "High Income"))</f>
        <v>Low Income</v>
      </c>
    </row>
    <row r="185" spans="1:27" x14ac:dyDescent="0.25">
      <c r="A185">
        <v>1184</v>
      </c>
      <c r="B185" t="s">
        <v>20</v>
      </c>
      <c r="C185" t="s">
        <v>33</v>
      </c>
      <c r="D185">
        <v>30</v>
      </c>
      <c r="E185" t="s">
        <v>25</v>
      </c>
      <c r="F185" t="s">
        <v>26</v>
      </c>
      <c r="G185">
        <v>32</v>
      </c>
      <c r="H185" s="1" t="str">
        <f>IF(Table1[[#This Row],[anxiety_score]]&lt;=10, "Normal", IF(Table1[[#This Row],[anxiety_score]]&lt;=20, "Moderate", IF(Table1[[#This Row],[anxiety_score]]&lt;=30, "Severe", "Extremely Severe")))</f>
        <v>Extremely Severe</v>
      </c>
      <c r="I185">
        <v>2.2032911999999998</v>
      </c>
      <c r="J185">
        <v>26</v>
      </c>
      <c r="K185" s="1" t="str">
        <f>IF(Table1[[#This Row],[stress_score]]&lt;=10, "Normal", IF(Table1[[#This Row],[stress_score]]&lt;=20, "Moderate", IF(Table1[[#This Row],[stress_score]]&lt;=30, "Severe", "Extremely Severe")))</f>
        <v>Severe</v>
      </c>
      <c r="L185">
        <v>1.3681251000000001</v>
      </c>
      <c r="M185">
        <v>26</v>
      </c>
      <c r="N185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185">
        <v>1.3954502</v>
      </c>
      <c r="P185">
        <v>28</v>
      </c>
      <c r="Q185">
        <f>ROUND(Table1[[#This Row],[dass21_raw_score]],0)</f>
        <v>28</v>
      </c>
      <c r="R185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85">
        <v>1.6556221</v>
      </c>
      <c r="T185">
        <v>2.7505321999999999</v>
      </c>
      <c r="U185">
        <v>2666.6667000000002</v>
      </c>
      <c r="V185" s="1">
        <f>ROUND(Table1[[#This Row],[fmpce]],0)</f>
        <v>2667</v>
      </c>
      <c r="W185">
        <v>36.279105999999999</v>
      </c>
      <c r="X185" s="4">
        <f>Table1[[#This Row],[mpce]]*89</f>
        <v>3228.8404339999997</v>
      </c>
      <c r="Y185" s="2" t="s">
        <v>34</v>
      </c>
      <c r="Z185" s="3">
        <f>VLOOKUP(Y185, rmpce_reference!$B$1:$D$7,3,FALSE) * 89</f>
        <v>2848</v>
      </c>
      <c r="AA185" s="1" t="str">
        <f>IF(Table1[rmpce_inr]&lt;=rmpce_reference!$F$2, "Low Income", IF(Table1[rmpce_inr]&lt;=rmpce_reference!$F$3, "Middle Income", "High Income"))</f>
        <v>Low Income</v>
      </c>
    </row>
    <row r="186" spans="1:27" x14ac:dyDescent="0.25">
      <c r="A186">
        <v>1185</v>
      </c>
      <c r="B186" t="s">
        <v>20</v>
      </c>
      <c r="C186" t="s">
        <v>33</v>
      </c>
      <c r="D186">
        <v>28</v>
      </c>
      <c r="E186" t="s">
        <v>25</v>
      </c>
      <c r="F186" t="s">
        <v>26</v>
      </c>
      <c r="G186">
        <v>20</v>
      </c>
      <c r="H186" s="1" t="str">
        <f>IF(Table1[[#This Row],[anxiety_score]]&lt;=10, "Normal", IF(Table1[[#This Row],[anxiety_score]]&lt;=20, "Moderate", IF(Table1[[#This Row],[anxiety_score]]&lt;=30, "Severe", "Extremely Severe")))</f>
        <v>Moderate</v>
      </c>
      <c r="I186">
        <v>0.99702360000000001</v>
      </c>
      <c r="J186">
        <v>20</v>
      </c>
      <c r="K186" s="1" t="str">
        <f>IF(Table1[[#This Row],[stress_score]]&lt;=10, "Normal", IF(Table1[[#This Row],[stress_score]]&lt;=20, "Moderate", IF(Table1[[#This Row],[stress_score]]&lt;=30, "Severe", "Extremely Severe")))</f>
        <v>Moderate</v>
      </c>
      <c r="L186">
        <v>0.78414130000000004</v>
      </c>
      <c r="M186">
        <v>36</v>
      </c>
      <c r="N186" s="1" t="str">
        <f>IF(Table1[[#This Row],[depression_score]]&lt;=10, "Normal", IF(Table1[[#This Row],[depression_score]]&lt;=20, "Moderate", IF(Table1[[#This Row],[depression_score]]&lt;=30, "Severe", "Extremely Severe")))</f>
        <v>Extremely Severe</v>
      </c>
      <c r="O186">
        <v>2.3586369999999999</v>
      </c>
      <c r="P186">
        <v>25.333334000000001</v>
      </c>
      <c r="Q186">
        <f>ROUND(Table1[[#This Row],[dass21_raw_score]],0)</f>
        <v>25</v>
      </c>
      <c r="R186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86">
        <v>1.379934</v>
      </c>
      <c r="T186">
        <v>2.474844</v>
      </c>
      <c r="U186">
        <v>2666.6667000000002</v>
      </c>
      <c r="V186" s="1">
        <f>ROUND(Table1[[#This Row],[fmpce]],0)</f>
        <v>2667</v>
      </c>
      <c r="W186">
        <v>36.279105999999999</v>
      </c>
      <c r="X186" s="4">
        <f>Table1[[#This Row],[mpce]]*89</f>
        <v>3228.8404339999997</v>
      </c>
      <c r="Y186" s="2" t="s">
        <v>34</v>
      </c>
      <c r="Z186" s="3">
        <f>VLOOKUP(Y186, rmpce_reference!$B$1:$D$7,3,FALSE) * 89</f>
        <v>2848</v>
      </c>
      <c r="AA186" s="1" t="str">
        <f>IF(Table1[rmpce_inr]&lt;=rmpce_reference!$F$2, "Low Income", IF(Table1[rmpce_inr]&lt;=rmpce_reference!$F$3, "Middle Income", "High Income"))</f>
        <v>Low Income</v>
      </c>
    </row>
    <row r="187" spans="1:27" x14ac:dyDescent="0.25">
      <c r="A187">
        <v>1186</v>
      </c>
      <c r="B187" t="s">
        <v>20</v>
      </c>
      <c r="C187" t="s">
        <v>33</v>
      </c>
      <c r="D187">
        <v>29</v>
      </c>
      <c r="E187" t="s">
        <v>25</v>
      </c>
      <c r="F187" t="s">
        <v>30</v>
      </c>
      <c r="G187">
        <v>30</v>
      </c>
      <c r="H187" s="1" t="str">
        <f>IF(Table1[[#This Row],[anxiety_score]]&lt;=10, "Normal", IF(Table1[[#This Row],[anxiety_score]]&lt;=20, "Moderate", IF(Table1[[#This Row],[anxiety_score]]&lt;=30, "Severe", "Extremely Severe")))</f>
        <v>Severe</v>
      </c>
      <c r="I187">
        <v>2.0022465999999999</v>
      </c>
      <c r="J187">
        <v>28</v>
      </c>
      <c r="K187" s="1" t="str">
        <f>IF(Table1[[#This Row],[stress_score]]&lt;=10, "Normal", IF(Table1[[#This Row],[stress_score]]&lt;=20, "Moderate", IF(Table1[[#This Row],[stress_score]]&lt;=30, "Severe", "Extremely Severe")))</f>
        <v>Severe</v>
      </c>
      <c r="L187">
        <v>1.5627863</v>
      </c>
      <c r="M187">
        <v>24</v>
      </c>
      <c r="N187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187">
        <v>1.2028128</v>
      </c>
      <c r="P187">
        <v>27.333334000000001</v>
      </c>
      <c r="Q187">
        <f>ROUND(Table1[[#This Row],[dass21_raw_score]],0)</f>
        <v>27</v>
      </c>
      <c r="R187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87">
        <v>1.5892819</v>
      </c>
      <c r="T187">
        <v>2.6841917</v>
      </c>
      <c r="U187">
        <v>3000</v>
      </c>
      <c r="V187" s="1">
        <f>ROUND(Table1[[#This Row],[fmpce]],0)</f>
        <v>3000</v>
      </c>
      <c r="W187">
        <v>40.813994999999998</v>
      </c>
      <c r="X187" s="4">
        <f>Table1[[#This Row],[mpce]]*89</f>
        <v>3632.4455549999998</v>
      </c>
      <c r="Y187" s="2" t="s">
        <v>32</v>
      </c>
      <c r="Z187" s="3">
        <f>VLOOKUP(Y187, rmpce_reference!$B$1:$D$7,3,FALSE) * 89</f>
        <v>4450</v>
      </c>
      <c r="AA187" s="1" t="str">
        <f>IF(Table1[rmpce_inr]&lt;=rmpce_reference!$F$2, "Low Income", IF(Table1[rmpce_inr]&lt;=rmpce_reference!$F$3, "Middle Income", "High Income"))</f>
        <v>Low Income</v>
      </c>
    </row>
    <row r="188" spans="1:27" x14ac:dyDescent="0.25">
      <c r="A188">
        <v>1187</v>
      </c>
      <c r="B188" t="s">
        <v>20</v>
      </c>
      <c r="C188" t="s">
        <v>29</v>
      </c>
      <c r="D188">
        <v>33</v>
      </c>
      <c r="E188" t="s">
        <v>25</v>
      </c>
      <c r="F188" t="s">
        <v>30</v>
      </c>
      <c r="G188">
        <v>22</v>
      </c>
      <c r="H188" s="1" t="str">
        <f>IF(Table1[[#This Row],[anxiety_score]]&lt;=10, "Normal", IF(Table1[[#This Row],[anxiety_score]]&lt;=20, "Moderate", IF(Table1[[#This Row],[anxiety_score]]&lt;=30, "Severe", "Extremely Severe")))</f>
        <v>Severe</v>
      </c>
      <c r="I188">
        <v>1.1980683000000001</v>
      </c>
      <c r="J188">
        <v>30</v>
      </c>
      <c r="K188" s="1" t="str">
        <f>IF(Table1[[#This Row],[stress_score]]&lt;=10, "Normal", IF(Table1[[#This Row],[stress_score]]&lt;=20, "Moderate", IF(Table1[[#This Row],[stress_score]]&lt;=30, "Severe", "Extremely Severe")))</f>
        <v>Severe</v>
      </c>
      <c r="L188">
        <v>1.7574476000000001</v>
      </c>
      <c r="M188">
        <v>22</v>
      </c>
      <c r="N188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188">
        <v>1.0101753</v>
      </c>
      <c r="P188">
        <v>24.666665999999999</v>
      </c>
      <c r="Q188">
        <f>ROUND(Table1[[#This Row],[dass21_raw_score]],0)</f>
        <v>25</v>
      </c>
      <c r="R188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88">
        <v>1.3218970000000001</v>
      </c>
      <c r="T188">
        <v>2.4168069999999999</v>
      </c>
      <c r="U188">
        <v>4250</v>
      </c>
      <c r="V188" s="1">
        <f>ROUND(Table1[[#This Row],[fmpce]],0)</f>
        <v>4250</v>
      </c>
      <c r="W188">
        <v>57.819823999999997</v>
      </c>
      <c r="X188" s="4">
        <f>Table1[[#This Row],[mpce]]*89</f>
        <v>5145.964336</v>
      </c>
      <c r="Y188" s="2" t="s">
        <v>32</v>
      </c>
      <c r="Z188" s="3">
        <f>VLOOKUP(Y188, rmpce_reference!$B$1:$D$7,3,FALSE) * 89</f>
        <v>4450</v>
      </c>
      <c r="AA188" s="1" t="str">
        <f>IF(Table1[rmpce_inr]&lt;=rmpce_reference!$F$2, "Low Income", IF(Table1[rmpce_inr]&lt;=rmpce_reference!$F$3, "Middle Income", "High Income"))</f>
        <v>Low Income</v>
      </c>
    </row>
    <row r="189" spans="1:27" x14ac:dyDescent="0.25">
      <c r="A189">
        <v>1188</v>
      </c>
      <c r="B189" t="s">
        <v>20</v>
      </c>
      <c r="C189" t="s">
        <v>29</v>
      </c>
      <c r="D189">
        <v>40</v>
      </c>
      <c r="E189" t="s">
        <v>25</v>
      </c>
      <c r="F189" t="s">
        <v>23</v>
      </c>
      <c r="G189">
        <v>28</v>
      </c>
      <c r="H189" s="1" t="str">
        <f>IF(Table1[[#This Row],[anxiety_score]]&lt;=10, "Normal", IF(Table1[[#This Row],[anxiety_score]]&lt;=20, "Moderate", IF(Table1[[#This Row],[anxiety_score]]&lt;=30, "Severe", "Extremely Severe")))</f>
        <v>Severe</v>
      </c>
      <c r="I189">
        <v>1.801202</v>
      </c>
      <c r="J189">
        <v>30</v>
      </c>
      <c r="K189" s="1" t="str">
        <f>IF(Table1[[#This Row],[stress_score]]&lt;=10, "Normal", IF(Table1[[#This Row],[stress_score]]&lt;=20, "Moderate", IF(Table1[[#This Row],[stress_score]]&lt;=30, "Severe", "Extremely Severe")))</f>
        <v>Severe</v>
      </c>
      <c r="L189">
        <v>1.7574476000000001</v>
      </c>
      <c r="M189">
        <v>24</v>
      </c>
      <c r="N189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189">
        <v>1.2028128</v>
      </c>
      <c r="P189">
        <v>27.333334000000001</v>
      </c>
      <c r="Q189">
        <f>ROUND(Table1[[#This Row],[dass21_raw_score]],0)</f>
        <v>27</v>
      </c>
      <c r="R189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89">
        <v>1.5871542000000001</v>
      </c>
      <c r="T189">
        <v>2.682064</v>
      </c>
      <c r="U189">
        <v>4000</v>
      </c>
      <c r="V189" s="1">
        <f>ROUND(Table1[[#This Row],[fmpce]],0)</f>
        <v>4000</v>
      </c>
      <c r="W189">
        <v>54.418660000000003</v>
      </c>
      <c r="X189" s="4">
        <f>Table1[[#This Row],[mpce]]*89</f>
        <v>4843.2607400000006</v>
      </c>
      <c r="Y189" s="2" t="s">
        <v>32</v>
      </c>
      <c r="Z189" s="3">
        <f>VLOOKUP(Y189, rmpce_reference!$B$1:$D$7,3,FALSE) * 89</f>
        <v>4450</v>
      </c>
      <c r="AA189" s="1" t="str">
        <f>IF(Table1[rmpce_inr]&lt;=rmpce_reference!$F$2, "Low Income", IF(Table1[rmpce_inr]&lt;=rmpce_reference!$F$3, "Middle Income", "High Income"))</f>
        <v>Low Income</v>
      </c>
    </row>
    <row r="190" spans="1:27" x14ac:dyDescent="0.25">
      <c r="A190">
        <v>1189</v>
      </c>
      <c r="B190" t="s">
        <v>20</v>
      </c>
      <c r="C190" t="s">
        <v>29</v>
      </c>
      <c r="D190">
        <v>31</v>
      </c>
      <c r="E190" t="s">
        <v>25</v>
      </c>
      <c r="F190" t="s">
        <v>26</v>
      </c>
      <c r="G190">
        <v>24</v>
      </c>
      <c r="H190" s="1" t="str">
        <f>IF(Table1[[#This Row],[anxiety_score]]&lt;=10, "Normal", IF(Table1[[#This Row],[anxiety_score]]&lt;=20, "Moderate", IF(Table1[[#This Row],[anxiety_score]]&lt;=30, "Severe", "Extremely Severe")))</f>
        <v>Severe</v>
      </c>
      <c r="I190">
        <v>1.3991127999999999</v>
      </c>
      <c r="J190">
        <v>28</v>
      </c>
      <c r="K190" s="1" t="str">
        <f>IF(Table1[[#This Row],[stress_score]]&lt;=10, "Normal", IF(Table1[[#This Row],[stress_score]]&lt;=20, "Moderate", IF(Table1[[#This Row],[stress_score]]&lt;=30, "Severe", "Extremely Severe")))</f>
        <v>Severe</v>
      </c>
      <c r="L190">
        <v>1.5627863</v>
      </c>
      <c r="M190">
        <v>20</v>
      </c>
      <c r="N190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190">
        <v>0.81753799999999999</v>
      </c>
      <c r="P190">
        <v>24</v>
      </c>
      <c r="Q190">
        <f>ROUND(Table1[[#This Row],[dass21_raw_score]],0)</f>
        <v>24</v>
      </c>
      <c r="R190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90">
        <v>1.2598123999999999</v>
      </c>
      <c r="T190">
        <v>2.3547223000000002</v>
      </c>
      <c r="U190">
        <v>2400</v>
      </c>
      <c r="V190" s="1">
        <f>ROUND(Table1[[#This Row],[fmpce]],0)</f>
        <v>2400</v>
      </c>
      <c r="W190">
        <v>32.651195999999999</v>
      </c>
      <c r="X190" s="4">
        <f>Table1[[#This Row],[mpce]]*89</f>
        <v>2905.9564439999999</v>
      </c>
      <c r="Y190" s="2" t="s">
        <v>34</v>
      </c>
      <c r="Z190" s="3">
        <f>VLOOKUP(Y190, rmpce_reference!$B$1:$D$7,3,FALSE) * 89</f>
        <v>2848</v>
      </c>
      <c r="AA190" s="1" t="str">
        <f>IF(Table1[rmpce_inr]&lt;=rmpce_reference!$F$2, "Low Income", IF(Table1[rmpce_inr]&lt;=rmpce_reference!$F$3, "Middle Income", "High Income"))</f>
        <v>Low Income</v>
      </c>
    </row>
    <row r="191" spans="1:27" x14ac:dyDescent="0.25">
      <c r="A191">
        <v>1190</v>
      </c>
      <c r="B191" t="s">
        <v>20</v>
      </c>
      <c r="C191" t="s">
        <v>33</v>
      </c>
      <c r="D191">
        <v>29</v>
      </c>
      <c r="E191" t="s">
        <v>25</v>
      </c>
      <c r="F191" t="s">
        <v>26</v>
      </c>
      <c r="G191">
        <v>28</v>
      </c>
      <c r="H191" s="1" t="str">
        <f>IF(Table1[[#This Row],[anxiety_score]]&lt;=10, "Normal", IF(Table1[[#This Row],[anxiety_score]]&lt;=20, "Moderate", IF(Table1[[#This Row],[anxiety_score]]&lt;=30, "Severe", "Extremely Severe")))</f>
        <v>Severe</v>
      </c>
      <c r="I191">
        <v>1.801202</v>
      </c>
      <c r="J191">
        <v>30</v>
      </c>
      <c r="K191" s="1" t="str">
        <f>IF(Table1[[#This Row],[stress_score]]&lt;=10, "Normal", IF(Table1[[#This Row],[stress_score]]&lt;=20, "Moderate", IF(Table1[[#This Row],[stress_score]]&lt;=30, "Severe", "Extremely Severe")))</f>
        <v>Severe</v>
      </c>
      <c r="L191">
        <v>1.7574476000000001</v>
      </c>
      <c r="M191">
        <v>28</v>
      </c>
      <c r="N191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191">
        <v>1.5880875999999999</v>
      </c>
      <c r="P191">
        <v>28.666665999999999</v>
      </c>
      <c r="Q191">
        <f>ROUND(Table1[[#This Row],[dass21_raw_score]],0)</f>
        <v>29</v>
      </c>
      <c r="R191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91">
        <v>1.715579</v>
      </c>
      <c r="T191">
        <v>2.810489</v>
      </c>
      <c r="U191">
        <v>2800</v>
      </c>
      <c r="V191" s="1">
        <f>ROUND(Table1[[#This Row],[fmpce]],0)</f>
        <v>2800</v>
      </c>
      <c r="W191">
        <v>38.093060000000001</v>
      </c>
      <c r="X191" s="4">
        <f>Table1[[#This Row],[mpce]]*89</f>
        <v>3390.2823400000002</v>
      </c>
      <c r="Y191" s="2" t="s">
        <v>34</v>
      </c>
      <c r="Z191" s="3">
        <f>VLOOKUP(Y191, rmpce_reference!$B$1:$D$7,3,FALSE) * 89</f>
        <v>2848</v>
      </c>
      <c r="AA191" s="1" t="str">
        <f>IF(Table1[rmpce_inr]&lt;=rmpce_reference!$F$2, "Low Income", IF(Table1[rmpce_inr]&lt;=rmpce_reference!$F$3, "Middle Income", "High Income"))</f>
        <v>Low Income</v>
      </c>
    </row>
    <row r="192" spans="1:27" x14ac:dyDescent="0.25">
      <c r="A192">
        <v>1191</v>
      </c>
      <c r="B192" t="s">
        <v>20</v>
      </c>
      <c r="C192" t="s">
        <v>29</v>
      </c>
      <c r="D192">
        <v>32</v>
      </c>
      <c r="E192" t="s">
        <v>25</v>
      </c>
      <c r="F192" t="s">
        <v>30</v>
      </c>
      <c r="G192">
        <v>22</v>
      </c>
      <c r="H192" s="1" t="str">
        <f>IF(Table1[[#This Row],[anxiety_score]]&lt;=10, "Normal", IF(Table1[[#This Row],[anxiety_score]]&lt;=20, "Moderate", IF(Table1[[#This Row],[anxiety_score]]&lt;=30, "Severe", "Extremely Severe")))</f>
        <v>Severe</v>
      </c>
      <c r="I192">
        <v>1.1980683000000001</v>
      </c>
      <c r="J192">
        <v>24</v>
      </c>
      <c r="K192" s="1" t="str">
        <f>IF(Table1[[#This Row],[stress_score]]&lt;=10, "Normal", IF(Table1[[#This Row],[stress_score]]&lt;=20, "Moderate", IF(Table1[[#This Row],[stress_score]]&lt;=30, "Severe", "Extremely Severe")))</f>
        <v>Severe</v>
      </c>
      <c r="L192">
        <v>1.1734637999999999</v>
      </c>
      <c r="M192">
        <v>32</v>
      </c>
      <c r="N192" s="1" t="str">
        <f>IF(Table1[[#This Row],[depression_score]]&lt;=10, "Normal", IF(Table1[[#This Row],[depression_score]]&lt;=20, "Moderate", IF(Table1[[#This Row],[depression_score]]&lt;=30, "Severe", "Extremely Severe")))</f>
        <v>Extremely Severe</v>
      </c>
      <c r="O192">
        <v>1.9733623</v>
      </c>
      <c r="P192">
        <v>26</v>
      </c>
      <c r="Q192">
        <f>ROUND(Table1[[#This Row],[dass21_raw_score]],0)</f>
        <v>26</v>
      </c>
      <c r="R192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92">
        <v>1.4482980999999999</v>
      </c>
      <c r="T192">
        <v>2.5432081000000002</v>
      </c>
      <c r="U192">
        <v>3750</v>
      </c>
      <c r="V192" s="1">
        <f>ROUND(Table1[[#This Row],[fmpce]],0)</f>
        <v>3750</v>
      </c>
      <c r="W192">
        <v>51.017493999999999</v>
      </c>
      <c r="X192" s="4">
        <f>Table1[[#This Row],[mpce]]*89</f>
        <v>4540.5569660000001</v>
      </c>
      <c r="Y192" s="2" t="s">
        <v>32</v>
      </c>
      <c r="Z192" s="3">
        <f>VLOOKUP(Y192, rmpce_reference!$B$1:$D$7,3,FALSE) * 89</f>
        <v>4450</v>
      </c>
      <c r="AA192" s="1" t="str">
        <f>IF(Table1[rmpce_inr]&lt;=rmpce_reference!$F$2, "Low Income", IF(Table1[rmpce_inr]&lt;=rmpce_reference!$F$3, "Middle Income", "High Income"))</f>
        <v>Low Income</v>
      </c>
    </row>
    <row r="193" spans="1:27" x14ac:dyDescent="0.25">
      <c r="A193">
        <v>1192</v>
      </c>
      <c r="B193" t="s">
        <v>20</v>
      </c>
      <c r="C193" t="s">
        <v>21</v>
      </c>
      <c r="D193">
        <v>45</v>
      </c>
      <c r="E193" t="s">
        <v>25</v>
      </c>
      <c r="F193" t="s">
        <v>26</v>
      </c>
      <c r="G193">
        <v>22</v>
      </c>
      <c r="H193" s="1" t="str">
        <f>IF(Table1[[#This Row],[anxiety_score]]&lt;=10, "Normal", IF(Table1[[#This Row],[anxiety_score]]&lt;=20, "Moderate", IF(Table1[[#This Row],[anxiety_score]]&lt;=30, "Severe", "Extremely Severe")))</f>
        <v>Severe</v>
      </c>
      <c r="I193">
        <v>1.1980683000000001</v>
      </c>
      <c r="J193">
        <v>26</v>
      </c>
      <c r="K193" s="1" t="str">
        <f>IF(Table1[[#This Row],[stress_score]]&lt;=10, "Normal", IF(Table1[[#This Row],[stress_score]]&lt;=20, "Moderate", IF(Table1[[#This Row],[stress_score]]&lt;=30, "Severe", "Extremely Severe")))</f>
        <v>Severe</v>
      </c>
      <c r="L193">
        <v>1.3681251000000001</v>
      </c>
      <c r="M193">
        <v>38</v>
      </c>
      <c r="N193" s="1" t="str">
        <f>IF(Table1[[#This Row],[depression_score]]&lt;=10, "Normal", IF(Table1[[#This Row],[depression_score]]&lt;=20, "Moderate", IF(Table1[[#This Row],[depression_score]]&lt;=30, "Severe", "Extremely Severe")))</f>
        <v>Extremely Severe</v>
      </c>
      <c r="O193">
        <v>2.5512744999999999</v>
      </c>
      <c r="P193">
        <v>28.666665999999999</v>
      </c>
      <c r="Q193">
        <f>ROUND(Table1[[#This Row],[dass21_raw_score]],0)</f>
        <v>29</v>
      </c>
      <c r="R193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93">
        <v>1.7058226000000001</v>
      </c>
      <c r="T193">
        <v>2.8007325999999999</v>
      </c>
      <c r="U193">
        <v>3000</v>
      </c>
      <c r="V193" s="1">
        <f>ROUND(Table1[[#This Row],[fmpce]],0)</f>
        <v>3000</v>
      </c>
      <c r="W193">
        <v>40.813994999999998</v>
      </c>
      <c r="X193" s="4">
        <f>Table1[[#This Row],[mpce]]*89</f>
        <v>3632.4455549999998</v>
      </c>
      <c r="Y193" s="2" t="s">
        <v>32</v>
      </c>
      <c r="Z193" s="3">
        <f>VLOOKUP(Y193, rmpce_reference!$B$1:$D$7,3,FALSE) * 89</f>
        <v>4450</v>
      </c>
      <c r="AA193" s="1" t="str">
        <f>IF(Table1[rmpce_inr]&lt;=rmpce_reference!$F$2, "Low Income", IF(Table1[rmpce_inr]&lt;=rmpce_reference!$F$3, "Middle Income", "High Income"))</f>
        <v>Low Income</v>
      </c>
    </row>
    <row r="194" spans="1:27" x14ac:dyDescent="0.25">
      <c r="A194">
        <v>1193</v>
      </c>
      <c r="B194" t="s">
        <v>20</v>
      </c>
      <c r="C194" t="s">
        <v>29</v>
      </c>
      <c r="D194">
        <v>32</v>
      </c>
      <c r="E194" t="s">
        <v>25</v>
      </c>
      <c r="F194" t="s">
        <v>26</v>
      </c>
      <c r="G194">
        <v>24</v>
      </c>
      <c r="H194" s="1" t="str">
        <f>IF(Table1[[#This Row],[anxiety_score]]&lt;=10, "Normal", IF(Table1[[#This Row],[anxiety_score]]&lt;=20, "Moderate", IF(Table1[[#This Row],[anxiety_score]]&lt;=30, "Severe", "Extremely Severe")))</f>
        <v>Severe</v>
      </c>
      <c r="I194">
        <v>1.3991127999999999</v>
      </c>
      <c r="J194">
        <v>28</v>
      </c>
      <c r="K194" s="1" t="str">
        <f>IF(Table1[[#This Row],[stress_score]]&lt;=10, "Normal", IF(Table1[[#This Row],[stress_score]]&lt;=20, "Moderate", IF(Table1[[#This Row],[stress_score]]&lt;=30, "Severe", "Extremely Severe")))</f>
        <v>Severe</v>
      </c>
      <c r="L194">
        <v>1.5627863</v>
      </c>
      <c r="M194">
        <v>32</v>
      </c>
      <c r="N194" s="1" t="str">
        <f>IF(Table1[[#This Row],[depression_score]]&lt;=10, "Normal", IF(Table1[[#This Row],[depression_score]]&lt;=20, "Moderate", IF(Table1[[#This Row],[depression_score]]&lt;=30, "Severe", "Extremely Severe")))</f>
        <v>Extremely Severe</v>
      </c>
      <c r="O194">
        <v>1.9733623</v>
      </c>
      <c r="P194">
        <v>28</v>
      </c>
      <c r="Q194">
        <f>ROUND(Table1[[#This Row],[dass21_raw_score]],0)</f>
        <v>28</v>
      </c>
      <c r="R194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94">
        <v>1.6450871</v>
      </c>
      <c r="T194">
        <v>2.7399969999999998</v>
      </c>
      <c r="U194">
        <v>3500</v>
      </c>
      <c r="V194" s="1">
        <f>ROUND(Table1[[#This Row],[fmpce]],0)</f>
        <v>3500</v>
      </c>
      <c r="W194">
        <v>47.616325000000003</v>
      </c>
      <c r="X194" s="4">
        <f>Table1[[#This Row],[mpce]]*89</f>
        <v>4237.8529250000001</v>
      </c>
      <c r="Y194" s="2" t="s">
        <v>32</v>
      </c>
      <c r="Z194" s="3">
        <f>VLOOKUP(Y194, rmpce_reference!$B$1:$D$7,3,FALSE) * 89</f>
        <v>4450</v>
      </c>
      <c r="AA194" s="1" t="str">
        <f>IF(Table1[rmpce_inr]&lt;=rmpce_reference!$F$2, "Low Income", IF(Table1[rmpce_inr]&lt;=rmpce_reference!$F$3, "Middle Income", "High Income"))</f>
        <v>Low Income</v>
      </c>
    </row>
    <row r="195" spans="1:27" x14ac:dyDescent="0.25">
      <c r="A195">
        <v>1194</v>
      </c>
      <c r="B195" t="s">
        <v>20</v>
      </c>
      <c r="C195" t="s">
        <v>29</v>
      </c>
      <c r="D195">
        <v>40</v>
      </c>
      <c r="E195" t="s">
        <v>25</v>
      </c>
      <c r="F195" t="s">
        <v>23</v>
      </c>
      <c r="G195">
        <v>28</v>
      </c>
      <c r="H195" s="1" t="str">
        <f>IF(Table1[[#This Row],[anxiety_score]]&lt;=10, "Normal", IF(Table1[[#This Row],[anxiety_score]]&lt;=20, "Moderate", IF(Table1[[#This Row],[anxiety_score]]&lt;=30, "Severe", "Extremely Severe")))</f>
        <v>Severe</v>
      </c>
      <c r="I195">
        <v>1.801202</v>
      </c>
      <c r="J195">
        <v>32</v>
      </c>
      <c r="K195" s="1" t="str">
        <f>IF(Table1[[#This Row],[stress_score]]&lt;=10, "Normal", IF(Table1[[#This Row],[stress_score]]&lt;=20, "Moderate", IF(Table1[[#This Row],[stress_score]]&lt;=30, "Severe", "Extremely Severe")))</f>
        <v>Extremely Severe</v>
      </c>
      <c r="L195">
        <v>1.9521089</v>
      </c>
      <c r="M195">
        <v>20</v>
      </c>
      <c r="N195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195">
        <v>0.81753799999999999</v>
      </c>
      <c r="P195">
        <v>26.666665999999999</v>
      </c>
      <c r="Q195">
        <f>ROUND(Table1[[#This Row],[dass21_raw_score]],0)</f>
        <v>27</v>
      </c>
      <c r="R195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95">
        <v>1.5236163</v>
      </c>
      <c r="T195">
        <v>2.6185261999999998</v>
      </c>
      <c r="U195">
        <v>2800</v>
      </c>
      <c r="V195" s="1">
        <f>ROUND(Table1[[#This Row],[fmpce]],0)</f>
        <v>2800</v>
      </c>
      <c r="W195">
        <v>38.093060000000001</v>
      </c>
      <c r="X195" s="4">
        <f>Table1[[#This Row],[mpce]]*89</f>
        <v>3390.2823400000002</v>
      </c>
      <c r="Y195" s="2" t="s">
        <v>34</v>
      </c>
      <c r="Z195" s="3">
        <f>VLOOKUP(Y195, rmpce_reference!$B$1:$D$7,3,FALSE) * 89</f>
        <v>2848</v>
      </c>
      <c r="AA195" s="1" t="str">
        <f>IF(Table1[rmpce_inr]&lt;=rmpce_reference!$F$2, "Low Income", IF(Table1[rmpce_inr]&lt;=rmpce_reference!$F$3, "Middle Income", "High Income"))</f>
        <v>Low Income</v>
      </c>
    </row>
    <row r="196" spans="1:27" x14ac:dyDescent="0.25">
      <c r="A196">
        <v>1195</v>
      </c>
      <c r="B196" t="s">
        <v>20</v>
      </c>
      <c r="C196" t="s">
        <v>21</v>
      </c>
      <c r="D196">
        <v>44</v>
      </c>
      <c r="E196" t="s">
        <v>22</v>
      </c>
      <c r="F196" t="s">
        <v>23</v>
      </c>
      <c r="G196">
        <v>24</v>
      </c>
      <c r="H196" s="1" t="str">
        <f>IF(Table1[[#This Row],[anxiety_score]]&lt;=10, "Normal", IF(Table1[[#This Row],[anxiety_score]]&lt;=20, "Moderate", IF(Table1[[#This Row],[anxiety_score]]&lt;=30, "Severe", "Extremely Severe")))</f>
        <v>Severe</v>
      </c>
      <c r="I196">
        <v>1.3991127999999999</v>
      </c>
      <c r="J196">
        <v>22</v>
      </c>
      <c r="K196" s="1" t="str">
        <f>IF(Table1[[#This Row],[stress_score]]&lt;=10, "Normal", IF(Table1[[#This Row],[stress_score]]&lt;=20, "Moderate", IF(Table1[[#This Row],[stress_score]]&lt;=30, "Severe", "Extremely Severe")))</f>
        <v>Severe</v>
      </c>
      <c r="L196">
        <v>0.97880255999999999</v>
      </c>
      <c r="M196">
        <v>26</v>
      </c>
      <c r="N196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196">
        <v>1.3954502</v>
      </c>
      <c r="P196">
        <v>24</v>
      </c>
      <c r="Q196">
        <f>ROUND(Table1[[#This Row],[dass21_raw_score]],0)</f>
        <v>24</v>
      </c>
      <c r="R196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96">
        <v>1.2577885</v>
      </c>
      <c r="T196">
        <v>2.3526983000000001</v>
      </c>
      <c r="U196">
        <v>2500</v>
      </c>
      <c r="V196" s="1">
        <f>ROUND(Table1[[#This Row],[fmpce]],0)</f>
        <v>2500</v>
      </c>
      <c r="W196">
        <v>34.011659999999999</v>
      </c>
      <c r="X196" s="4">
        <f>Table1[[#This Row],[mpce]]*89</f>
        <v>3027.0377399999998</v>
      </c>
      <c r="Y196" s="2" t="s">
        <v>34</v>
      </c>
      <c r="Z196" s="3">
        <f>VLOOKUP(Y196, rmpce_reference!$B$1:$D$7,3,FALSE) * 89</f>
        <v>2848</v>
      </c>
      <c r="AA196" s="1" t="str">
        <f>IF(Table1[rmpce_inr]&lt;=rmpce_reference!$F$2, "Low Income", IF(Table1[rmpce_inr]&lt;=rmpce_reference!$F$3, "Middle Income", "High Income"))</f>
        <v>Low Income</v>
      </c>
    </row>
    <row r="197" spans="1:27" x14ac:dyDescent="0.25">
      <c r="A197">
        <v>1196</v>
      </c>
      <c r="B197" t="s">
        <v>20</v>
      </c>
      <c r="C197" t="s">
        <v>29</v>
      </c>
      <c r="D197">
        <v>35</v>
      </c>
      <c r="E197" t="s">
        <v>22</v>
      </c>
      <c r="F197" t="s">
        <v>23</v>
      </c>
      <c r="G197">
        <v>28</v>
      </c>
      <c r="H197" s="1" t="str">
        <f>IF(Table1[[#This Row],[anxiety_score]]&lt;=10, "Normal", IF(Table1[[#This Row],[anxiety_score]]&lt;=20, "Moderate", IF(Table1[[#This Row],[anxiety_score]]&lt;=30, "Severe", "Extremely Severe")))</f>
        <v>Severe</v>
      </c>
      <c r="I197">
        <v>1.801202</v>
      </c>
      <c r="J197">
        <v>22</v>
      </c>
      <c r="K197" s="1" t="str">
        <f>IF(Table1[[#This Row],[stress_score]]&lt;=10, "Normal", IF(Table1[[#This Row],[stress_score]]&lt;=20, "Moderate", IF(Table1[[#This Row],[stress_score]]&lt;=30, "Severe", "Extremely Severe")))</f>
        <v>Severe</v>
      </c>
      <c r="L197">
        <v>0.97880255999999999</v>
      </c>
      <c r="M197">
        <v>24</v>
      </c>
      <c r="N197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197">
        <v>1.2028128</v>
      </c>
      <c r="P197">
        <v>24.666665999999999</v>
      </c>
      <c r="Q197">
        <f>ROUND(Table1[[#This Row],[dass21_raw_score]],0)</f>
        <v>25</v>
      </c>
      <c r="R197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97">
        <v>1.3276057999999999</v>
      </c>
      <c r="T197">
        <v>2.4225159000000001</v>
      </c>
      <c r="U197">
        <v>3200</v>
      </c>
      <c r="V197" s="1">
        <f>ROUND(Table1[[#This Row],[fmpce]],0)</f>
        <v>3200</v>
      </c>
      <c r="W197">
        <v>43.534927000000003</v>
      </c>
      <c r="X197" s="4">
        <f>Table1[[#This Row],[mpce]]*89</f>
        <v>3874.6085030000004</v>
      </c>
      <c r="Y197" s="2" t="s">
        <v>32</v>
      </c>
      <c r="Z197" s="3">
        <f>VLOOKUP(Y197, rmpce_reference!$B$1:$D$7,3,FALSE) * 89</f>
        <v>4450</v>
      </c>
      <c r="AA197" s="1" t="str">
        <f>IF(Table1[rmpce_inr]&lt;=rmpce_reference!$F$2, "Low Income", IF(Table1[rmpce_inr]&lt;=rmpce_reference!$F$3, "Middle Income", "High Income"))</f>
        <v>Low Income</v>
      </c>
    </row>
    <row r="198" spans="1:27" x14ac:dyDescent="0.25">
      <c r="A198">
        <v>1197</v>
      </c>
      <c r="B198" t="s">
        <v>20</v>
      </c>
      <c r="C198" t="s">
        <v>21</v>
      </c>
      <c r="D198">
        <v>42</v>
      </c>
      <c r="E198" t="s">
        <v>22</v>
      </c>
      <c r="F198" t="s">
        <v>30</v>
      </c>
      <c r="G198">
        <v>28</v>
      </c>
      <c r="H198" s="1" t="str">
        <f>IF(Table1[[#This Row],[anxiety_score]]&lt;=10, "Normal", IF(Table1[[#This Row],[anxiety_score]]&lt;=20, "Moderate", IF(Table1[[#This Row],[anxiety_score]]&lt;=30, "Severe", "Extremely Severe")))</f>
        <v>Severe</v>
      </c>
      <c r="I198">
        <v>1.801202</v>
      </c>
      <c r="J198">
        <v>20</v>
      </c>
      <c r="K198" s="1" t="str">
        <f>IF(Table1[[#This Row],[stress_score]]&lt;=10, "Normal", IF(Table1[[#This Row],[stress_score]]&lt;=20, "Moderate", IF(Table1[[#This Row],[stress_score]]&lt;=30, "Severe", "Extremely Severe")))</f>
        <v>Moderate</v>
      </c>
      <c r="L198">
        <v>0.78414130000000004</v>
      </c>
      <c r="M198">
        <v>22</v>
      </c>
      <c r="N198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198">
        <v>1.0101753</v>
      </c>
      <c r="P198">
        <v>23.333334000000001</v>
      </c>
      <c r="Q198">
        <f>ROUND(Table1[[#This Row],[dass21_raw_score]],0)</f>
        <v>23</v>
      </c>
      <c r="R198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98">
        <v>1.1985062</v>
      </c>
      <c r="T198">
        <v>2.2934160000000001</v>
      </c>
      <c r="U198">
        <v>2166.6667000000002</v>
      </c>
      <c r="V198" s="1">
        <f>ROUND(Table1[[#This Row],[fmpce]],0)</f>
        <v>2167</v>
      </c>
      <c r="W198">
        <v>29.476773999999999</v>
      </c>
      <c r="X198" s="4">
        <f>Table1[[#This Row],[mpce]]*89</f>
        <v>2623.4328860000001</v>
      </c>
      <c r="Y198" s="2" t="s">
        <v>34</v>
      </c>
      <c r="Z198" s="3">
        <f>VLOOKUP(Y198, rmpce_reference!$B$1:$D$7,3,FALSE) * 89</f>
        <v>2848</v>
      </c>
      <c r="AA198" s="1" t="str">
        <f>IF(Table1[rmpce_inr]&lt;=rmpce_reference!$F$2, "Low Income", IF(Table1[rmpce_inr]&lt;=rmpce_reference!$F$3, "Middle Income", "High Income"))</f>
        <v>Low Income</v>
      </c>
    </row>
    <row r="199" spans="1:27" x14ac:dyDescent="0.25">
      <c r="A199">
        <v>1198</v>
      </c>
      <c r="B199" t="s">
        <v>20</v>
      </c>
      <c r="C199" t="s">
        <v>29</v>
      </c>
      <c r="D199">
        <v>33</v>
      </c>
      <c r="E199" t="s">
        <v>22</v>
      </c>
      <c r="F199" t="s">
        <v>30</v>
      </c>
      <c r="G199">
        <v>28</v>
      </c>
      <c r="H199" s="1" t="str">
        <f>IF(Table1[[#This Row],[anxiety_score]]&lt;=10, "Normal", IF(Table1[[#This Row],[anxiety_score]]&lt;=20, "Moderate", IF(Table1[[#This Row],[anxiety_score]]&lt;=30, "Severe", "Extremely Severe")))</f>
        <v>Severe</v>
      </c>
      <c r="I199">
        <v>1.801202</v>
      </c>
      <c r="J199">
        <v>30</v>
      </c>
      <c r="K199" s="1" t="str">
        <f>IF(Table1[[#This Row],[stress_score]]&lt;=10, "Normal", IF(Table1[[#This Row],[stress_score]]&lt;=20, "Moderate", IF(Table1[[#This Row],[stress_score]]&lt;=30, "Severe", "Extremely Severe")))</f>
        <v>Severe</v>
      </c>
      <c r="L199">
        <v>1.7574476000000001</v>
      </c>
      <c r="M199">
        <v>26</v>
      </c>
      <c r="N199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199">
        <v>1.3954502</v>
      </c>
      <c r="P199">
        <v>28</v>
      </c>
      <c r="Q199">
        <f>ROUND(Table1[[#This Row],[dass21_raw_score]],0)</f>
        <v>28</v>
      </c>
      <c r="R199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99">
        <v>1.6513666</v>
      </c>
      <c r="T199">
        <v>2.7462764000000002</v>
      </c>
      <c r="U199">
        <v>6250</v>
      </c>
      <c r="V199" s="1">
        <f>ROUND(Table1[[#This Row],[fmpce]],0)</f>
        <v>6250</v>
      </c>
      <c r="W199">
        <v>85.029150000000001</v>
      </c>
      <c r="X199" s="4">
        <f>Table1[[#This Row],[mpce]]*89</f>
        <v>7567.5943500000003</v>
      </c>
      <c r="Y199" s="2" t="s">
        <v>31</v>
      </c>
      <c r="Z199" s="3">
        <f>VLOOKUP(Y199, rmpce_reference!$B$1:$D$7,3,FALSE) * 89</f>
        <v>8010</v>
      </c>
      <c r="AA199" s="1" t="str">
        <f>IF(Table1[rmpce_inr]&lt;=rmpce_reference!$F$2, "Low Income", IF(Table1[rmpce_inr]&lt;=rmpce_reference!$F$3, "Middle Income", "High Income"))</f>
        <v>High Income</v>
      </c>
    </row>
    <row r="200" spans="1:27" x14ac:dyDescent="0.25">
      <c r="A200">
        <v>1199</v>
      </c>
      <c r="B200" t="s">
        <v>20</v>
      </c>
      <c r="C200" t="s">
        <v>21</v>
      </c>
      <c r="D200">
        <v>41</v>
      </c>
      <c r="E200" t="s">
        <v>22</v>
      </c>
      <c r="F200" t="s">
        <v>23</v>
      </c>
      <c r="G200">
        <v>34</v>
      </c>
      <c r="H200" s="1" t="str">
        <f>IF(Table1[[#This Row],[anxiety_score]]&lt;=10, "Normal", IF(Table1[[#This Row],[anxiety_score]]&lt;=20, "Moderate", IF(Table1[[#This Row],[anxiety_score]]&lt;=30, "Severe", "Extremely Severe")))</f>
        <v>Extremely Severe</v>
      </c>
      <c r="I200">
        <v>2.4043359999999998</v>
      </c>
      <c r="J200">
        <v>28</v>
      </c>
      <c r="K200" s="1" t="str">
        <f>IF(Table1[[#This Row],[stress_score]]&lt;=10, "Normal", IF(Table1[[#This Row],[stress_score]]&lt;=20, "Moderate", IF(Table1[[#This Row],[stress_score]]&lt;=30, "Severe", "Extremely Severe")))</f>
        <v>Severe</v>
      </c>
      <c r="L200">
        <v>1.5627863</v>
      </c>
      <c r="M200">
        <v>28</v>
      </c>
      <c r="N200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200">
        <v>1.5880875999999999</v>
      </c>
      <c r="P200">
        <v>30</v>
      </c>
      <c r="Q200">
        <f>ROUND(Table1[[#This Row],[dass21_raw_score]],0)</f>
        <v>30</v>
      </c>
      <c r="R200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200">
        <v>1.8517367</v>
      </c>
      <c r="T200">
        <v>2.9466467000000001</v>
      </c>
      <c r="U200">
        <v>6250</v>
      </c>
      <c r="V200" s="1">
        <f>ROUND(Table1[[#This Row],[fmpce]],0)</f>
        <v>6250</v>
      </c>
      <c r="W200">
        <v>85.029150000000001</v>
      </c>
      <c r="X200" s="4">
        <f>Table1[[#This Row],[mpce]]*89</f>
        <v>7567.5943500000003</v>
      </c>
      <c r="Y200" s="2" t="s">
        <v>31</v>
      </c>
      <c r="Z200" s="3">
        <f>VLOOKUP(Y200, rmpce_reference!$B$1:$D$7,3,FALSE) * 89</f>
        <v>8010</v>
      </c>
      <c r="AA200" s="1" t="str">
        <f>IF(Table1[rmpce_inr]&lt;=rmpce_reference!$F$2, "Low Income", IF(Table1[rmpce_inr]&lt;=rmpce_reference!$F$3, "Middle Income", "High Income"))</f>
        <v>High Income</v>
      </c>
    </row>
    <row r="201" spans="1:27" x14ac:dyDescent="0.25">
      <c r="A201">
        <v>1200</v>
      </c>
      <c r="B201" t="s">
        <v>20</v>
      </c>
      <c r="C201" t="s">
        <v>29</v>
      </c>
      <c r="D201">
        <v>38</v>
      </c>
      <c r="E201" t="s">
        <v>22</v>
      </c>
      <c r="F201" t="s">
        <v>23</v>
      </c>
      <c r="G201">
        <v>28</v>
      </c>
      <c r="H201" s="1" t="str">
        <f>IF(Table1[[#This Row],[anxiety_score]]&lt;=10, "Normal", IF(Table1[[#This Row],[anxiety_score]]&lt;=20, "Moderate", IF(Table1[[#This Row],[anxiety_score]]&lt;=30, "Severe", "Extremely Severe")))</f>
        <v>Severe</v>
      </c>
      <c r="I201">
        <v>1.801202</v>
      </c>
      <c r="J201">
        <v>22</v>
      </c>
      <c r="K201" s="1" t="str">
        <f>IF(Table1[[#This Row],[stress_score]]&lt;=10, "Normal", IF(Table1[[#This Row],[stress_score]]&lt;=20, "Moderate", IF(Table1[[#This Row],[stress_score]]&lt;=30, "Severe", "Extremely Severe")))</f>
        <v>Severe</v>
      </c>
      <c r="L201">
        <v>0.97880255999999999</v>
      </c>
      <c r="M201">
        <v>22</v>
      </c>
      <c r="N201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201">
        <v>1.0101753</v>
      </c>
      <c r="P201">
        <v>24</v>
      </c>
      <c r="Q201">
        <f>ROUND(Table1[[#This Row],[dass21_raw_score]],0)</f>
        <v>24</v>
      </c>
      <c r="R201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201">
        <v>1.2633932999999999</v>
      </c>
      <c r="T201">
        <v>2.3583029999999998</v>
      </c>
      <c r="U201">
        <v>3333.3332999999998</v>
      </c>
      <c r="V201" s="1">
        <f>ROUND(Table1[[#This Row],[fmpce]],0)</f>
        <v>3333</v>
      </c>
      <c r="W201">
        <v>45.348880000000001</v>
      </c>
      <c r="X201" s="4">
        <f>Table1[[#This Row],[mpce]]*89</f>
        <v>4036.0503200000003</v>
      </c>
      <c r="Y201" s="2" t="s">
        <v>32</v>
      </c>
      <c r="Z201" s="3">
        <f>VLOOKUP(Y201, rmpce_reference!$B$1:$D$7,3,FALSE) * 89</f>
        <v>4450</v>
      </c>
      <c r="AA201" s="1" t="str">
        <f>IF(Table1[rmpce_inr]&lt;=rmpce_reference!$F$2, "Low Income", IF(Table1[rmpce_inr]&lt;=rmpce_reference!$F$3, "Middle Income", "High Income"))</f>
        <v>Low Income</v>
      </c>
    </row>
    <row r="202" spans="1:27" x14ac:dyDescent="0.25">
      <c r="A202">
        <v>1201</v>
      </c>
      <c r="B202" t="s">
        <v>20</v>
      </c>
      <c r="C202" t="s">
        <v>33</v>
      </c>
      <c r="D202">
        <v>30</v>
      </c>
      <c r="E202" t="s">
        <v>22</v>
      </c>
      <c r="F202" t="s">
        <v>23</v>
      </c>
      <c r="G202">
        <v>20</v>
      </c>
      <c r="H202" s="1" t="str">
        <f>IF(Table1[[#This Row],[anxiety_score]]&lt;=10, "Normal", IF(Table1[[#This Row],[anxiety_score]]&lt;=20, "Moderate", IF(Table1[[#This Row],[anxiety_score]]&lt;=30, "Severe", "Extremely Severe")))</f>
        <v>Moderate</v>
      </c>
      <c r="I202">
        <v>0.99702360000000001</v>
      </c>
      <c r="J202">
        <v>24</v>
      </c>
      <c r="K202" s="1" t="str">
        <f>IF(Table1[[#This Row],[stress_score]]&lt;=10, "Normal", IF(Table1[[#This Row],[stress_score]]&lt;=20, "Moderate", IF(Table1[[#This Row],[stress_score]]&lt;=30, "Severe", "Extremely Severe")))</f>
        <v>Severe</v>
      </c>
      <c r="L202">
        <v>1.1734637999999999</v>
      </c>
      <c r="M202">
        <v>32</v>
      </c>
      <c r="N202" s="1" t="str">
        <f>IF(Table1[[#This Row],[depression_score]]&lt;=10, "Normal", IF(Table1[[#This Row],[depression_score]]&lt;=20, "Moderate", IF(Table1[[#This Row],[depression_score]]&lt;=30, "Severe", "Extremely Severe")))</f>
        <v>Extremely Severe</v>
      </c>
      <c r="O202">
        <v>1.9733623</v>
      </c>
      <c r="P202">
        <v>25.333334000000001</v>
      </c>
      <c r="Q202">
        <f>ROUND(Table1[[#This Row],[dass21_raw_score]],0)</f>
        <v>25</v>
      </c>
      <c r="R202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202">
        <v>1.3812833</v>
      </c>
      <c r="T202">
        <v>2.4761932</v>
      </c>
      <c r="U202">
        <v>6000</v>
      </c>
      <c r="V202" s="1">
        <f>ROUND(Table1[[#This Row],[fmpce]],0)</f>
        <v>6000</v>
      </c>
      <c r="W202">
        <v>81.627989999999997</v>
      </c>
      <c r="X202" s="4">
        <f>Table1[[#This Row],[mpce]]*89</f>
        <v>7264.8911099999996</v>
      </c>
      <c r="Y202" s="2" t="s">
        <v>31</v>
      </c>
      <c r="Z202" s="3">
        <f>VLOOKUP(Y202, rmpce_reference!$B$1:$D$7,3,FALSE) * 89</f>
        <v>8010</v>
      </c>
      <c r="AA202" s="1" t="str">
        <f>IF(Table1[rmpce_inr]&lt;=rmpce_reference!$F$2, "Low Income", IF(Table1[rmpce_inr]&lt;=rmpce_reference!$F$3, "Middle Income", "High Income"))</f>
        <v>High Income</v>
      </c>
    </row>
    <row r="203" spans="1:27" x14ac:dyDescent="0.25">
      <c r="A203">
        <v>1202</v>
      </c>
      <c r="B203" t="s">
        <v>20</v>
      </c>
      <c r="C203" t="s">
        <v>29</v>
      </c>
      <c r="D203">
        <v>31</v>
      </c>
      <c r="E203" t="s">
        <v>22</v>
      </c>
      <c r="F203" t="s">
        <v>30</v>
      </c>
      <c r="G203">
        <v>20</v>
      </c>
      <c r="H203" s="1" t="str">
        <f>IF(Table1[[#This Row],[anxiety_score]]&lt;=10, "Normal", IF(Table1[[#This Row],[anxiety_score]]&lt;=20, "Moderate", IF(Table1[[#This Row],[anxiety_score]]&lt;=30, "Severe", "Extremely Severe")))</f>
        <v>Moderate</v>
      </c>
      <c r="I203">
        <v>0.99702360000000001</v>
      </c>
      <c r="J203">
        <v>38</v>
      </c>
      <c r="K203" s="1" t="str">
        <f>IF(Table1[[#This Row],[stress_score]]&lt;=10, "Normal", IF(Table1[[#This Row],[stress_score]]&lt;=20, "Moderate", IF(Table1[[#This Row],[stress_score]]&lt;=30, "Severe", "Extremely Severe")))</f>
        <v>Extremely Severe</v>
      </c>
      <c r="L203">
        <v>2.5360925000000001</v>
      </c>
      <c r="M203">
        <v>16</v>
      </c>
      <c r="N203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203">
        <v>0.43226320000000001</v>
      </c>
      <c r="P203">
        <v>24.666665999999999</v>
      </c>
      <c r="Q203">
        <f>ROUND(Table1[[#This Row],[dass21_raw_score]],0)</f>
        <v>25</v>
      </c>
      <c r="R203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203">
        <v>1.3217931000000001</v>
      </c>
      <c r="T203">
        <v>2.416703</v>
      </c>
      <c r="U203">
        <v>2000</v>
      </c>
      <c r="V203" s="1">
        <f>ROUND(Table1[[#This Row],[fmpce]],0)</f>
        <v>2000</v>
      </c>
      <c r="W203">
        <v>27.209330000000001</v>
      </c>
      <c r="X203" s="4">
        <f>Table1[[#This Row],[mpce]]*89</f>
        <v>2421.6303700000003</v>
      </c>
      <c r="Y203" s="2" t="s">
        <v>34</v>
      </c>
      <c r="Z203" s="3">
        <f>VLOOKUP(Y203, rmpce_reference!$B$1:$D$7,3,FALSE) * 89</f>
        <v>2848</v>
      </c>
      <c r="AA203" s="1" t="str">
        <f>IF(Table1[rmpce_inr]&lt;=rmpce_reference!$F$2, "Low Income", IF(Table1[rmpce_inr]&lt;=rmpce_reference!$F$3, "Middle Income", "High Income"))</f>
        <v>Low Income</v>
      </c>
    </row>
    <row r="204" spans="1:27" x14ac:dyDescent="0.25">
      <c r="A204">
        <v>1203</v>
      </c>
      <c r="B204" t="s">
        <v>20</v>
      </c>
      <c r="C204" t="s">
        <v>29</v>
      </c>
      <c r="D204">
        <v>40</v>
      </c>
      <c r="E204" t="s">
        <v>22</v>
      </c>
      <c r="F204" t="s">
        <v>30</v>
      </c>
      <c r="G204">
        <v>28</v>
      </c>
      <c r="H204" s="1" t="str">
        <f>IF(Table1[[#This Row],[anxiety_score]]&lt;=10, "Normal", IF(Table1[[#This Row],[anxiety_score]]&lt;=20, "Moderate", IF(Table1[[#This Row],[anxiety_score]]&lt;=30, "Severe", "Extremely Severe")))</f>
        <v>Severe</v>
      </c>
      <c r="I204">
        <v>1.801202</v>
      </c>
      <c r="J204">
        <v>26</v>
      </c>
      <c r="K204" s="1" t="str">
        <f>IF(Table1[[#This Row],[stress_score]]&lt;=10, "Normal", IF(Table1[[#This Row],[stress_score]]&lt;=20, "Moderate", IF(Table1[[#This Row],[stress_score]]&lt;=30, "Severe", "Extremely Severe")))</f>
        <v>Severe</v>
      </c>
      <c r="L204">
        <v>1.3681251000000001</v>
      </c>
      <c r="M204">
        <v>18</v>
      </c>
      <c r="N204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204">
        <v>0.62490060000000003</v>
      </c>
      <c r="P204">
        <v>24</v>
      </c>
      <c r="Q204">
        <f>ROUND(Table1[[#This Row],[dass21_raw_score]],0)</f>
        <v>24</v>
      </c>
      <c r="R204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204">
        <v>1.2647425999999999</v>
      </c>
      <c r="T204">
        <v>2.3596525000000002</v>
      </c>
      <c r="U204">
        <v>1750</v>
      </c>
      <c r="V204" s="1">
        <f>ROUND(Table1[[#This Row],[fmpce]],0)</f>
        <v>1750</v>
      </c>
      <c r="W204">
        <v>23.808163</v>
      </c>
      <c r="X204" s="4">
        <f>Table1[[#This Row],[mpce]]*89</f>
        <v>2118.9265070000001</v>
      </c>
      <c r="Y204" s="2" t="s">
        <v>24</v>
      </c>
      <c r="Z204" s="3">
        <f>VLOOKUP(Y204, rmpce_reference!$B$1:$D$7,3,FALSE) * 89</f>
        <v>2225</v>
      </c>
      <c r="AA204" s="1" t="str">
        <f>IF(Table1[rmpce_inr]&lt;=rmpce_reference!$F$2, "Low Income", IF(Table1[rmpce_inr]&lt;=rmpce_reference!$F$3, "Middle Income", "High Income"))</f>
        <v>Low Income</v>
      </c>
    </row>
    <row r="205" spans="1:27" x14ac:dyDescent="0.25">
      <c r="A205">
        <v>1204</v>
      </c>
      <c r="B205" t="s">
        <v>20</v>
      </c>
      <c r="C205" t="s">
        <v>21</v>
      </c>
      <c r="D205">
        <v>50</v>
      </c>
      <c r="E205" t="s">
        <v>22</v>
      </c>
      <c r="F205" t="s">
        <v>23</v>
      </c>
      <c r="G205">
        <v>22</v>
      </c>
      <c r="H205" s="1" t="str">
        <f>IF(Table1[[#This Row],[anxiety_score]]&lt;=10, "Normal", IF(Table1[[#This Row],[anxiety_score]]&lt;=20, "Moderate", IF(Table1[[#This Row],[anxiety_score]]&lt;=30, "Severe", "Extremely Severe")))</f>
        <v>Severe</v>
      </c>
      <c r="I205">
        <v>1.1980683000000001</v>
      </c>
      <c r="J205">
        <v>24</v>
      </c>
      <c r="K205" s="1" t="str">
        <f>IF(Table1[[#This Row],[stress_score]]&lt;=10, "Normal", IF(Table1[[#This Row],[stress_score]]&lt;=20, "Moderate", IF(Table1[[#This Row],[stress_score]]&lt;=30, "Severe", "Extremely Severe")))</f>
        <v>Severe</v>
      </c>
      <c r="L205">
        <v>1.1734637999999999</v>
      </c>
      <c r="M205">
        <v>28</v>
      </c>
      <c r="N205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205">
        <v>1.5880875999999999</v>
      </c>
      <c r="P205">
        <v>24.666665999999999</v>
      </c>
      <c r="Q205">
        <f>ROUND(Table1[[#This Row],[dass21_raw_score]],0)</f>
        <v>25</v>
      </c>
      <c r="R205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205">
        <v>1.3198732</v>
      </c>
      <c r="T205">
        <v>2.4147829999999999</v>
      </c>
      <c r="U205">
        <v>2400</v>
      </c>
      <c r="V205" s="1">
        <f>ROUND(Table1[[#This Row],[fmpce]],0)</f>
        <v>2400</v>
      </c>
      <c r="W205">
        <v>32.651195999999999</v>
      </c>
      <c r="X205" s="4">
        <f>Table1[[#This Row],[mpce]]*89</f>
        <v>2905.9564439999999</v>
      </c>
      <c r="Y205" s="2" t="s">
        <v>34</v>
      </c>
      <c r="Z205" s="3">
        <f>VLOOKUP(Y205, rmpce_reference!$B$1:$D$7,3,FALSE) * 89</f>
        <v>2848</v>
      </c>
      <c r="AA205" s="1" t="str">
        <f>IF(Table1[rmpce_inr]&lt;=rmpce_reference!$F$2, "Low Income", IF(Table1[rmpce_inr]&lt;=rmpce_reference!$F$3, "Middle Income", "High Income"))</f>
        <v>Low Income</v>
      </c>
    </row>
    <row r="206" spans="1:27" x14ac:dyDescent="0.25">
      <c r="A206">
        <v>1205</v>
      </c>
      <c r="B206" t="s">
        <v>20</v>
      </c>
      <c r="C206" t="s">
        <v>21</v>
      </c>
      <c r="D206">
        <v>49</v>
      </c>
      <c r="E206" t="s">
        <v>22</v>
      </c>
      <c r="F206" t="s">
        <v>30</v>
      </c>
      <c r="G206">
        <v>24</v>
      </c>
      <c r="H206" s="1" t="str">
        <f>IF(Table1[[#This Row],[anxiety_score]]&lt;=10, "Normal", IF(Table1[[#This Row],[anxiety_score]]&lt;=20, "Moderate", IF(Table1[[#This Row],[anxiety_score]]&lt;=30, "Severe", "Extremely Severe")))</f>
        <v>Severe</v>
      </c>
      <c r="I206">
        <v>1.3991127999999999</v>
      </c>
      <c r="J206">
        <v>28</v>
      </c>
      <c r="K206" s="1" t="str">
        <f>IF(Table1[[#This Row],[stress_score]]&lt;=10, "Normal", IF(Table1[[#This Row],[stress_score]]&lt;=20, "Moderate", IF(Table1[[#This Row],[stress_score]]&lt;=30, "Severe", "Extremely Severe")))</f>
        <v>Severe</v>
      </c>
      <c r="L206">
        <v>1.5627863</v>
      </c>
      <c r="M206">
        <v>22</v>
      </c>
      <c r="N206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206">
        <v>1.0101753</v>
      </c>
      <c r="P206">
        <v>24.666665999999999</v>
      </c>
      <c r="Q206">
        <f>ROUND(Table1[[#This Row],[dass21_raw_score]],0)</f>
        <v>25</v>
      </c>
      <c r="R206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206">
        <v>1.3240247999999999</v>
      </c>
      <c r="T206">
        <v>2.4189348000000002</v>
      </c>
      <c r="U206">
        <v>4000</v>
      </c>
      <c r="V206" s="1">
        <f>ROUND(Table1[[#This Row],[fmpce]],0)</f>
        <v>4000</v>
      </c>
      <c r="W206">
        <v>54.418660000000003</v>
      </c>
      <c r="X206" s="4">
        <f>Table1[[#This Row],[mpce]]*89</f>
        <v>4843.2607400000006</v>
      </c>
      <c r="Y206" s="2" t="s">
        <v>32</v>
      </c>
      <c r="Z206" s="3">
        <f>VLOOKUP(Y206, rmpce_reference!$B$1:$D$7,3,FALSE) * 89</f>
        <v>4450</v>
      </c>
      <c r="AA206" s="1" t="str">
        <f>IF(Table1[rmpce_inr]&lt;=rmpce_reference!$F$2, "Low Income", IF(Table1[rmpce_inr]&lt;=rmpce_reference!$F$3, "Middle Income", "High Income"))</f>
        <v>Low Income</v>
      </c>
    </row>
    <row r="207" spans="1:27" x14ac:dyDescent="0.25">
      <c r="A207">
        <v>1206</v>
      </c>
      <c r="B207" t="s">
        <v>20</v>
      </c>
      <c r="C207" t="s">
        <v>21</v>
      </c>
      <c r="D207">
        <v>43</v>
      </c>
      <c r="E207" t="s">
        <v>22</v>
      </c>
      <c r="F207" t="s">
        <v>23</v>
      </c>
      <c r="G207">
        <v>24</v>
      </c>
      <c r="H207" s="1" t="str">
        <f>IF(Table1[[#This Row],[anxiety_score]]&lt;=10, "Normal", IF(Table1[[#This Row],[anxiety_score]]&lt;=20, "Moderate", IF(Table1[[#This Row],[anxiety_score]]&lt;=30, "Severe", "Extremely Severe")))</f>
        <v>Severe</v>
      </c>
      <c r="I207">
        <v>1.3991127999999999</v>
      </c>
      <c r="J207">
        <v>30</v>
      </c>
      <c r="K207" s="1" t="str">
        <f>IF(Table1[[#This Row],[stress_score]]&lt;=10, "Normal", IF(Table1[[#This Row],[stress_score]]&lt;=20, "Moderate", IF(Table1[[#This Row],[stress_score]]&lt;=30, "Severe", "Extremely Severe")))</f>
        <v>Severe</v>
      </c>
      <c r="L207">
        <v>1.7574476000000001</v>
      </c>
      <c r="M207">
        <v>22</v>
      </c>
      <c r="N207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207">
        <v>1.0101753</v>
      </c>
      <c r="P207">
        <v>25.333334000000001</v>
      </c>
      <c r="Q207">
        <f>ROUND(Table1[[#This Row],[dass21_raw_score]],0)</f>
        <v>25</v>
      </c>
      <c r="R207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207">
        <v>1.3889119999999999</v>
      </c>
      <c r="T207">
        <v>2.4838219000000001</v>
      </c>
      <c r="U207">
        <v>2500</v>
      </c>
      <c r="V207" s="1">
        <f>ROUND(Table1[[#This Row],[fmpce]],0)</f>
        <v>2500</v>
      </c>
      <c r="W207">
        <v>34.011659999999999</v>
      </c>
      <c r="X207" s="4">
        <f>Table1[[#This Row],[mpce]]*89</f>
        <v>3027.0377399999998</v>
      </c>
      <c r="Y207" s="2" t="s">
        <v>34</v>
      </c>
      <c r="Z207" s="3">
        <f>VLOOKUP(Y207, rmpce_reference!$B$1:$D$7,3,FALSE) * 89</f>
        <v>2848</v>
      </c>
      <c r="AA207" s="1" t="str">
        <f>IF(Table1[rmpce_inr]&lt;=rmpce_reference!$F$2, "Low Income", IF(Table1[rmpce_inr]&lt;=rmpce_reference!$F$3, "Middle Income", "High Income"))</f>
        <v>Low Income</v>
      </c>
    </row>
    <row r="208" spans="1:27" x14ac:dyDescent="0.25">
      <c r="A208">
        <v>1207</v>
      </c>
      <c r="B208" t="s">
        <v>20</v>
      </c>
      <c r="C208" t="s">
        <v>21</v>
      </c>
      <c r="D208">
        <v>45</v>
      </c>
      <c r="E208" t="s">
        <v>25</v>
      </c>
      <c r="F208" t="s">
        <v>23</v>
      </c>
      <c r="G208">
        <v>26</v>
      </c>
      <c r="H208" s="1" t="str">
        <f>IF(Table1[[#This Row],[anxiety_score]]&lt;=10, "Normal", IF(Table1[[#This Row],[anxiety_score]]&lt;=20, "Moderate", IF(Table1[[#This Row],[anxiety_score]]&lt;=30, "Severe", "Extremely Severe")))</f>
        <v>Severe</v>
      </c>
      <c r="I208">
        <v>1.6001574999999999</v>
      </c>
      <c r="J208">
        <v>22</v>
      </c>
      <c r="K208" s="1" t="str">
        <f>IF(Table1[[#This Row],[stress_score]]&lt;=10, "Normal", IF(Table1[[#This Row],[stress_score]]&lt;=20, "Moderate", IF(Table1[[#This Row],[stress_score]]&lt;=30, "Severe", "Extremely Severe")))</f>
        <v>Severe</v>
      </c>
      <c r="L208">
        <v>0.97880255999999999</v>
      </c>
      <c r="M208">
        <v>28</v>
      </c>
      <c r="N208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208">
        <v>1.5880875999999999</v>
      </c>
      <c r="P208">
        <v>25.333334000000001</v>
      </c>
      <c r="Q208">
        <f>ROUND(Table1[[#This Row],[dass21_raw_score]],0)</f>
        <v>25</v>
      </c>
      <c r="R208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208">
        <v>1.3890159</v>
      </c>
      <c r="T208">
        <v>2.4839258000000002</v>
      </c>
      <c r="U208">
        <v>2666.6667000000002</v>
      </c>
      <c r="V208" s="1">
        <f>ROUND(Table1[[#This Row],[fmpce]],0)</f>
        <v>2667</v>
      </c>
      <c r="W208">
        <v>36.279105999999999</v>
      </c>
      <c r="X208" s="4">
        <f>Table1[[#This Row],[mpce]]*89</f>
        <v>3228.8404339999997</v>
      </c>
      <c r="Y208" s="2" t="s">
        <v>34</v>
      </c>
      <c r="Z208" s="3">
        <f>VLOOKUP(Y208, rmpce_reference!$B$1:$D$7,3,FALSE) * 89</f>
        <v>2848</v>
      </c>
      <c r="AA208" s="1" t="str">
        <f>IF(Table1[rmpce_inr]&lt;=rmpce_reference!$F$2, "Low Income", IF(Table1[rmpce_inr]&lt;=rmpce_reference!$F$3, "Middle Income", "High Income"))</f>
        <v>Low Income</v>
      </c>
    </row>
    <row r="209" spans="1:27" x14ac:dyDescent="0.25">
      <c r="A209">
        <v>1208</v>
      </c>
      <c r="B209" t="s">
        <v>20</v>
      </c>
      <c r="C209" t="s">
        <v>29</v>
      </c>
      <c r="D209">
        <v>31</v>
      </c>
      <c r="E209" t="s">
        <v>25</v>
      </c>
      <c r="F209" t="s">
        <v>23</v>
      </c>
      <c r="G209">
        <v>26</v>
      </c>
      <c r="H209" s="1" t="str">
        <f>IF(Table1[[#This Row],[anxiety_score]]&lt;=10, "Normal", IF(Table1[[#This Row],[anxiety_score]]&lt;=20, "Moderate", IF(Table1[[#This Row],[anxiety_score]]&lt;=30, "Severe", "Extremely Severe")))</f>
        <v>Severe</v>
      </c>
      <c r="I209">
        <v>1.6001574999999999</v>
      </c>
      <c r="J209">
        <v>24</v>
      </c>
      <c r="K209" s="1" t="str">
        <f>IF(Table1[[#This Row],[stress_score]]&lt;=10, "Normal", IF(Table1[[#This Row],[stress_score]]&lt;=20, "Moderate", IF(Table1[[#This Row],[stress_score]]&lt;=30, "Severe", "Extremely Severe")))</f>
        <v>Severe</v>
      </c>
      <c r="L209">
        <v>1.1734637999999999</v>
      </c>
      <c r="M209">
        <v>24</v>
      </c>
      <c r="N209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209">
        <v>1.2028128</v>
      </c>
      <c r="P209">
        <v>24.666665999999999</v>
      </c>
      <c r="Q209">
        <f>ROUND(Table1[[#This Row],[dass21_raw_score]],0)</f>
        <v>25</v>
      </c>
      <c r="R209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209">
        <v>1.3254781</v>
      </c>
      <c r="T209">
        <v>2.420388</v>
      </c>
      <c r="U209">
        <v>1333.3334</v>
      </c>
      <c r="V209" s="1">
        <f>ROUND(Table1[[#This Row],[fmpce]],0)</f>
        <v>1333</v>
      </c>
      <c r="W209">
        <v>18.139552999999999</v>
      </c>
      <c r="X209" s="4">
        <f>Table1[[#This Row],[mpce]]*89</f>
        <v>1614.4202169999999</v>
      </c>
      <c r="Y209" s="2" t="s">
        <v>24</v>
      </c>
      <c r="Z209" s="3">
        <f>VLOOKUP(Y209, rmpce_reference!$B$1:$D$7,3,FALSE) * 89</f>
        <v>2225</v>
      </c>
      <c r="AA209" s="1" t="str">
        <f>IF(Table1[rmpce_inr]&lt;=rmpce_reference!$F$2, "Low Income", IF(Table1[rmpce_inr]&lt;=rmpce_reference!$F$3, "Middle Income", "High Income"))</f>
        <v>Low Income</v>
      </c>
    </row>
    <row r="210" spans="1:27" x14ac:dyDescent="0.25">
      <c r="A210">
        <v>1209</v>
      </c>
      <c r="B210" t="s">
        <v>20</v>
      </c>
      <c r="C210" t="s">
        <v>33</v>
      </c>
      <c r="D210">
        <v>26</v>
      </c>
      <c r="E210" t="s">
        <v>25</v>
      </c>
      <c r="F210" t="s">
        <v>26</v>
      </c>
      <c r="G210">
        <v>22</v>
      </c>
      <c r="H210" s="1" t="str">
        <f>IF(Table1[[#This Row],[anxiety_score]]&lt;=10, "Normal", IF(Table1[[#This Row],[anxiety_score]]&lt;=20, "Moderate", IF(Table1[[#This Row],[anxiety_score]]&lt;=30, "Severe", "Extremely Severe")))</f>
        <v>Severe</v>
      </c>
      <c r="I210">
        <v>1.1980683000000001</v>
      </c>
      <c r="J210">
        <v>28</v>
      </c>
      <c r="K210" s="1" t="str">
        <f>IF(Table1[[#This Row],[stress_score]]&lt;=10, "Normal", IF(Table1[[#This Row],[stress_score]]&lt;=20, "Moderate", IF(Table1[[#This Row],[stress_score]]&lt;=30, "Severe", "Extremely Severe")))</f>
        <v>Severe</v>
      </c>
      <c r="L210">
        <v>1.5627863</v>
      </c>
      <c r="M210">
        <v>24</v>
      </c>
      <c r="N210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210">
        <v>1.2028128</v>
      </c>
      <c r="P210">
        <v>24.666665999999999</v>
      </c>
      <c r="Q210">
        <f>ROUND(Table1[[#This Row],[dass21_raw_score]],0)</f>
        <v>25</v>
      </c>
      <c r="R210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210">
        <v>1.3212223999999999</v>
      </c>
      <c r="T210">
        <v>2.4161324999999998</v>
      </c>
      <c r="U210">
        <v>2500</v>
      </c>
      <c r="V210" s="1">
        <f>ROUND(Table1[[#This Row],[fmpce]],0)</f>
        <v>2500</v>
      </c>
      <c r="W210">
        <v>34.011659999999999</v>
      </c>
      <c r="X210" s="4">
        <f>Table1[[#This Row],[mpce]]*89</f>
        <v>3027.0377399999998</v>
      </c>
      <c r="Y210" s="2" t="s">
        <v>34</v>
      </c>
      <c r="Z210" s="3">
        <f>VLOOKUP(Y210, rmpce_reference!$B$1:$D$7,3,FALSE) * 89</f>
        <v>2848</v>
      </c>
      <c r="AA210" s="1" t="str">
        <f>IF(Table1[rmpce_inr]&lt;=rmpce_reference!$F$2, "Low Income", IF(Table1[rmpce_inr]&lt;=rmpce_reference!$F$3, "Middle Income", "High Income"))</f>
        <v>Low Income</v>
      </c>
    </row>
    <row r="211" spans="1:27" x14ac:dyDescent="0.25">
      <c r="A211">
        <v>1210</v>
      </c>
      <c r="B211" t="s">
        <v>20</v>
      </c>
      <c r="C211" t="s">
        <v>21</v>
      </c>
      <c r="D211">
        <v>50</v>
      </c>
      <c r="E211" t="s">
        <v>25</v>
      </c>
      <c r="F211" t="s">
        <v>23</v>
      </c>
      <c r="G211">
        <v>22</v>
      </c>
      <c r="H211" s="1" t="str">
        <f>IF(Table1[[#This Row],[anxiety_score]]&lt;=10, "Normal", IF(Table1[[#This Row],[anxiety_score]]&lt;=20, "Moderate", IF(Table1[[#This Row],[anxiety_score]]&lt;=30, "Severe", "Extremely Severe")))</f>
        <v>Severe</v>
      </c>
      <c r="I211">
        <v>1.1980683000000001</v>
      </c>
      <c r="J211">
        <v>24</v>
      </c>
      <c r="K211" s="1" t="str">
        <f>IF(Table1[[#This Row],[stress_score]]&lt;=10, "Normal", IF(Table1[[#This Row],[stress_score]]&lt;=20, "Moderate", IF(Table1[[#This Row],[stress_score]]&lt;=30, "Severe", "Extremely Severe")))</f>
        <v>Severe</v>
      </c>
      <c r="L211">
        <v>1.1734637999999999</v>
      </c>
      <c r="M211">
        <v>24</v>
      </c>
      <c r="N211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211">
        <v>1.2028128</v>
      </c>
      <c r="P211">
        <v>23.333334000000001</v>
      </c>
      <c r="Q211">
        <f>ROUND(Table1[[#This Row],[dass21_raw_score]],0)</f>
        <v>23</v>
      </c>
      <c r="R211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211">
        <v>1.1914483</v>
      </c>
      <c r="T211">
        <v>2.2863584000000001</v>
      </c>
      <c r="U211">
        <v>3000</v>
      </c>
      <c r="V211" s="1">
        <f>ROUND(Table1[[#This Row],[fmpce]],0)</f>
        <v>3000</v>
      </c>
      <c r="W211">
        <v>40.813994999999998</v>
      </c>
      <c r="X211" s="4">
        <f>Table1[[#This Row],[mpce]]*89</f>
        <v>3632.4455549999998</v>
      </c>
      <c r="Y211" s="2" t="s">
        <v>32</v>
      </c>
      <c r="Z211" s="3">
        <f>VLOOKUP(Y211, rmpce_reference!$B$1:$D$7,3,FALSE) * 89</f>
        <v>4450</v>
      </c>
      <c r="AA211" s="1" t="str">
        <f>IF(Table1[rmpce_inr]&lt;=rmpce_reference!$F$2, "Low Income", IF(Table1[rmpce_inr]&lt;=rmpce_reference!$F$3, "Middle Income", "High Income"))</f>
        <v>Low Income</v>
      </c>
    </row>
    <row r="212" spans="1:27" x14ac:dyDescent="0.25">
      <c r="A212">
        <v>1211</v>
      </c>
      <c r="B212" t="s">
        <v>20</v>
      </c>
      <c r="C212" t="s">
        <v>29</v>
      </c>
      <c r="D212">
        <v>37</v>
      </c>
      <c r="E212" t="s">
        <v>25</v>
      </c>
      <c r="F212" t="s">
        <v>23</v>
      </c>
      <c r="G212">
        <v>28</v>
      </c>
      <c r="H212" s="1" t="str">
        <f>IF(Table1[[#This Row],[anxiety_score]]&lt;=10, "Normal", IF(Table1[[#This Row],[anxiety_score]]&lt;=20, "Moderate", IF(Table1[[#This Row],[anxiety_score]]&lt;=30, "Severe", "Extremely Severe")))</f>
        <v>Severe</v>
      </c>
      <c r="I212">
        <v>1.801202</v>
      </c>
      <c r="J212">
        <v>28</v>
      </c>
      <c r="K212" s="1" t="str">
        <f>IF(Table1[[#This Row],[stress_score]]&lt;=10, "Normal", IF(Table1[[#This Row],[stress_score]]&lt;=20, "Moderate", IF(Table1[[#This Row],[stress_score]]&lt;=30, "Severe", "Extremely Severe")))</f>
        <v>Severe</v>
      </c>
      <c r="L212">
        <v>1.5627863</v>
      </c>
      <c r="M212">
        <v>24</v>
      </c>
      <c r="N212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212">
        <v>1.2028128</v>
      </c>
      <c r="P212">
        <v>26.666665999999999</v>
      </c>
      <c r="Q212">
        <f>ROUND(Table1[[#This Row],[dass21_raw_score]],0)</f>
        <v>27</v>
      </c>
      <c r="R212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212">
        <v>1.5222671000000001</v>
      </c>
      <c r="T212">
        <v>2.6171769999999999</v>
      </c>
      <c r="U212">
        <v>36000.199999999997</v>
      </c>
      <c r="V212" s="1">
        <f>ROUND(Table1[[#This Row],[fmpce]],0)</f>
        <v>36000</v>
      </c>
      <c r="W212">
        <v>489.77062999999998</v>
      </c>
      <c r="X212" s="4">
        <f>Table1[[#This Row],[mpce]]*89</f>
        <v>43589.586069999998</v>
      </c>
      <c r="Y212" s="2" t="s">
        <v>35</v>
      </c>
      <c r="Z212" s="3">
        <f>VLOOKUP(Y212, rmpce_reference!$B$1:$D$7,3,FALSE) * 89</f>
        <v>9790</v>
      </c>
      <c r="AA212" s="1" t="str">
        <f>IF(Table1[rmpce_inr]&lt;=rmpce_reference!$F$2, "Low Income", IF(Table1[rmpce_inr]&lt;=rmpce_reference!$F$3, "Middle Income", "High Income"))</f>
        <v>High Income</v>
      </c>
    </row>
    <row r="213" spans="1:27" x14ac:dyDescent="0.25">
      <c r="A213">
        <v>1212</v>
      </c>
      <c r="B213" t="s">
        <v>20</v>
      </c>
      <c r="C213" t="s">
        <v>21</v>
      </c>
      <c r="D213">
        <v>45</v>
      </c>
      <c r="E213" t="s">
        <v>25</v>
      </c>
      <c r="F213" t="s">
        <v>30</v>
      </c>
      <c r="G213">
        <v>20</v>
      </c>
      <c r="H213" s="1" t="str">
        <f>IF(Table1[[#This Row],[anxiety_score]]&lt;=10, "Normal", IF(Table1[[#This Row],[anxiety_score]]&lt;=20, "Moderate", IF(Table1[[#This Row],[anxiety_score]]&lt;=30, "Severe", "Extremely Severe")))</f>
        <v>Moderate</v>
      </c>
      <c r="I213">
        <v>0.99702360000000001</v>
      </c>
      <c r="J213">
        <v>28</v>
      </c>
      <c r="K213" s="1" t="str">
        <f>IF(Table1[[#This Row],[stress_score]]&lt;=10, "Normal", IF(Table1[[#This Row],[stress_score]]&lt;=20, "Moderate", IF(Table1[[#This Row],[stress_score]]&lt;=30, "Severe", "Extremely Severe")))</f>
        <v>Severe</v>
      </c>
      <c r="L213">
        <v>1.5627863</v>
      </c>
      <c r="M213">
        <v>24</v>
      </c>
      <c r="N213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213">
        <v>1.2028128</v>
      </c>
      <c r="P213">
        <v>24</v>
      </c>
      <c r="Q213">
        <f>ROUND(Table1[[#This Row],[dass21_raw_score]],0)</f>
        <v>24</v>
      </c>
      <c r="R213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213">
        <v>1.2542076</v>
      </c>
      <c r="T213">
        <v>2.3491175000000002</v>
      </c>
      <c r="U213">
        <v>1750</v>
      </c>
      <c r="V213" s="1">
        <f>ROUND(Table1[[#This Row],[fmpce]],0)</f>
        <v>1750</v>
      </c>
      <c r="W213">
        <v>23.808163</v>
      </c>
      <c r="X213" s="4">
        <f>Table1[[#This Row],[mpce]]*89</f>
        <v>2118.9265070000001</v>
      </c>
      <c r="Y213" s="2" t="s">
        <v>24</v>
      </c>
      <c r="Z213" s="3">
        <f>VLOOKUP(Y213, rmpce_reference!$B$1:$D$7,3,FALSE) * 89</f>
        <v>2225</v>
      </c>
      <c r="AA213" s="1" t="str">
        <f>IF(Table1[rmpce_inr]&lt;=rmpce_reference!$F$2, "Low Income", IF(Table1[rmpce_inr]&lt;=rmpce_reference!$F$3, "Middle Income", "High Income"))</f>
        <v>Low Income</v>
      </c>
    </row>
    <row r="214" spans="1:27" x14ac:dyDescent="0.25">
      <c r="A214">
        <v>1213</v>
      </c>
      <c r="B214" t="s">
        <v>20</v>
      </c>
      <c r="C214" t="s">
        <v>21</v>
      </c>
      <c r="D214">
        <v>48</v>
      </c>
      <c r="E214" t="s">
        <v>25</v>
      </c>
      <c r="F214" t="s">
        <v>26</v>
      </c>
      <c r="G214">
        <v>28</v>
      </c>
      <c r="H214" s="1" t="str">
        <f>IF(Table1[[#This Row],[anxiety_score]]&lt;=10, "Normal", IF(Table1[[#This Row],[anxiety_score]]&lt;=20, "Moderate", IF(Table1[[#This Row],[anxiety_score]]&lt;=30, "Severe", "Extremely Severe")))</f>
        <v>Severe</v>
      </c>
      <c r="I214">
        <v>1.801202</v>
      </c>
      <c r="J214">
        <v>24</v>
      </c>
      <c r="K214" s="1" t="str">
        <f>IF(Table1[[#This Row],[stress_score]]&lt;=10, "Normal", IF(Table1[[#This Row],[stress_score]]&lt;=20, "Moderate", IF(Table1[[#This Row],[stress_score]]&lt;=30, "Severe", "Extremely Severe")))</f>
        <v>Severe</v>
      </c>
      <c r="L214">
        <v>1.1734637999999999</v>
      </c>
      <c r="M214">
        <v>32</v>
      </c>
      <c r="N214" s="1" t="str">
        <f>IF(Table1[[#This Row],[depression_score]]&lt;=10, "Normal", IF(Table1[[#This Row],[depression_score]]&lt;=20, "Moderate", IF(Table1[[#This Row],[depression_score]]&lt;=30, "Severe", "Extremely Severe")))</f>
        <v>Extremely Severe</v>
      </c>
      <c r="O214">
        <v>1.9733623</v>
      </c>
      <c r="P214">
        <v>28</v>
      </c>
      <c r="Q214">
        <f>ROUND(Table1[[#This Row],[dass21_raw_score]],0)</f>
        <v>28</v>
      </c>
      <c r="R214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214">
        <v>1.6493428000000001</v>
      </c>
      <c r="T214">
        <v>2.7442527000000001</v>
      </c>
      <c r="U214">
        <v>2333.3332999999998</v>
      </c>
      <c r="V214" s="1">
        <f>ROUND(Table1[[#This Row],[fmpce]],0)</f>
        <v>2333</v>
      </c>
      <c r="W214">
        <v>31.744216999999999</v>
      </c>
      <c r="X214" s="4">
        <f>Table1[[#This Row],[mpce]]*89</f>
        <v>2825.2353130000001</v>
      </c>
      <c r="Y214" s="2" t="s">
        <v>34</v>
      </c>
      <c r="Z214" s="3">
        <f>VLOOKUP(Y214, rmpce_reference!$B$1:$D$7,3,FALSE) * 89</f>
        <v>2848</v>
      </c>
      <c r="AA214" s="1" t="str">
        <f>IF(Table1[rmpce_inr]&lt;=rmpce_reference!$F$2, "Low Income", IF(Table1[rmpce_inr]&lt;=rmpce_reference!$F$3, "Middle Income", "High Income"))</f>
        <v>Low Income</v>
      </c>
    </row>
    <row r="215" spans="1:27" x14ac:dyDescent="0.25">
      <c r="A215">
        <v>1214</v>
      </c>
      <c r="B215" t="s">
        <v>20</v>
      </c>
      <c r="C215" t="s">
        <v>29</v>
      </c>
      <c r="D215">
        <v>38</v>
      </c>
      <c r="E215" t="s">
        <v>25</v>
      </c>
      <c r="F215" t="s">
        <v>26</v>
      </c>
      <c r="G215">
        <v>28</v>
      </c>
      <c r="H215" s="1" t="str">
        <f>IF(Table1[[#This Row],[anxiety_score]]&lt;=10, "Normal", IF(Table1[[#This Row],[anxiety_score]]&lt;=20, "Moderate", IF(Table1[[#This Row],[anxiety_score]]&lt;=30, "Severe", "Extremely Severe")))</f>
        <v>Severe</v>
      </c>
      <c r="I215">
        <v>1.801202</v>
      </c>
      <c r="J215">
        <v>20</v>
      </c>
      <c r="K215" s="1" t="str">
        <f>IF(Table1[[#This Row],[stress_score]]&lt;=10, "Normal", IF(Table1[[#This Row],[stress_score]]&lt;=20, "Moderate", IF(Table1[[#This Row],[stress_score]]&lt;=30, "Severe", "Extremely Severe")))</f>
        <v>Moderate</v>
      </c>
      <c r="L215">
        <v>0.78414130000000004</v>
      </c>
      <c r="M215">
        <v>32</v>
      </c>
      <c r="N215" s="1" t="str">
        <f>IF(Table1[[#This Row],[depression_score]]&lt;=10, "Normal", IF(Table1[[#This Row],[depression_score]]&lt;=20, "Moderate", IF(Table1[[#This Row],[depression_score]]&lt;=30, "Severe", "Extremely Severe")))</f>
        <v>Extremely Severe</v>
      </c>
      <c r="O215">
        <v>1.9733623</v>
      </c>
      <c r="P215">
        <v>26.666665999999999</v>
      </c>
      <c r="Q215">
        <f>ROUND(Table1[[#This Row],[dass21_raw_score]],0)</f>
        <v>27</v>
      </c>
      <c r="R215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215">
        <v>1.5195685999999999</v>
      </c>
      <c r="T215">
        <v>2.6144786</v>
      </c>
      <c r="U215">
        <v>3250</v>
      </c>
      <c r="V215" s="1">
        <f>ROUND(Table1[[#This Row],[fmpce]],0)</f>
        <v>3250</v>
      </c>
      <c r="W215">
        <v>44.215159999999997</v>
      </c>
      <c r="X215" s="4">
        <f>Table1[[#This Row],[mpce]]*89</f>
        <v>3935.1492399999997</v>
      </c>
      <c r="Y215" s="2" t="s">
        <v>32</v>
      </c>
      <c r="Z215" s="3">
        <f>VLOOKUP(Y215, rmpce_reference!$B$1:$D$7,3,FALSE) * 89</f>
        <v>4450</v>
      </c>
      <c r="AA215" s="1" t="str">
        <f>IF(Table1[rmpce_inr]&lt;=rmpce_reference!$F$2, "Low Income", IF(Table1[rmpce_inr]&lt;=rmpce_reference!$F$3, "Middle Income", "High Income"))</f>
        <v>Low Income</v>
      </c>
    </row>
    <row r="216" spans="1:27" x14ac:dyDescent="0.25">
      <c r="A216">
        <v>1215</v>
      </c>
      <c r="B216" t="s">
        <v>20</v>
      </c>
      <c r="C216" t="s">
        <v>33</v>
      </c>
      <c r="D216">
        <v>29</v>
      </c>
      <c r="E216" t="s">
        <v>25</v>
      </c>
      <c r="F216" t="s">
        <v>30</v>
      </c>
      <c r="G216">
        <v>18</v>
      </c>
      <c r="H216" s="1" t="str">
        <f>IF(Table1[[#This Row],[anxiety_score]]&lt;=10, "Normal", IF(Table1[[#This Row],[anxiety_score]]&lt;=20, "Moderate", IF(Table1[[#This Row],[anxiety_score]]&lt;=30, "Severe", "Extremely Severe")))</f>
        <v>Moderate</v>
      </c>
      <c r="I216">
        <v>0.79597896000000001</v>
      </c>
      <c r="J216">
        <v>26</v>
      </c>
      <c r="K216" s="1" t="str">
        <f>IF(Table1[[#This Row],[stress_score]]&lt;=10, "Normal", IF(Table1[[#This Row],[stress_score]]&lt;=20, "Moderate", IF(Table1[[#This Row],[stress_score]]&lt;=30, "Severe", "Extremely Severe")))</f>
        <v>Severe</v>
      </c>
      <c r="L216">
        <v>1.3681251000000001</v>
      </c>
      <c r="M216">
        <v>26</v>
      </c>
      <c r="N216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216">
        <v>1.3954502</v>
      </c>
      <c r="P216">
        <v>23.333334000000001</v>
      </c>
      <c r="Q216">
        <f>ROUND(Table1[[#This Row],[dass21_raw_score]],0)</f>
        <v>23</v>
      </c>
      <c r="R216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216">
        <v>1.1865181</v>
      </c>
      <c r="T216">
        <v>2.2814279000000002</v>
      </c>
      <c r="U216">
        <v>2800</v>
      </c>
      <c r="V216" s="1">
        <f>ROUND(Table1[[#This Row],[fmpce]],0)</f>
        <v>2800</v>
      </c>
      <c r="W216">
        <v>38.093060000000001</v>
      </c>
      <c r="X216" s="4">
        <f>Table1[[#This Row],[mpce]]*89</f>
        <v>3390.2823400000002</v>
      </c>
      <c r="Y216" s="2" t="s">
        <v>34</v>
      </c>
      <c r="Z216" s="3">
        <f>VLOOKUP(Y216, rmpce_reference!$B$1:$D$7,3,FALSE) * 89</f>
        <v>2848</v>
      </c>
      <c r="AA216" s="1" t="str">
        <f>IF(Table1[rmpce_inr]&lt;=rmpce_reference!$F$2, "Low Income", IF(Table1[rmpce_inr]&lt;=rmpce_reference!$F$3, "Middle Income", "High Income"))</f>
        <v>Low Income</v>
      </c>
    </row>
    <row r="217" spans="1:27" x14ac:dyDescent="0.25">
      <c r="A217">
        <v>1216</v>
      </c>
      <c r="B217" t="s">
        <v>20</v>
      </c>
      <c r="C217" t="s">
        <v>33</v>
      </c>
      <c r="D217">
        <v>27</v>
      </c>
      <c r="E217" t="s">
        <v>25</v>
      </c>
      <c r="F217" t="s">
        <v>30</v>
      </c>
      <c r="G217">
        <v>24</v>
      </c>
      <c r="H217" s="1" t="str">
        <f>IF(Table1[[#This Row],[anxiety_score]]&lt;=10, "Normal", IF(Table1[[#This Row],[anxiety_score]]&lt;=20, "Moderate", IF(Table1[[#This Row],[anxiety_score]]&lt;=30, "Severe", "Extremely Severe")))</f>
        <v>Severe</v>
      </c>
      <c r="I217">
        <v>1.3991127999999999</v>
      </c>
      <c r="J217">
        <v>26</v>
      </c>
      <c r="K217" s="1" t="str">
        <f>IF(Table1[[#This Row],[stress_score]]&lt;=10, "Normal", IF(Table1[[#This Row],[stress_score]]&lt;=20, "Moderate", IF(Table1[[#This Row],[stress_score]]&lt;=30, "Severe", "Extremely Severe")))</f>
        <v>Severe</v>
      </c>
      <c r="L217">
        <v>1.3681251000000001</v>
      </c>
      <c r="M217">
        <v>28</v>
      </c>
      <c r="N217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217">
        <v>1.5880875999999999</v>
      </c>
      <c r="P217">
        <v>26</v>
      </c>
      <c r="Q217">
        <f>ROUND(Table1[[#This Row],[dass21_raw_score]],0)</f>
        <v>26</v>
      </c>
      <c r="R217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217">
        <v>1.4517751999999999</v>
      </c>
      <c r="T217">
        <v>2.5466852000000002</v>
      </c>
      <c r="U217">
        <v>2666.6667000000002</v>
      </c>
      <c r="V217" s="1">
        <f>ROUND(Table1[[#This Row],[fmpce]],0)</f>
        <v>2667</v>
      </c>
      <c r="W217">
        <v>36.279105999999999</v>
      </c>
      <c r="X217" s="4">
        <f>Table1[[#This Row],[mpce]]*89</f>
        <v>3228.8404339999997</v>
      </c>
      <c r="Y217" s="2" t="s">
        <v>34</v>
      </c>
      <c r="Z217" s="3">
        <f>VLOOKUP(Y217, rmpce_reference!$B$1:$D$7,3,FALSE) * 89</f>
        <v>2848</v>
      </c>
      <c r="AA217" s="1" t="str">
        <f>IF(Table1[rmpce_inr]&lt;=rmpce_reference!$F$2, "Low Income", IF(Table1[rmpce_inr]&lt;=rmpce_reference!$F$3, "Middle Income", "High Income"))</f>
        <v>Low Income</v>
      </c>
    </row>
    <row r="218" spans="1:27" x14ac:dyDescent="0.25">
      <c r="A218">
        <v>1217</v>
      </c>
      <c r="B218" t="s">
        <v>20</v>
      </c>
      <c r="C218" t="s">
        <v>33</v>
      </c>
      <c r="D218">
        <v>26</v>
      </c>
      <c r="E218" t="s">
        <v>25</v>
      </c>
      <c r="F218" t="s">
        <v>26</v>
      </c>
      <c r="G218">
        <v>22</v>
      </c>
      <c r="H218" s="1" t="str">
        <f>IF(Table1[[#This Row],[anxiety_score]]&lt;=10, "Normal", IF(Table1[[#This Row],[anxiety_score]]&lt;=20, "Moderate", IF(Table1[[#This Row],[anxiety_score]]&lt;=30, "Severe", "Extremely Severe")))</f>
        <v>Severe</v>
      </c>
      <c r="I218">
        <v>1.1980683000000001</v>
      </c>
      <c r="J218">
        <v>22</v>
      </c>
      <c r="K218" s="1" t="str">
        <f>IF(Table1[[#This Row],[stress_score]]&lt;=10, "Normal", IF(Table1[[#This Row],[stress_score]]&lt;=20, "Moderate", IF(Table1[[#This Row],[stress_score]]&lt;=30, "Severe", "Extremely Severe")))</f>
        <v>Severe</v>
      </c>
      <c r="L218">
        <v>0.97880255999999999</v>
      </c>
      <c r="M218">
        <v>28</v>
      </c>
      <c r="N218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218">
        <v>1.5880875999999999</v>
      </c>
      <c r="P218">
        <v>24</v>
      </c>
      <c r="Q218">
        <f>ROUND(Table1[[#This Row],[dass21_raw_score]],0)</f>
        <v>24</v>
      </c>
      <c r="R218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218">
        <v>1.2549862000000001</v>
      </c>
      <c r="T218">
        <v>2.3498960000000002</v>
      </c>
      <c r="U218">
        <v>2800</v>
      </c>
      <c r="V218" s="1">
        <f>ROUND(Table1[[#This Row],[fmpce]],0)</f>
        <v>2800</v>
      </c>
      <c r="W218">
        <v>38.093060000000001</v>
      </c>
      <c r="X218" s="4">
        <f>Table1[[#This Row],[mpce]]*89</f>
        <v>3390.2823400000002</v>
      </c>
      <c r="Y218" s="2" t="s">
        <v>34</v>
      </c>
      <c r="Z218" s="3">
        <f>VLOOKUP(Y218, rmpce_reference!$B$1:$D$7,3,FALSE) * 89</f>
        <v>2848</v>
      </c>
      <c r="AA218" s="1" t="str">
        <f>IF(Table1[rmpce_inr]&lt;=rmpce_reference!$F$2, "Low Income", IF(Table1[rmpce_inr]&lt;=rmpce_reference!$F$3, "Middle Income", "High Income"))</f>
        <v>Low Income</v>
      </c>
    </row>
    <row r="219" spans="1:27" x14ac:dyDescent="0.25">
      <c r="A219">
        <v>1218</v>
      </c>
      <c r="B219" t="s">
        <v>20</v>
      </c>
      <c r="C219" t="s">
        <v>33</v>
      </c>
      <c r="D219">
        <v>26</v>
      </c>
      <c r="E219" t="s">
        <v>25</v>
      </c>
      <c r="F219" t="s">
        <v>30</v>
      </c>
      <c r="G219">
        <v>24</v>
      </c>
      <c r="H219" s="1" t="str">
        <f>IF(Table1[[#This Row],[anxiety_score]]&lt;=10, "Normal", IF(Table1[[#This Row],[anxiety_score]]&lt;=20, "Moderate", IF(Table1[[#This Row],[anxiety_score]]&lt;=30, "Severe", "Extremely Severe")))</f>
        <v>Severe</v>
      </c>
      <c r="I219">
        <v>1.3991127999999999</v>
      </c>
      <c r="J219">
        <v>28</v>
      </c>
      <c r="K219" s="1" t="str">
        <f>IF(Table1[[#This Row],[stress_score]]&lt;=10, "Normal", IF(Table1[[#This Row],[stress_score]]&lt;=20, "Moderate", IF(Table1[[#This Row],[stress_score]]&lt;=30, "Severe", "Extremely Severe")))</f>
        <v>Severe</v>
      </c>
      <c r="L219">
        <v>1.5627863</v>
      </c>
      <c r="M219">
        <v>28</v>
      </c>
      <c r="N219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219">
        <v>1.5880875999999999</v>
      </c>
      <c r="P219">
        <v>26.666665999999999</v>
      </c>
      <c r="Q219">
        <f>ROUND(Table1[[#This Row],[dass21_raw_score]],0)</f>
        <v>27</v>
      </c>
      <c r="R219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219">
        <v>1.5166622000000001</v>
      </c>
      <c r="T219">
        <v>2.6115723000000002</v>
      </c>
      <c r="U219">
        <v>3500</v>
      </c>
      <c r="V219" s="1">
        <f>ROUND(Table1[[#This Row],[fmpce]],0)</f>
        <v>3500</v>
      </c>
      <c r="W219">
        <v>47.616325000000003</v>
      </c>
      <c r="X219" s="4">
        <f>Table1[[#This Row],[mpce]]*89</f>
        <v>4237.8529250000001</v>
      </c>
      <c r="Y219" s="2" t="s">
        <v>32</v>
      </c>
      <c r="Z219" s="3">
        <f>VLOOKUP(Y219, rmpce_reference!$B$1:$D$7,3,FALSE) * 89</f>
        <v>4450</v>
      </c>
      <c r="AA219" s="1" t="str">
        <f>IF(Table1[rmpce_inr]&lt;=rmpce_reference!$F$2, "Low Income", IF(Table1[rmpce_inr]&lt;=rmpce_reference!$F$3, "Middle Income", "High Income"))</f>
        <v>Low Income</v>
      </c>
    </row>
    <row r="220" spans="1:27" x14ac:dyDescent="0.25">
      <c r="A220">
        <v>1219</v>
      </c>
      <c r="B220" t="s">
        <v>20</v>
      </c>
      <c r="C220" t="s">
        <v>29</v>
      </c>
      <c r="D220">
        <v>40</v>
      </c>
      <c r="E220" t="s">
        <v>22</v>
      </c>
      <c r="F220" t="s">
        <v>30</v>
      </c>
      <c r="G220">
        <v>0</v>
      </c>
      <c r="H220" s="1" t="str">
        <f>IF(Table1[[#This Row],[anxiety_score]]&lt;=10, "Normal", IF(Table1[[#This Row],[anxiety_score]]&lt;=20, "Moderate", IF(Table1[[#This Row],[anxiety_score]]&lt;=30, "Severe", "Extremely Severe")))</f>
        <v>Normal</v>
      </c>
      <c r="I220">
        <v>-1.0134224999999999</v>
      </c>
      <c r="J220">
        <v>0</v>
      </c>
      <c r="K220" s="1" t="str">
        <f>IF(Table1[[#This Row],[stress_score]]&lt;=10, "Normal", IF(Table1[[#This Row],[stress_score]]&lt;=20, "Moderate", IF(Table1[[#This Row],[stress_score]]&lt;=30, "Severe", "Extremely Severe")))</f>
        <v>Normal</v>
      </c>
      <c r="L220">
        <v>-1.1624711999999999</v>
      </c>
      <c r="M220">
        <v>0</v>
      </c>
      <c r="N220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220">
        <v>-1.1088359000000001</v>
      </c>
      <c r="P220">
        <v>0</v>
      </c>
      <c r="Q220">
        <f>ROUND(Table1[[#This Row],[dass21_raw_score]],0)</f>
        <v>0</v>
      </c>
      <c r="R220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220">
        <v>-1.0949099</v>
      </c>
      <c r="T220">
        <v>0</v>
      </c>
      <c r="U220">
        <v>15000</v>
      </c>
      <c r="V220" s="1">
        <f>ROUND(Table1[[#This Row],[fmpce]],0)</f>
        <v>15000</v>
      </c>
      <c r="W220">
        <v>204.06997999999999</v>
      </c>
      <c r="X220" s="4">
        <f>Table1[[#This Row],[mpce]]*89</f>
        <v>18162.228219999997</v>
      </c>
      <c r="Y220" s="2" t="s">
        <v>35</v>
      </c>
      <c r="Z220" s="3">
        <f>VLOOKUP(Y220, rmpce_reference!$B$1:$D$7,3,FALSE) * 89</f>
        <v>9790</v>
      </c>
      <c r="AA220" s="1" t="str">
        <f>IF(Table1[rmpce_inr]&lt;=rmpce_reference!$F$2, "Low Income", IF(Table1[rmpce_inr]&lt;=rmpce_reference!$F$3, "Middle Income", "High Income"))</f>
        <v>High Income</v>
      </c>
    </row>
    <row r="221" spans="1:27" x14ac:dyDescent="0.25">
      <c r="A221">
        <v>1220</v>
      </c>
      <c r="B221" t="s">
        <v>20</v>
      </c>
      <c r="C221" t="s">
        <v>21</v>
      </c>
      <c r="D221">
        <v>48</v>
      </c>
      <c r="E221" t="s">
        <v>25</v>
      </c>
      <c r="F221" t="s">
        <v>23</v>
      </c>
      <c r="G221">
        <v>26</v>
      </c>
      <c r="H221" s="1" t="str">
        <f>IF(Table1[[#This Row],[anxiety_score]]&lt;=10, "Normal", IF(Table1[[#This Row],[anxiety_score]]&lt;=20, "Moderate", IF(Table1[[#This Row],[anxiety_score]]&lt;=30, "Severe", "Extremely Severe")))</f>
        <v>Severe</v>
      </c>
      <c r="I221">
        <v>1.6001574999999999</v>
      </c>
      <c r="J221">
        <v>26</v>
      </c>
      <c r="K221" s="1" t="str">
        <f>IF(Table1[[#This Row],[stress_score]]&lt;=10, "Normal", IF(Table1[[#This Row],[stress_score]]&lt;=20, "Moderate", IF(Table1[[#This Row],[stress_score]]&lt;=30, "Severe", "Extremely Severe")))</f>
        <v>Severe</v>
      </c>
      <c r="L221">
        <v>1.3681251000000001</v>
      </c>
      <c r="M221">
        <v>24</v>
      </c>
      <c r="N221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221">
        <v>1.2028128</v>
      </c>
      <c r="P221">
        <v>25.333334000000001</v>
      </c>
      <c r="Q221">
        <f>ROUND(Table1[[#This Row],[dass21_raw_score]],0)</f>
        <v>25</v>
      </c>
      <c r="R221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221">
        <v>1.3903650999999999</v>
      </c>
      <c r="T221">
        <v>2.4852750000000001</v>
      </c>
      <c r="U221">
        <v>2666.6667000000002</v>
      </c>
      <c r="V221" s="1">
        <f>ROUND(Table1[[#This Row],[fmpce]],0)</f>
        <v>2667</v>
      </c>
      <c r="W221">
        <v>36.279105999999999</v>
      </c>
      <c r="X221" s="4">
        <f>Table1[[#This Row],[mpce]]*89</f>
        <v>3228.8404339999997</v>
      </c>
      <c r="Y221" s="2" t="s">
        <v>34</v>
      </c>
      <c r="Z221" s="3">
        <f>VLOOKUP(Y221, rmpce_reference!$B$1:$D$7,3,FALSE) * 89</f>
        <v>2848</v>
      </c>
      <c r="AA221" s="1" t="str">
        <f>IF(Table1[rmpce_inr]&lt;=rmpce_reference!$F$2, "Low Income", IF(Table1[rmpce_inr]&lt;=rmpce_reference!$F$3, "Middle Income", "High Income"))</f>
        <v>Low Income</v>
      </c>
    </row>
    <row r="222" spans="1:27" x14ac:dyDescent="0.25">
      <c r="A222">
        <v>1221</v>
      </c>
      <c r="B222" t="s">
        <v>20</v>
      </c>
      <c r="C222" t="s">
        <v>21</v>
      </c>
      <c r="D222">
        <v>49</v>
      </c>
      <c r="E222" t="s">
        <v>25</v>
      </c>
      <c r="F222" t="s">
        <v>23</v>
      </c>
      <c r="G222">
        <v>30</v>
      </c>
      <c r="H222" s="1" t="str">
        <f>IF(Table1[[#This Row],[anxiety_score]]&lt;=10, "Normal", IF(Table1[[#This Row],[anxiety_score]]&lt;=20, "Moderate", IF(Table1[[#This Row],[anxiety_score]]&lt;=30, "Severe", "Extremely Severe")))</f>
        <v>Severe</v>
      </c>
      <c r="I222">
        <v>2.0022465999999999</v>
      </c>
      <c r="J222">
        <v>24</v>
      </c>
      <c r="K222" s="1" t="str">
        <f>IF(Table1[[#This Row],[stress_score]]&lt;=10, "Normal", IF(Table1[[#This Row],[stress_score]]&lt;=20, "Moderate", IF(Table1[[#This Row],[stress_score]]&lt;=30, "Severe", "Extremely Severe")))</f>
        <v>Severe</v>
      </c>
      <c r="L222">
        <v>1.1734637999999999</v>
      </c>
      <c r="M222">
        <v>26</v>
      </c>
      <c r="N222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222">
        <v>1.3954502</v>
      </c>
      <c r="P222">
        <v>26.666665999999999</v>
      </c>
      <c r="Q222">
        <f>ROUND(Table1[[#This Row],[dass21_raw_score]],0)</f>
        <v>27</v>
      </c>
      <c r="R222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222">
        <v>1.5237202999999999</v>
      </c>
      <c r="T222">
        <v>2.6186302000000001</v>
      </c>
      <c r="U222">
        <v>5500</v>
      </c>
      <c r="V222" s="1">
        <f>ROUND(Table1[[#This Row],[fmpce]],0)</f>
        <v>5500</v>
      </c>
      <c r="W222">
        <v>74.825649999999996</v>
      </c>
      <c r="X222" s="4">
        <f>Table1[[#This Row],[mpce]]*89</f>
        <v>6659.4828499999994</v>
      </c>
      <c r="Y222" s="2" t="s">
        <v>28</v>
      </c>
      <c r="Z222" s="3">
        <f>VLOOKUP(Y222, rmpce_reference!$B$1:$D$7,3,FALSE) * 89</f>
        <v>6230</v>
      </c>
      <c r="AA222" s="1" t="str">
        <f>IF(Table1[rmpce_inr]&lt;=rmpce_reference!$F$2, "Low Income", IF(Table1[rmpce_inr]&lt;=rmpce_reference!$F$3, "Middle Income", "High Income"))</f>
        <v>Middle Income</v>
      </c>
    </row>
    <row r="223" spans="1:27" x14ac:dyDescent="0.25">
      <c r="A223">
        <v>1222</v>
      </c>
      <c r="B223" t="s">
        <v>20</v>
      </c>
      <c r="C223" t="s">
        <v>33</v>
      </c>
      <c r="D223">
        <v>30</v>
      </c>
      <c r="E223" t="s">
        <v>25</v>
      </c>
      <c r="F223" t="s">
        <v>30</v>
      </c>
      <c r="G223">
        <v>32</v>
      </c>
      <c r="H223" s="1" t="str">
        <f>IF(Table1[[#This Row],[anxiety_score]]&lt;=10, "Normal", IF(Table1[[#This Row],[anxiety_score]]&lt;=20, "Moderate", IF(Table1[[#This Row],[anxiety_score]]&lt;=30, "Severe", "Extremely Severe")))</f>
        <v>Extremely Severe</v>
      </c>
      <c r="I223">
        <v>2.2032911999999998</v>
      </c>
      <c r="J223">
        <v>18</v>
      </c>
      <c r="K223" s="1" t="str">
        <f>IF(Table1[[#This Row],[stress_score]]&lt;=10, "Normal", IF(Table1[[#This Row],[stress_score]]&lt;=20, "Moderate", IF(Table1[[#This Row],[stress_score]]&lt;=30, "Severe", "Extremely Severe")))</f>
        <v>Moderate</v>
      </c>
      <c r="L223">
        <v>0.58948003999999998</v>
      </c>
      <c r="M223">
        <v>24</v>
      </c>
      <c r="N223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223">
        <v>1.2028128</v>
      </c>
      <c r="P223">
        <v>24.666665999999999</v>
      </c>
      <c r="Q223">
        <f>ROUND(Table1[[#This Row],[dass21_raw_score]],0)</f>
        <v>25</v>
      </c>
      <c r="R223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223">
        <v>1.3318614</v>
      </c>
      <c r="T223">
        <v>2.4267712000000001</v>
      </c>
      <c r="U223">
        <v>1714.2858000000001</v>
      </c>
      <c r="V223" s="1">
        <f>ROUND(Table1[[#This Row],[fmpce]],0)</f>
        <v>1714</v>
      </c>
      <c r="W223">
        <v>23.322282999999999</v>
      </c>
      <c r="X223" s="4">
        <f>Table1[[#This Row],[mpce]]*89</f>
        <v>2075.6831870000001</v>
      </c>
      <c r="Y223" s="2" t="s">
        <v>24</v>
      </c>
      <c r="Z223" s="3">
        <f>VLOOKUP(Y223, rmpce_reference!$B$1:$D$7,3,FALSE) * 89</f>
        <v>2225</v>
      </c>
      <c r="AA223" s="1" t="str">
        <f>IF(Table1[rmpce_inr]&lt;=rmpce_reference!$F$2, "Low Income", IF(Table1[rmpce_inr]&lt;=rmpce_reference!$F$3, "Middle Income", "High Income"))</f>
        <v>Low Income</v>
      </c>
    </row>
    <row r="224" spans="1:27" x14ac:dyDescent="0.25">
      <c r="A224">
        <v>1223</v>
      </c>
      <c r="B224" t="s">
        <v>20</v>
      </c>
      <c r="C224" t="s">
        <v>36</v>
      </c>
      <c r="D224">
        <v>54</v>
      </c>
      <c r="E224" t="s">
        <v>25</v>
      </c>
      <c r="F224" t="s">
        <v>23</v>
      </c>
      <c r="G224">
        <v>20</v>
      </c>
      <c r="H224" s="1" t="str">
        <f>IF(Table1[[#This Row],[anxiety_score]]&lt;=10, "Normal", IF(Table1[[#This Row],[anxiety_score]]&lt;=20, "Moderate", IF(Table1[[#This Row],[anxiety_score]]&lt;=30, "Severe", "Extremely Severe")))</f>
        <v>Moderate</v>
      </c>
      <c r="I224">
        <v>0.99702360000000001</v>
      </c>
      <c r="J224">
        <v>28</v>
      </c>
      <c r="K224" s="1" t="str">
        <f>IF(Table1[[#This Row],[stress_score]]&lt;=10, "Normal", IF(Table1[[#This Row],[stress_score]]&lt;=20, "Moderate", IF(Table1[[#This Row],[stress_score]]&lt;=30, "Severe", "Extremely Severe")))</f>
        <v>Severe</v>
      </c>
      <c r="L224">
        <v>1.5627863</v>
      </c>
      <c r="M224">
        <v>24</v>
      </c>
      <c r="N224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224">
        <v>1.2028128</v>
      </c>
      <c r="P224">
        <v>24</v>
      </c>
      <c r="Q224">
        <f>ROUND(Table1[[#This Row],[dass21_raw_score]],0)</f>
        <v>24</v>
      </c>
      <c r="R224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224">
        <v>1.2542076</v>
      </c>
      <c r="T224">
        <v>2.3491175000000002</v>
      </c>
      <c r="U224">
        <v>3400</v>
      </c>
      <c r="V224" s="1">
        <f>ROUND(Table1[[#This Row],[fmpce]],0)</f>
        <v>3400</v>
      </c>
      <c r="W224">
        <v>46.255859999999998</v>
      </c>
      <c r="X224" s="4">
        <f>Table1[[#This Row],[mpce]]*89</f>
        <v>4116.7715399999997</v>
      </c>
      <c r="Y224" s="2" t="s">
        <v>32</v>
      </c>
      <c r="Z224" s="3">
        <f>VLOOKUP(Y224, rmpce_reference!$B$1:$D$7,3,FALSE) * 89</f>
        <v>4450</v>
      </c>
      <c r="AA224" s="1" t="str">
        <f>IF(Table1[rmpce_inr]&lt;=rmpce_reference!$F$2, "Low Income", IF(Table1[rmpce_inr]&lt;=rmpce_reference!$F$3, "Middle Income", "High Income"))</f>
        <v>Low Income</v>
      </c>
    </row>
    <row r="225" spans="1:27" x14ac:dyDescent="0.25">
      <c r="A225">
        <v>1224</v>
      </c>
      <c r="B225" t="s">
        <v>20</v>
      </c>
      <c r="C225" t="s">
        <v>21</v>
      </c>
      <c r="D225">
        <v>45</v>
      </c>
      <c r="E225" t="s">
        <v>25</v>
      </c>
      <c r="F225" t="s">
        <v>26</v>
      </c>
      <c r="G225">
        <v>28</v>
      </c>
      <c r="H225" s="1" t="str">
        <f>IF(Table1[[#This Row],[anxiety_score]]&lt;=10, "Normal", IF(Table1[[#This Row],[anxiety_score]]&lt;=20, "Moderate", IF(Table1[[#This Row],[anxiety_score]]&lt;=30, "Severe", "Extremely Severe")))</f>
        <v>Severe</v>
      </c>
      <c r="I225">
        <v>1.801202</v>
      </c>
      <c r="J225">
        <v>22</v>
      </c>
      <c r="K225" s="1" t="str">
        <f>IF(Table1[[#This Row],[stress_score]]&lt;=10, "Normal", IF(Table1[[#This Row],[stress_score]]&lt;=20, "Moderate", IF(Table1[[#This Row],[stress_score]]&lt;=30, "Severe", "Extremely Severe")))</f>
        <v>Severe</v>
      </c>
      <c r="L225">
        <v>0.97880255999999999</v>
      </c>
      <c r="M225">
        <v>28</v>
      </c>
      <c r="N225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225">
        <v>1.5880875999999999</v>
      </c>
      <c r="P225">
        <v>26</v>
      </c>
      <c r="Q225">
        <f>ROUND(Table1[[#This Row],[dass21_raw_score]],0)</f>
        <v>26</v>
      </c>
      <c r="R225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225">
        <v>1.4560306999999999</v>
      </c>
      <c r="T225">
        <v>2.5509404999999998</v>
      </c>
      <c r="U225">
        <v>2400</v>
      </c>
      <c r="V225" s="1">
        <f>ROUND(Table1[[#This Row],[fmpce]],0)</f>
        <v>2400</v>
      </c>
      <c r="W225">
        <v>32.651195999999999</v>
      </c>
      <c r="X225" s="4">
        <f>Table1[[#This Row],[mpce]]*89</f>
        <v>2905.9564439999999</v>
      </c>
      <c r="Y225" s="2" t="s">
        <v>34</v>
      </c>
      <c r="Z225" s="3">
        <f>VLOOKUP(Y225, rmpce_reference!$B$1:$D$7,3,FALSE) * 89</f>
        <v>2848</v>
      </c>
      <c r="AA225" s="1" t="str">
        <f>IF(Table1[rmpce_inr]&lt;=rmpce_reference!$F$2, "Low Income", IF(Table1[rmpce_inr]&lt;=rmpce_reference!$F$3, "Middle Income", "High Income"))</f>
        <v>Low Income</v>
      </c>
    </row>
    <row r="226" spans="1:27" x14ac:dyDescent="0.25">
      <c r="A226">
        <v>1225</v>
      </c>
      <c r="B226" t="s">
        <v>20</v>
      </c>
      <c r="C226" t="s">
        <v>29</v>
      </c>
      <c r="D226">
        <v>40</v>
      </c>
      <c r="E226" t="s">
        <v>25</v>
      </c>
      <c r="F226" t="s">
        <v>26</v>
      </c>
      <c r="G226">
        <v>30</v>
      </c>
      <c r="H226" s="1" t="str">
        <f>IF(Table1[[#This Row],[anxiety_score]]&lt;=10, "Normal", IF(Table1[[#This Row],[anxiety_score]]&lt;=20, "Moderate", IF(Table1[[#This Row],[anxiety_score]]&lt;=30, "Severe", "Extremely Severe")))</f>
        <v>Severe</v>
      </c>
      <c r="I226">
        <v>2.0022465999999999</v>
      </c>
      <c r="J226">
        <v>20</v>
      </c>
      <c r="K226" s="1" t="str">
        <f>IF(Table1[[#This Row],[stress_score]]&lt;=10, "Normal", IF(Table1[[#This Row],[stress_score]]&lt;=20, "Moderate", IF(Table1[[#This Row],[stress_score]]&lt;=30, "Severe", "Extremely Severe")))</f>
        <v>Moderate</v>
      </c>
      <c r="L226">
        <v>0.78414130000000004</v>
      </c>
      <c r="M226">
        <v>26</v>
      </c>
      <c r="N226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226">
        <v>1.3954502</v>
      </c>
      <c r="P226">
        <v>25.333334000000001</v>
      </c>
      <c r="Q226">
        <f>ROUND(Table1[[#This Row],[dass21_raw_score]],0)</f>
        <v>25</v>
      </c>
      <c r="R226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226">
        <v>1.3939459999999999</v>
      </c>
      <c r="T226">
        <v>2.4888558000000001</v>
      </c>
      <c r="U226">
        <v>2500</v>
      </c>
      <c r="V226" s="1">
        <f>ROUND(Table1[[#This Row],[fmpce]],0)</f>
        <v>2500</v>
      </c>
      <c r="W226">
        <v>34.011659999999999</v>
      </c>
      <c r="X226" s="4">
        <f>Table1[[#This Row],[mpce]]*89</f>
        <v>3027.0377399999998</v>
      </c>
      <c r="Y226" s="2" t="s">
        <v>34</v>
      </c>
      <c r="Z226" s="3">
        <f>VLOOKUP(Y226, rmpce_reference!$B$1:$D$7,3,FALSE) * 89</f>
        <v>2848</v>
      </c>
      <c r="AA226" s="1" t="str">
        <f>IF(Table1[rmpce_inr]&lt;=rmpce_reference!$F$2, "Low Income", IF(Table1[rmpce_inr]&lt;=rmpce_reference!$F$3, "Middle Income", "High Income"))</f>
        <v>Low Income</v>
      </c>
    </row>
    <row r="227" spans="1:27" x14ac:dyDescent="0.25">
      <c r="A227">
        <v>1226</v>
      </c>
      <c r="B227" t="s">
        <v>20</v>
      </c>
      <c r="C227" t="s">
        <v>21</v>
      </c>
      <c r="D227">
        <v>47</v>
      </c>
      <c r="E227" t="s">
        <v>25</v>
      </c>
      <c r="F227" t="s">
        <v>23</v>
      </c>
      <c r="G227">
        <v>20</v>
      </c>
      <c r="H227" s="1" t="str">
        <f>IF(Table1[[#This Row],[anxiety_score]]&lt;=10, "Normal", IF(Table1[[#This Row],[anxiety_score]]&lt;=20, "Moderate", IF(Table1[[#This Row],[anxiety_score]]&lt;=30, "Severe", "Extremely Severe")))</f>
        <v>Moderate</v>
      </c>
      <c r="I227">
        <v>0.99702360000000001</v>
      </c>
      <c r="J227">
        <v>24</v>
      </c>
      <c r="K227" s="1" t="str">
        <f>IF(Table1[[#This Row],[stress_score]]&lt;=10, "Normal", IF(Table1[[#This Row],[stress_score]]&lt;=20, "Moderate", IF(Table1[[#This Row],[stress_score]]&lt;=30, "Severe", "Extremely Severe")))</f>
        <v>Severe</v>
      </c>
      <c r="L227">
        <v>1.1734637999999999</v>
      </c>
      <c r="M227">
        <v>30</v>
      </c>
      <c r="N227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227">
        <v>1.7807249999999999</v>
      </c>
      <c r="P227">
        <v>24.666665999999999</v>
      </c>
      <c r="Q227">
        <f>ROUND(Table1[[#This Row],[dass21_raw_score]],0)</f>
        <v>25</v>
      </c>
      <c r="R227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227">
        <v>1.3170708</v>
      </c>
      <c r="T227">
        <v>2.4119806000000001</v>
      </c>
      <c r="U227">
        <v>4000</v>
      </c>
      <c r="V227" s="1">
        <f>ROUND(Table1[[#This Row],[fmpce]],0)</f>
        <v>4000</v>
      </c>
      <c r="W227">
        <v>54.418660000000003</v>
      </c>
      <c r="X227" s="4">
        <f>Table1[[#This Row],[mpce]]*89</f>
        <v>4843.2607400000006</v>
      </c>
      <c r="Y227" s="2" t="s">
        <v>32</v>
      </c>
      <c r="Z227" s="3">
        <f>VLOOKUP(Y227, rmpce_reference!$B$1:$D$7,3,FALSE) * 89</f>
        <v>4450</v>
      </c>
      <c r="AA227" s="1" t="str">
        <f>IF(Table1[rmpce_inr]&lt;=rmpce_reference!$F$2, "Low Income", IF(Table1[rmpce_inr]&lt;=rmpce_reference!$F$3, "Middle Income", "High Income"))</f>
        <v>Low Income</v>
      </c>
    </row>
    <row r="228" spans="1:27" x14ac:dyDescent="0.25">
      <c r="A228">
        <v>1227</v>
      </c>
      <c r="B228" t="s">
        <v>20</v>
      </c>
      <c r="C228" t="s">
        <v>33</v>
      </c>
      <c r="D228">
        <v>26</v>
      </c>
      <c r="E228" t="s">
        <v>25</v>
      </c>
      <c r="F228" t="s">
        <v>30</v>
      </c>
      <c r="G228">
        <v>24</v>
      </c>
      <c r="H228" s="1" t="str">
        <f>IF(Table1[[#This Row],[anxiety_score]]&lt;=10, "Normal", IF(Table1[[#This Row],[anxiety_score]]&lt;=20, "Moderate", IF(Table1[[#This Row],[anxiety_score]]&lt;=30, "Severe", "Extremely Severe")))</f>
        <v>Severe</v>
      </c>
      <c r="I228">
        <v>1.3991127999999999</v>
      </c>
      <c r="J228">
        <v>30</v>
      </c>
      <c r="K228" s="1" t="str">
        <f>IF(Table1[[#This Row],[stress_score]]&lt;=10, "Normal", IF(Table1[[#This Row],[stress_score]]&lt;=20, "Moderate", IF(Table1[[#This Row],[stress_score]]&lt;=30, "Severe", "Extremely Severe")))</f>
        <v>Severe</v>
      </c>
      <c r="L228">
        <v>1.7574476000000001</v>
      </c>
      <c r="M228">
        <v>24</v>
      </c>
      <c r="N228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228">
        <v>1.2028128</v>
      </c>
      <c r="P228">
        <v>26</v>
      </c>
      <c r="Q228">
        <f>ROUND(Table1[[#This Row],[dass21_raw_score]],0)</f>
        <v>26</v>
      </c>
      <c r="R228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228">
        <v>1.4531244000000001</v>
      </c>
      <c r="T228">
        <v>2.5480342</v>
      </c>
      <c r="U228">
        <v>1600</v>
      </c>
      <c r="V228" s="1">
        <f>ROUND(Table1[[#This Row],[fmpce]],0)</f>
        <v>1600</v>
      </c>
      <c r="W228">
        <v>21.767464</v>
      </c>
      <c r="X228" s="4">
        <f>Table1[[#This Row],[mpce]]*89</f>
        <v>1937.304296</v>
      </c>
      <c r="Y228" s="2" t="s">
        <v>24</v>
      </c>
      <c r="Z228" s="3">
        <f>VLOOKUP(Y228, rmpce_reference!$B$1:$D$7,3,FALSE) * 89</f>
        <v>2225</v>
      </c>
      <c r="AA228" s="1" t="str">
        <f>IF(Table1[rmpce_inr]&lt;=rmpce_reference!$F$2, "Low Income", IF(Table1[rmpce_inr]&lt;=rmpce_reference!$F$3, "Middle Income", "High Income"))</f>
        <v>Low Income</v>
      </c>
    </row>
    <row r="229" spans="1:27" x14ac:dyDescent="0.25">
      <c r="A229">
        <v>1228</v>
      </c>
      <c r="B229" t="s">
        <v>20</v>
      </c>
      <c r="C229" t="s">
        <v>29</v>
      </c>
      <c r="D229">
        <v>35</v>
      </c>
      <c r="E229" t="s">
        <v>25</v>
      </c>
      <c r="F229" t="s">
        <v>37</v>
      </c>
      <c r="G229">
        <v>24</v>
      </c>
      <c r="H229" s="1" t="str">
        <f>IF(Table1[[#This Row],[anxiety_score]]&lt;=10, "Normal", IF(Table1[[#This Row],[anxiety_score]]&lt;=20, "Moderate", IF(Table1[[#This Row],[anxiety_score]]&lt;=30, "Severe", "Extremely Severe")))</f>
        <v>Severe</v>
      </c>
      <c r="I229">
        <v>1.3991127999999999</v>
      </c>
      <c r="J229">
        <v>24</v>
      </c>
      <c r="K229" s="1" t="str">
        <f>IF(Table1[[#This Row],[stress_score]]&lt;=10, "Normal", IF(Table1[[#This Row],[stress_score]]&lt;=20, "Moderate", IF(Table1[[#This Row],[stress_score]]&lt;=30, "Severe", "Extremely Severe")))</f>
        <v>Severe</v>
      </c>
      <c r="L229">
        <v>1.1734637999999999</v>
      </c>
      <c r="M229">
        <v>26</v>
      </c>
      <c r="N229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229">
        <v>1.3954502</v>
      </c>
      <c r="P229">
        <v>24.666665999999999</v>
      </c>
      <c r="Q229">
        <f>ROUND(Table1[[#This Row],[dass21_raw_score]],0)</f>
        <v>25</v>
      </c>
      <c r="R229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229">
        <v>1.3226756</v>
      </c>
      <c r="T229">
        <v>2.4175854000000001</v>
      </c>
      <c r="U229">
        <v>3750</v>
      </c>
      <c r="V229" s="1">
        <f>ROUND(Table1[[#This Row],[fmpce]],0)</f>
        <v>3750</v>
      </c>
      <c r="W229">
        <v>51.017493999999999</v>
      </c>
      <c r="X229" s="4">
        <f>Table1[[#This Row],[mpce]]*89</f>
        <v>4540.5569660000001</v>
      </c>
      <c r="Y229" s="2" t="s">
        <v>32</v>
      </c>
      <c r="Z229" s="3">
        <f>VLOOKUP(Y229, rmpce_reference!$B$1:$D$7,3,FALSE) * 89</f>
        <v>4450</v>
      </c>
      <c r="AA229" s="1" t="str">
        <f>IF(Table1[rmpce_inr]&lt;=rmpce_reference!$F$2, "Low Income", IF(Table1[rmpce_inr]&lt;=rmpce_reference!$F$3, "Middle Income", "High Income"))</f>
        <v>Low Income</v>
      </c>
    </row>
    <row r="230" spans="1:27" x14ac:dyDescent="0.25">
      <c r="A230">
        <v>1229</v>
      </c>
      <c r="B230" t="s">
        <v>20</v>
      </c>
      <c r="C230" t="s">
        <v>29</v>
      </c>
      <c r="D230">
        <v>40</v>
      </c>
      <c r="E230" t="s">
        <v>22</v>
      </c>
      <c r="F230" t="s">
        <v>30</v>
      </c>
      <c r="G230">
        <v>4</v>
      </c>
      <c r="H230" s="1" t="str">
        <f>IF(Table1[[#This Row],[anxiety_score]]&lt;=10, "Normal", IF(Table1[[#This Row],[anxiety_score]]&lt;=20, "Moderate", IF(Table1[[#This Row],[anxiety_score]]&lt;=30, "Severe", "Extremely Severe")))</f>
        <v>Normal</v>
      </c>
      <c r="I230">
        <v>-0.61133329999999997</v>
      </c>
      <c r="J230">
        <v>4</v>
      </c>
      <c r="K230" s="1" t="str">
        <f>IF(Table1[[#This Row],[stress_score]]&lt;=10, "Normal", IF(Table1[[#This Row],[stress_score]]&lt;=20, "Moderate", IF(Table1[[#This Row],[stress_score]]&lt;=30, "Severe", "Extremely Severe")))</f>
        <v>Normal</v>
      </c>
      <c r="L230">
        <v>-0.77314866000000004</v>
      </c>
      <c r="M230">
        <v>4</v>
      </c>
      <c r="N230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230">
        <v>-0.72356116999999998</v>
      </c>
      <c r="P230">
        <v>4</v>
      </c>
      <c r="Q230">
        <f>ROUND(Table1[[#This Row],[dass21_raw_score]],0)</f>
        <v>4</v>
      </c>
      <c r="R230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230">
        <v>-0.70268105999999997</v>
      </c>
      <c r="T230">
        <v>0.39222884000000002</v>
      </c>
      <c r="U230">
        <v>2000</v>
      </c>
      <c r="V230" s="1">
        <f>ROUND(Table1[[#This Row],[fmpce]],0)</f>
        <v>2000</v>
      </c>
      <c r="W230">
        <v>27.209330000000001</v>
      </c>
      <c r="X230" s="4">
        <f>Table1[[#This Row],[mpce]]*89</f>
        <v>2421.6303700000003</v>
      </c>
      <c r="Y230" s="2" t="s">
        <v>34</v>
      </c>
      <c r="Z230" s="3">
        <f>VLOOKUP(Y230, rmpce_reference!$B$1:$D$7,3,FALSE) * 89</f>
        <v>2848</v>
      </c>
      <c r="AA230" s="1" t="str">
        <f>IF(Table1[rmpce_inr]&lt;=rmpce_reference!$F$2, "Low Income", IF(Table1[rmpce_inr]&lt;=rmpce_reference!$F$3, "Middle Income", "High Income"))</f>
        <v>Low Income</v>
      </c>
    </row>
    <row r="231" spans="1:27" x14ac:dyDescent="0.25">
      <c r="A231">
        <v>1230</v>
      </c>
      <c r="B231" t="s">
        <v>20</v>
      </c>
      <c r="C231" t="s">
        <v>33</v>
      </c>
      <c r="D231">
        <v>30</v>
      </c>
      <c r="E231" t="s">
        <v>22</v>
      </c>
      <c r="F231" t="s">
        <v>23</v>
      </c>
      <c r="G231">
        <v>6</v>
      </c>
      <c r="H231" s="1" t="str">
        <f>IF(Table1[[#This Row],[anxiety_score]]&lt;=10, "Normal", IF(Table1[[#This Row],[anxiety_score]]&lt;=20, "Moderate", IF(Table1[[#This Row],[anxiety_score]]&lt;=30, "Severe", "Extremely Severe")))</f>
        <v>Normal</v>
      </c>
      <c r="I231">
        <v>-0.41028870000000001</v>
      </c>
      <c r="J231">
        <v>6</v>
      </c>
      <c r="K231" s="1" t="str">
        <f>IF(Table1[[#This Row],[stress_score]]&lt;=10, "Normal", IF(Table1[[#This Row],[stress_score]]&lt;=20, "Moderate", IF(Table1[[#This Row],[stress_score]]&lt;=30, "Severe", "Extremely Severe")))</f>
        <v>Normal</v>
      </c>
      <c r="L231">
        <v>-0.57848745999999995</v>
      </c>
      <c r="M231">
        <v>4</v>
      </c>
      <c r="N231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231">
        <v>-0.72356116999999998</v>
      </c>
      <c r="P231">
        <v>5.3333335000000002</v>
      </c>
      <c r="Q231">
        <f>ROUND(Table1[[#This Row],[dass21_raw_score]],0)</f>
        <v>5</v>
      </c>
      <c r="R231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231">
        <v>-0.57077909999999998</v>
      </c>
      <c r="T231">
        <v>0.52413080000000001</v>
      </c>
      <c r="U231">
        <v>12500</v>
      </c>
      <c r="V231" s="1">
        <f>ROUND(Table1[[#This Row],[fmpce]],0)</f>
        <v>12500</v>
      </c>
      <c r="W231">
        <v>170.0583</v>
      </c>
      <c r="X231" s="4">
        <f>Table1[[#This Row],[mpce]]*89</f>
        <v>15135.188700000001</v>
      </c>
      <c r="Y231" s="2" t="s">
        <v>35</v>
      </c>
      <c r="Z231" s="3">
        <f>VLOOKUP(Y231, rmpce_reference!$B$1:$D$7,3,FALSE) * 89</f>
        <v>9790</v>
      </c>
      <c r="AA231" s="1" t="str">
        <f>IF(Table1[rmpce_inr]&lt;=rmpce_reference!$F$2, "Low Income", IF(Table1[rmpce_inr]&lt;=rmpce_reference!$F$3, "Middle Income", "High Income"))</f>
        <v>High Income</v>
      </c>
    </row>
    <row r="232" spans="1:27" x14ac:dyDescent="0.25">
      <c r="A232">
        <v>1231</v>
      </c>
      <c r="B232" t="s">
        <v>20</v>
      </c>
      <c r="C232" t="s">
        <v>21</v>
      </c>
      <c r="D232">
        <v>50</v>
      </c>
      <c r="E232" t="s">
        <v>22</v>
      </c>
      <c r="F232" t="s">
        <v>23</v>
      </c>
      <c r="G232">
        <v>4</v>
      </c>
      <c r="H232" s="1" t="str">
        <f>IF(Table1[[#This Row],[anxiety_score]]&lt;=10, "Normal", IF(Table1[[#This Row],[anxiety_score]]&lt;=20, "Moderate", IF(Table1[[#This Row],[anxiety_score]]&lt;=30, "Severe", "Extremely Severe")))</f>
        <v>Normal</v>
      </c>
      <c r="I232">
        <v>-0.61133329999999997</v>
      </c>
      <c r="J232">
        <v>8</v>
      </c>
      <c r="K232" s="1" t="str">
        <f>IF(Table1[[#This Row],[stress_score]]&lt;=10, "Normal", IF(Table1[[#This Row],[stress_score]]&lt;=20, "Moderate", IF(Table1[[#This Row],[stress_score]]&lt;=30, "Severe", "Extremely Severe")))</f>
        <v>Normal</v>
      </c>
      <c r="L232">
        <v>-0.38382620000000001</v>
      </c>
      <c r="M232">
        <v>6</v>
      </c>
      <c r="N232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232">
        <v>-0.53092379999999995</v>
      </c>
      <c r="P232">
        <v>6</v>
      </c>
      <c r="Q232">
        <f>ROUND(Table1[[#This Row],[dass21_raw_score]],0)</f>
        <v>6</v>
      </c>
      <c r="R232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232">
        <v>-0.50869439999999999</v>
      </c>
      <c r="T232">
        <v>0.5862155</v>
      </c>
      <c r="U232">
        <v>1250</v>
      </c>
      <c r="V232" s="1">
        <f>ROUND(Table1[[#This Row],[fmpce]],0)</f>
        <v>1250</v>
      </c>
      <c r="W232">
        <v>17.00583</v>
      </c>
      <c r="X232" s="4">
        <f>Table1[[#This Row],[mpce]]*89</f>
        <v>1513.5188699999999</v>
      </c>
      <c r="Y232" s="2" t="s">
        <v>24</v>
      </c>
      <c r="Z232" s="3">
        <f>VLOOKUP(Y232, rmpce_reference!$B$1:$D$7,3,FALSE) * 89</f>
        <v>2225</v>
      </c>
      <c r="AA232" s="1" t="str">
        <f>IF(Table1[rmpce_inr]&lt;=rmpce_reference!$F$2, "Low Income", IF(Table1[rmpce_inr]&lt;=rmpce_reference!$F$3, "Middle Income", "High Income"))</f>
        <v>Low Income</v>
      </c>
    </row>
    <row r="233" spans="1:27" x14ac:dyDescent="0.25">
      <c r="A233">
        <v>1232</v>
      </c>
      <c r="B233" t="s">
        <v>20</v>
      </c>
      <c r="C233" t="s">
        <v>29</v>
      </c>
      <c r="D233">
        <v>40</v>
      </c>
      <c r="E233" t="s">
        <v>22</v>
      </c>
      <c r="F233" t="s">
        <v>30</v>
      </c>
      <c r="G233">
        <v>6</v>
      </c>
      <c r="H233" s="1" t="str">
        <f>IF(Table1[[#This Row],[anxiety_score]]&lt;=10, "Normal", IF(Table1[[#This Row],[anxiety_score]]&lt;=20, "Moderate", IF(Table1[[#This Row],[anxiety_score]]&lt;=30, "Severe", "Extremely Severe")))</f>
        <v>Normal</v>
      </c>
      <c r="I233">
        <v>-0.41028870000000001</v>
      </c>
      <c r="J233">
        <v>6</v>
      </c>
      <c r="K233" s="1" t="str">
        <f>IF(Table1[[#This Row],[stress_score]]&lt;=10, "Normal", IF(Table1[[#This Row],[stress_score]]&lt;=20, "Moderate", IF(Table1[[#This Row],[stress_score]]&lt;=30, "Severe", "Extremely Severe")))</f>
        <v>Normal</v>
      </c>
      <c r="L233">
        <v>-0.57848745999999995</v>
      </c>
      <c r="M233">
        <v>2</v>
      </c>
      <c r="N233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233">
        <v>-0.91619854999999994</v>
      </c>
      <c r="P233">
        <v>4.6666664999999998</v>
      </c>
      <c r="Q233">
        <f>ROUND(Table1[[#This Row],[dass21_raw_score]],0)</f>
        <v>5</v>
      </c>
      <c r="R233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233">
        <v>-0.63499159999999999</v>
      </c>
      <c r="T233">
        <v>0.45991831999999999</v>
      </c>
      <c r="U233">
        <v>10000</v>
      </c>
      <c r="V233" s="1">
        <f>ROUND(Table1[[#This Row],[fmpce]],0)</f>
        <v>10000</v>
      </c>
      <c r="W233">
        <v>136.04665</v>
      </c>
      <c r="X233" s="4">
        <f>Table1[[#This Row],[mpce]]*89</f>
        <v>12108.15185</v>
      </c>
      <c r="Y233" s="2" t="s">
        <v>35</v>
      </c>
      <c r="Z233" s="3">
        <f>VLOOKUP(Y233, rmpce_reference!$B$1:$D$7,3,FALSE) * 89</f>
        <v>9790</v>
      </c>
      <c r="AA233" s="1" t="str">
        <f>IF(Table1[rmpce_inr]&lt;=rmpce_reference!$F$2, "Low Income", IF(Table1[rmpce_inr]&lt;=rmpce_reference!$F$3, "Middle Income", "High Income"))</f>
        <v>High Income</v>
      </c>
    </row>
    <row r="234" spans="1:27" x14ac:dyDescent="0.25">
      <c r="A234">
        <v>1233</v>
      </c>
      <c r="B234" t="s">
        <v>20</v>
      </c>
      <c r="C234" t="s">
        <v>33</v>
      </c>
      <c r="D234">
        <v>30</v>
      </c>
      <c r="E234" t="s">
        <v>22</v>
      </c>
      <c r="F234" t="s">
        <v>23</v>
      </c>
      <c r="G234">
        <v>10</v>
      </c>
      <c r="H234" s="1" t="str">
        <f>IF(Table1[[#This Row],[anxiety_score]]&lt;=10, "Normal", IF(Table1[[#This Row],[anxiety_score]]&lt;=20, "Moderate", IF(Table1[[#This Row],[anxiety_score]]&lt;=30, "Severe", "Extremely Severe")))</f>
        <v>Normal</v>
      </c>
      <c r="I234">
        <v>-8.1994660000000007E-3</v>
      </c>
      <c r="J234">
        <v>2</v>
      </c>
      <c r="K234" s="1" t="str">
        <f>IF(Table1[[#This Row],[stress_score]]&lt;=10, "Normal", IF(Table1[[#This Row],[stress_score]]&lt;=20, "Moderate", IF(Table1[[#This Row],[stress_score]]&lt;=30, "Severe", "Extremely Severe")))</f>
        <v>Normal</v>
      </c>
      <c r="L234">
        <v>-0.9678099</v>
      </c>
      <c r="M234">
        <v>4</v>
      </c>
      <c r="N234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234">
        <v>-0.72356116999999998</v>
      </c>
      <c r="P234">
        <v>5.3333335000000002</v>
      </c>
      <c r="Q234">
        <f>ROUND(Table1[[#This Row],[dass21_raw_score]],0)</f>
        <v>5</v>
      </c>
      <c r="R234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234">
        <v>-0.56652349999999996</v>
      </c>
      <c r="T234">
        <v>0.52838640000000003</v>
      </c>
      <c r="U234">
        <v>2000</v>
      </c>
      <c r="V234" s="1">
        <f>ROUND(Table1[[#This Row],[fmpce]],0)</f>
        <v>2000</v>
      </c>
      <c r="W234">
        <v>27.209330000000001</v>
      </c>
      <c r="X234" s="4">
        <f>Table1[[#This Row],[mpce]]*89</f>
        <v>2421.6303700000003</v>
      </c>
      <c r="Y234" s="2" t="s">
        <v>34</v>
      </c>
      <c r="Z234" s="3">
        <f>VLOOKUP(Y234, rmpce_reference!$B$1:$D$7,3,FALSE) * 89</f>
        <v>2848</v>
      </c>
      <c r="AA234" s="1" t="str">
        <f>IF(Table1[rmpce_inr]&lt;=rmpce_reference!$F$2, "Low Income", IF(Table1[rmpce_inr]&lt;=rmpce_reference!$F$3, "Middle Income", "High Income"))</f>
        <v>Low Income</v>
      </c>
    </row>
    <row r="235" spans="1:27" x14ac:dyDescent="0.25">
      <c r="A235">
        <v>1234</v>
      </c>
      <c r="B235" t="s">
        <v>20</v>
      </c>
      <c r="C235" t="s">
        <v>29</v>
      </c>
      <c r="D235">
        <v>37</v>
      </c>
      <c r="E235" t="s">
        <v>22</v>
      </c>
      <c r="F235" t="s">
        <v>23</v>
      </c>
      <c r="G235">
        <v>6</v>
      </c>
      <c r="H235" s="1" t="str">
        <f>IF(Table1[[#This Row],[anxiety_score]]&lt;=10, "Normal", IF(Table1[[#This Row],[anxiety_score]]&lt;=20, "Moderate", IF(Table1[[#This Row],[anxiety_score]]&lt;=30, "Severe", "Extremely Severe")))</f>
        <v>Normal</v>
      </c>
      <c r="I235">
        <v>-0.41028870000000001</v>
      </c>
      <c r="J235">
        <v>4</v>
      </c>
      <c r="K235" s="1" t="str">
        <f>IF(Table1[[#This Row],[stress_score]]&lt;=10, "Normal", IF(Table1[[#This Row],[stress_score]]&lt;=20, "Moderate", IF(Table1[[#This Row],[stress_score]]&lt;=30, "Severe", "Extremely Severe")))</f>
        <v>Normal</v>
      </c>
      <c r="L235">
        <v>-0.77314866000000004</v>
      </c>
      <c r="M235">
        <v>0</v>
      </c>
      <c r="N235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235">
        <v>-1.1088359000000001</v>
      </c>
      <c r="P235">
        <v>3.3333333000000001</v>
      </c>
      <c r="Q235">
        <f>ROUND(Table1[[#This Row],[dass21_raw_score]],0)</f>
        <v>3</v>
      </c>
      <c r="R235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235">
        <v>-0.76409110000000002</v>
      </c>
      <c r="T235">
        <v>0.33081883000000001</v>
      </c>
      <c r="U235">
        <v>2000</v>
      </c>
      <c r="V235" s="1">
        <f>ROUND(Table1[[#This Row],[fmpce]],0)</f>
        <v>2000</v>
      </c>
      <c r="W235">
        <v>27.209330000000001</v>
      </c>
      <c r="X235" s="4">
        <f>Table1[[#This Row],[mpce]]*89</f>
        <v>2421.6303700000003</v>
      </c>
      <c r="Y235" s="2" t="s">
        <v>34</v>
      </c>
      <c r="Z235" s="3">
        <f>VLOOKUP(Y235, rmpce_reference!$B$1:$D$7,3,FALSE) * 89</f>
        <v>2848</v>
      </c>
      <c r="AA235" s="1" t="str">
        <f>IF(Table1[rmpce_inr]&lt;=rmpce_reference!$F$2, "Low Income", IF(Table1[rmpce_inr]&lt;=rmpce_reference!$F$3, "Middle Income", "High Income"))</f>
        <v>Low Income</v>
      </c>
    </row>
    <row r="236" spans="1:27" x14ac:dyDescent="0.25">
      <c r="A236">
        <v>1235</v>
      </c>
      <c r="B236" t="s">
        <v>20</v>
      </c>
      <c r="C236" t="s">
        <v>21</v>
      </c>
      <c r="D236">
        <v>50</v>
      </c>
      <c r="E236" t="s">
        <v>22</v>
      </c>
      <c r="F236" t="s">
        <v>30</v>
      </c>
      <c r="G236">
        <v>6</v>
      </c>
      <c r="H236" s="1" t="str">
        <f>IF(Table1[[#This Row],[anxiety_score]]&lt;=10, "Normal", IF(Table1[[#This Row],[anxiety_score]]&lt;=20, "Moderate", IF(Table1[[#This Row],[anxiety_score]]&lt;=30, "Severe", "Extremely Severe")))</f>
        <v>Normal</v>
      </c>
      <c r="I236">
        <v>-0.41028870000000001</v>
      </c>
      <c r="J236">
        <v>6</v>
      </c>
      <c r="K236" s="1" t="str">
        <f>IF(Table1[[#This Row],[stress_score]]&lt;=10, "Normal", IF(Table1[[#This Row],[stress_score]]&lt;=20, "Moderate", IF(Table1[[#This Row],[stress_score]]&lt;=30, "Severe", "Extremely Severe")))</f>
        <v>Normal</v>
      </c>
      <c r="L236">
        <v>-0.57848745999999995</v>
      </c>
      <c r="M236">
        <v>2</v>
      </c>
      <c r="N236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236">
        <v>-0.91619854999999994</v>
      </c>
      <c r="P236">
        <v>4.6666664999999998</v>
      </c>
      <c r="Q236">
        <f>ROUND(Table1[[#This Row],[dass21_raw_score]],0)</f>
        <v>5</v>
      </c>
      <c r="R236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236">
        <v>-0.63499159999999999</v>
      </c>
      <c r="T236">
        <v>0.45991831999999999</v>
      </c>
      <c r="U236">
        <v>1500</v>
      </c>
      <c r="V236" s="1">
        <f>ROUND(Table1[[#This Row],[fmpce]],0)</f>
        <v>1500</v>
      </c>
      <c r="W236">
        <v>20.406998000000002</v>
      </c>
      <c r="X236" s="4">
        <f>Table1[[#This Row],[mpce]]*89</f>
        <v>1816.2228220000002</v>
      </c>
      <c r="Y236" s="2" t="s">
        <v>24</v>
      </c>
      <c r="Z236" s="3">
        <f>VLOOKUP(Y236, rmpce_reference!$B$1:$D$7,3,FALSE) * 89</f>
        <v>2225</v>
      </c>
      <c r="AA236" s="1" t="str">
        <f>IF(Table1[rmpce_inr]&lt;=rmpce_reference!$F$2, "Low Income", IF(Table1[rmpce_inr]&lt;=rmpce_reference!$F$3, "Middle Income", "High Income"))</f>
        <v>Low Income</v>
      </c>
    </row>
    <row r="237" spans="1:27" x14ac:dyDescent="0.25">
      <c r="A237">
        <v>1236</v>
      </c>
      <c r="B237" t="s">
        <v>20</v>
      </c>
      <c r="C237" t="s">
        <v>29</v>
      </c>
      <c r="D237">
        <v>37</v>
      </c>
      <c r="E237" t="s">
        <v>22</v>
      </c>
      <c r="F237" t="s">
        <v>30</v>
      </c>
      <c r="G237">
        <v>10</v>
      </c>
      <c r="H237" s="1" t="str">
        <f>IF(Table1[[#This Row],[anxiety_score]]&lt;=10, "Normal", IF(Table1[[#This Row],[anxiety_score]]&lt;=20, "Moderate", IF(Table1[[#This Row],[anxiety_score]]&lt;=30, "Severe", "Extremely Severe")))</f>
        <v>Normal</v>
      </c>
      <c r="I237">
        <v>-8.1994660000000007E-3</v>
      </c>
      <c r="J237">
        <v>8</v>
      </c>
      <c r="K237" s="1" t="str">
        <f>IF(Table1[[#This Row],[stress_score]]&lt;=10, "Normal", IF(Table1[[#This Row],[stress_score]]&lt;=20, "Moderate", IF(Table1[[#This Row],[stress_score]]&lt;=30, "Severe", "Extremely Severe")))</f>
        <v>Normal</v>
      </c>
      <c r="L237">
        <v>-0.38382620000000001</v>
      </c>
      <c r="M237">
        <v>6</v>
      </c>
      <c r="N237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237">
        <v>-0.53092379999999995</v>
      </c>
      <c r="P237">
        <v>8</v>
      </c>
      <c r="Q237">
        <f>ROUND(Table1[[#This Row],[dass21_raw_score]],0)</f>
        <v>8</v>
      </c>
      <c r="R237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237">
        <v>-0.30764982000000002</v>
      </c>
      <c r="T237">
        <v>0.78726006000000004</v>
      </c>
      <c r="U237">
        <v>2166.6667000000002</v>
      </c>
      <c r="V237" s="1">
        <f>ROUND(Table1[[#This Row],[fmpce]],0)</f>
        <v>2167</v>
      </c>
      <c r="W237">
        <v>29.476773999999999</v>
      </c>
      <c r="X237" s="4">
        <f>Table1[[#This Row],[mpce]]*89</f>
        <v>2623.4328860000001</v>
      </c>
      <c r="Y237" s="2" t="s">
        <v>34</v>
      </c>
      <c r="Z237" s="3">
        <f>VLOOKUP(Y237, rmpce_reference!$B$1:$D$7,3,FALSE) * 89</f>
        <v>2848</v>
      </c>
      <c r="AA237" s="1" t="str">
        <f>IF(Table1[rmpce_inr]&lt;=rmpce_reference!$F$2, "Low Income", IF(Table1[rmpce_inr]&lt;=rmpce_reference!$F$3, "Middle Income", "High Income"))</f>
        <v>Low Income</v>
      </c>
    </row>
    <row r="238" spans="1:27" x14ac:dyDescent="0.25">
      <c r="A238">
        <v>1237</v>
      </c>
      <c r="B238" t="s">
        <v>20</v>
      </c>
      <c r="C238" t="s">
        <v>33</v>
      </c>
      <c r="D238">
        <v>30</v>
      </c>
      <c r="E238" t="s">
        <v>22</v>
      </c>
      <c r="F238" t="s">
        <v>30</v>
      </c>
      <c r="G238">
        <v>4</v>
      </c>
      <c r="H238" s="1" t="str">
        <f>IF(Table1[[#This Row],[anxiety_score]]&lt;=10, "Normal", IF(Table1[[#This Row],[anxiety_score]]&lt;=20, "Moderate", IF(Table1[[#This Row],[anxiety_score]]&lt;=30, "Severe", "Extremely Severe")))</f>
        <v>Normal</v>
      </c>
      <c r="I238">
        <v>-0.61133329999999997</v>
      </c>
      <c r="J238">
        <v>6</v>
      </c>
      <c r="K238" s="1" t="str">
        <f>IF(Table1[[#This Row],[stress_score]]&lt;=10, "Normal", IF(Table1[[#This Row],[stress_score]]&lt;=20, "Moderate", IF(Table1[[#This Row],[stress_score]]&lt;=30, "Severe", "Extremely Severe")))</f>
        <v>Normal</v>
      </c>
      <c r="L238">
        <v>-0.57848745999999995</v>
      </c>
      <c r="M238">
        <v>6</v>
      </c>
      <c r="N238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238">
        <v>-0.53092379999999995</v>
      </c>
      <c r="P238">
        <v>5.3333335000000002</v>
      </c>
      <c r="Q238">
        <f>ROUND(Table1[[#This Row],[dass21_raw_score]],0)</f>
        <v>5</v>
      </c>
      <c r="R238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238">
        <v>-0.57358149999999997</v>
      </c>
      <c r="T238">
        <v>0.52132840000000003</v>
      </c>
      <c r="U238">
        <v>1000</v>
      </c>
      <c r="V238" s="1">
        <f>ROUND(Table1[[#This Row],[fmpce]],0)</f>
        <v>1000</v>
      </c>
      <c r="W238">
        <v>13.604665000000001</v>
      </c>
      <c r="X238" s="4">
        <f>Table1[[#This Row],[mpce]]*89</f>
        <v>1210.8151850000002</v>
      </c>
      <c r="Y238" s="2" t="s">
        <v>24</v>
      </c>
      <c r="Z238" s="3">
        <f>VLOOKUP(Y238, rmpce_reference!$B$1:$D$7,3,FALSE) * 89</f>
        <v>2225</v>
      </c>
      <c r="AA238" s="1" t="str">
        <f>IF(Table1[rmpce_inr]&lt;=rmpce_reference!$F$2, "Low Income", IF(Table1[rmpce_inr]&lt;=rmpce_reference!$F$3, "Middle Income", "High Income"))</f>
        <v>Low Income</v>
      </c>
    </row>
    <row r="239" spans="1:27" x14ac:dyDescent="0.25">
      <c r="A239">
        <v>1238</v>
      </c>
      <c r="B239" t="s">
        <v>20</v>
      </c>
      <c r="C239" t="s">
        <v>29</v>
      </c>
      <c r="D239">
        <v>40</v>
      </c>
      <c r="E239" t="s">
        <v>22</v>
      </c>
      <c r="F239" t="s">
        <v>30</v>
      </c>
      <c r="G239">
        <v>6</v>
      </c>
      <c r="H239" s="1" t="str">
        <f>IF(Table1[[#This Row],[anxiety_score]]&lt;=10, "Normal", IF(Table1[[#This Row],[anxiety_score]]&lt;=20, "Moderate", IF(Table1[[#This Row],[anxiety_score]]&lt;=30, "Severe", "Extremely Severe")))</f>
        <v>Normal</v>
      </c>
      <c r="I239">
        <v>-0.41028870000000001</v>
      </c>
      <c r="J239">
        <v>4</v>
      </c>
      <c r="K239" s="1" t="str">
        <f>IF(Table1[[#This Row],[stress_score]]&lt;=10, "Normal", IF(Table1[[#This Row],[stress_score]]&lt;=20, "Moderate", IF(Table1[[#This Row],[stress_score]]&lt;=30, "Severe", "Extremely Severe")))</f>
        <v>Normal</v>
      </c>
      <c r="L239">
        <v>-0.77314866000000004</v>
      </c>
      <c r="M239">
        <v>6</v>
      </c>
      <c r="N239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239">
        <v>-0.53092379999999995</v>
      </c>
      <c r="P239">
        <v>5.3333335000000002</v>
      </c>
      <c r="Q239">
        <f>ROUND(Table1[[#This Row],[dass21_raw_score]],0)</f>
        <v>5</v>
      </c>
      <c r="R239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239">
        <v>-0.57145369999999995</v>
      </c>
      <c r="T239">
        <v>0.52345620000000004</v>
      </c>
      <c r="U239">
        <v>1400</v>
      </c>
      <c r="V239" s="1">
        <f>ROUND(Table1[[#This Row],[fmpce]],0)</f>
        <v>1400</v>
      </c>
      <c r="W239">
        <v>19.046530000000001</v>
      </c>
      <c r="X239" s="4">
        <f>Table1[[#This Row],[mpce]]*89</f>
        <v>1695.1411700000001</v>
      </c>
      <c r="Y239" s="2" t="s">
        <v>24</v>
      </c>
      <c r="Z239" s="3">
        <f>VLOOKUP(Y239, rmpce_reference!$B$1:$D$7,3,FALSE) * 89</f>
        <v>2225</v>
      </c>
      <c r="AA239" s="1" t="str">
        <f>IF(Table1[rmpce_inr]&lt;=rmpce_reference!$F$2, "Low Income", IF(Table1[rmpce_inr]&lt;=rmpce_reference!$F$3, "Middle Income", "High Income"))</f>
        <v>Low Income</v>
      </c>
    </row>
    <row r="240" spans="1:27" x14ac:dyDescent="0.25">
      <c r="A240">
        <v>1239</v>
      </c>
      <c r="B240" t="s">
        <v>20</v>
      </c>
      <c r="C240" t="s">
        <v>33</v>
      </c>
      <c r="D240">
        <v>30</v>
      </c>
      <c r="E240" t="s">
        <v>22</v>
      </c>
      <c r="F240" t="s">
        <v>30</v>
      </c>
      <c r="G240">
        <v>8</v>
      </c>
      <c r="H240" s="1" t="str">
        <f>IF(Table1[[#This Row],[anxiety_score]]&lt;=10, "Normal", IF(Table1[[#This Row],[anxiety_score]]&lt;=20, "Moderate", IF(Table1[[#This Row],[anxiety_score]]&lt;=30, "Severe", "Extremely Severe")))</f>
        <v>Normal</v>
      </c>
      <c r="I240">
        <v>-0.20924408999999999</v>
      </c>
      <c r="J240">
        <v>2</v>
      </c>
      <c r="K240" s="1" t="str">
        <f>IF(Table1[[#This Row],[stress_score]]&lt;=10, "Normal", IF(Table1[[#This Row],[stress_score]]&lt;=20, "Moderate", IF(Table1[[#This Row],[stress_score]]&lt;=30, "Severe", "Extremely Severe")))</f>
        <v>Normal</v>
      </c>
      <c r="L240">
        <v>-0.9678099</v>
      </c>
      <c r="M240">
        <v>8</v>
      </c>
      <c r="N240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240">
        <v>-0.33828637</v>
      </c>
      <c r="P240">
        <v>6</v>
      </c>
      <c r="Q240">
        <f>ROUND(Table1[[#This Row],[dass21_raw_score]],0)</f>
        <v>6</v>
      </c>
      <c r="R240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240">
        <v>-0.50511349999999999</v>
      </c>
      <c r="T240">
        <v>0.5897964</v>
      </c>
      <c r="U240">
        <v>1000</v>
      </c>
      <c r="V240" s="1">
        <f>ROUND(Table1[[#This Row],[fmpce]],0)</f>
        <v>1000</v>
      </c>
      <c r="W240">
        <v>13.604665000000001</v>
      </c>
      <c r="X240" s="4">
        <f>Table1[[#This Row],[mpce]]*89</f>
        <v>1210.8151850000002</v>
      </c>
      <c r="Y240" s="2" t="s">
        <v>24</v>
      </c>
      <c r="Z240" s="3">
        <f>VLOOKUP(Y240, rmpce_reference!$B$1:$D$7,3,FALSE) * 89</f>
        <v>2225</v>
      </c>
      <c r="AA240" s="1" t="str">
        <f>IF(Table1[rmpce_inr]&lt;=rmpce_reference!$F$2, "Low Income", IF(Table1[rmpce_inr]&lt;=rmpce_reference!$F$3, "Middle Income", "High Income"))</f>
        <v>Low Income</v>
      </c>
    </row>
    <row r="241" spans="1:27" x14ac:dyDescent="0.25">
      <c r="A241">
        <v>1240</v>
      </c>
      <c r="B241" t="s">
        <v>20</v>
      </c>
      <c r="C241" t="s">
        <v>21</v>
      </c>
      <c r="D241">
        <v>48</v>
      </c>
      <c r="E241" t="s">
        <v>25</v>
      </c>
      <c r="F241" t="s">
        <v>26</v>
      </c>
      <c r="G241">
        <v>8</v>
      </c>
      <c r="H241" s="1" t="str">
        <f>IF(Table1[[#This Row],[anxiety_score]]&lt;=10, "Normal", IF(Table1[[#This Row],[anxiety_score]]&lt;=20, "Moderate", IF(Table1[[#This Row],[anxiety_score]]&lt;=30, "Severe", "Extremely Severe")))</f>
        <v>Normal</v>
      </c>
      <c r="I241">
        <v>-0.20924408999999999</v>
      </c>
      <c r="J241">
        <v>8</v>
      </c>
      <c r="K241" s="1" t="str">
        <f>IF(Table1[[#This Row],[stress_score]]&lt;=10, "Normal", IF(Table1[[#This Row],[stress_score]]&lt;=20, "Moderate", IF(Table1[[#This Row],[stress_score]]&lt;=30, "Severe", "Extremely Severe")))</f>
        <v>Normal</v>
      </c>
      <c r="L241">
        <v>-0.38382620000000001</v>
      </c>
      <c r="M241">
        <v>2</v>
      </c>
      <c r="N241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241">
        <v>-0.91619854999999994</v>
      </c>
      <c r="P241">
        <v>6</v>
      </c>
      <c r="Q241">
        <f>ROUND(Table1[[#This Row],[dass21_raw_score]],0)</f>
        <v>6</v>
      </c>
      <c r="R241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241">
        <v>-0.50308960000000003</v>
      </c>
      <c r="T241">
        <v>0.59182029999999997</v>
      </c>
      <c r="U241">
        <v>800</v>
      </c>
      <c r="V241" s="1">
        <f>ROUND(Table1[[#This Row],[fmpce]],0)</f>
        <v>800</v>
      </c>
      <c r="W241">
        <v>10.883732</v>
      </c>
      <c r="X241" s="4">
        <f>Table1[[#This Row],[mpce]]*89</f>
        <v>968.65214800000001</v>
      </c>
      <c r="Y241" s="2" t="s">
        <v>24</v>
      </c>
      <c r="Z241" s="3">
        <f>VLOOKUP(Y241, rmpce_reference!$B$1:$D$7,3,FALSE) * 89</f>
        <v>2225</v>
      </c>
      <c r="AA241" s="1" t="str">
        <f>IF(Table1[rmpce_inr]&lt;=rmpce_reference!$F$2, "Low Income", IF(Table1[rmpce_inr]&lt;=rmpce_reference!$F$3, "Middle Income", "High Income"))</f>
        <v>Low Income</v>
      </c>
    </row>
    <row r="242" spans="1:27" x14ac:dyDescent="0.25">
      <c r="A242">
        <v>1241</v>
      </c>
      <c r="B242" t="s">
        <v>20</v>
      </c>
      <c r="C242" t="s">
        <v>36</v>
      </c>
      <c r="D242">
        <v>52</v>
      </c>
      <c r="E242" t="s">
        <v>25</v>
      </c>
      <c r="F242" t="s">
        <v>26</v>
      </c>
      <c r="G242">
        <v>8</v>
      </c>
      <c r="H242" s="1" t="str">
        <f>IF(Table1[[#This Row],[anxiety_score]]&lt;=10, "Normal", IF(Table1[[#This Row],[anxiety_score]]&lt;=20, "Moderate", IF(Table1[[#This Row],[anxiety_score]]&lt;=30, "Severe", "Extremely Severe")))</f>
        <v>Normal</v>
      </c>
      <c r="I242">
        <v>-0.20924408999999999</v>
      </c>
      <c r="J242">
        <v>6</v>
      </c>
      <c r="K242" s="1" t="str">
        <f>IF(Table1[[#This Row],[stress_score]]&lt;=10, "Normal", IF(Table1[[#This Row],[stress_score]]&lt;=20, "Moderate", IF(Table1[[#This Row],[stress_score]]&lt;=30, "Severe", "Extremely Severe")))</f>
        <v>Normal</v>
      </c>
      <c r="L242">
        <v>-0.57848745999999995</v>
      </c>
      <c r="M242">
        <v>2</v>
      </c>
      <c r="N242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242">
        <v>-0.91619854999999994</v>
      </c>
      <c r="P242">
        <v>5.3333335000000002</v>
      </c>
      <c r="Q242">
        <f>ROUND(Table1[[#This Row],[dass21_raw_score]],0)</f>
        <v>5</v>
      </c>
      <c r="R242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242">
        <v>-0.5679767</v>
      </c>
      <c r="T242">
        <v>0.52693319999999999</v>
      </c>
      <c r="U242">
        <v>1750</v>
      </c>
      <c r="V242" s="1">
        <f>ROUND(Table1[[#This Row],[fmpce]],0)</f>
        <v>1750</v>
      </c>
      <c r="W242">
        <v>23.808163</v>
      </c>
      <c r="X242" s="4">
        <f>Table1[[#This Row],[mpce]]*89</f>
        <v>2118.9265070000001</v>
      </c>
      <c r="Y242" s="2" t="s">
        <v>24</v>
      </c>
      <c r="Z242" s="3">
        <f>VLOOKUP(Y242, rmpce_reference!$B$1:$D$7,3,FALSE) * 89</f>
        <v>2225</v>
      </c>
      <c r="AA242" s="1" t="str">
        <f>IF(Table1[rmpce_inr]&lt;=rmpce_reference!$F$2, "Low Income", IF(Table1[rmpce_inr]&lt;=rmpce_reference!$F$3, "Middle Income", "High Income"))</f>
        <v>Low Income</v>
      </c>
    </row>
    <row r="243" spans="1:27" x14ac:dyDescent="0.25">
      <c r="A243">
        <v>1242</v>
      </c>
      <c r="B243" t="s">
        <v>20</v>
      </c>
      <c r="C243" t="s">
        <v>21</v>
      </c>
      <c r="D243">
        <v>42</v>
      </c>
      <c r="E243" t="s">
        <v>25</v>
      </c>
      <c r="F243" t="s">
        <v>27</v>
      </c>
      <c r="G243">
        <v>8</v>
      </c>
      <c r="H243" s="1" t="str">
        <f>IF(Table1[[#This Row],[anxiety_score]]&lt;=10, "Normal", IF(Table1[[#This Row],[anxiety_score]]&lt;=20, "Moderate", IF(Table1[[#This Row],[anxiety_score]]&lt;=30, "Severe", "Extremely Severe")))</f>
        <v>Normal</v>
      </c>
      <c r="I243">
        <v>-0.20924408999999999</v>
      </c>
      <c r="J243">
        <v>8</v>
      </c>
      <c r="K243" s="1" t="str">
        <f>IF(Table1[[#This Row],[stress_score]]&lt;=10, "Normal", IF(Table1[[#This Row],[stress_score]]&lt;=20, "Moderate", IF(Table1[[#This Row],[stress_score]]&lt;=30, "Severe", "Extremely Severe")))</f>
        <v>Normal</v>
      </c>
      <c r="L243">
        <v>-0.38382620000000001</v>
      </c>
      <c r="M243">
        <v>12</v>
      </c>
      <c r="N243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243">
        <v>4.6988415999999998E-2</v>
      </c>
      <c r="P243">
        <v>9.3333329999999997</v>
      </c>
      <c r="Q243">
        <f>ROUND(Table1[[#This Row],[dass21_raw_score]],0)</f>
        <v>9</v>
      </c>
      <c r="R243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243">
        <v>-0.1820273</v>
      </c>
      <c r="T243">
        <v>0.91288259999999999</v>
      </c>
      <c r="U243">
        <v>555.55553999999995</v>
      </c>
      <c r="V243" s="1">
        <f>ROUND(Table1[[#This Row],[fmpce]],0)</f>
        <v>556</v>
      </c>
      <c r="W243">
        <v>7.5581469999999999</v>
      </c>
      <c r="X243" s="4">
        <f>Table1[[#This Row],[mpce]]*89</f>
        <v>672.67508299999997</v>
      </c>
      <c r="Y243" s="2" t="s">
        <v>24</v>
      </c>
      <c r="Z243" s="3">
        <f>VLOOKUP(Y243, rmpce_reference!$B$1:$D$7,3,FALSE) * 89</f>
        <v>2225</v>
      </c>
      <c r="AA243" s="1" t="str">
        <f>IF(Table1[rmpce_inr]&lt;=rmpce_reference!$F$2, "Low Income", IF(Table1[rmpce_inr]&lt;=rmpce_reference!$F$3, "Middle Income", "High Income"))</f>
        <v>Low Income</v>
      </c>
    </row>
    <row r="244" spans="1:27" x14ac:dyDescent="0.25">
      <c r="A244">
        <v>1243</v>
      </c>
      <c r="B244" t="s">
        <v>20</v>
      </c>
      <c r="C244" t="s">
        <v>29</v>
      </c>
      <c r="D244">
        <v>36</v>
      </c>
      <c r="E244" t="s">
        <v>25</v>
      </c>
      <c r="F244" t="s">
        <v>23</v>
      </c>
      <c r="G244">
        <v>6</v>
      </c>
      <c r="H244" s="1" t="str">
        <f>IF(Table1[[#This Row],[anxiety_score]]&lt;=10, "Normal", IF(Table1[[#This Row],[anxiety_score]]&lt;=20, "Moderate", IF(Table1[[#This Row],[anxiety_score]]&lt;=30, "Severe", "Extremely Severe")))</f>
        <v>Normal</v>
      </c>
      <c r="I244">
        <v>-0.41028870000000001</v>
      </c>
      <c r="J244">
        <v>4</v>
      </c>
      <c r="K244" s="1" t="str">
        <f>IF(Table1[[#This Row],[stress_score]]&lt;=10, "Normal", IF(Table1[[#This Row],[stress_score]]&lt;=20, "Moderate", IF(Table1[[#This Row],[stress_score]]&lt;=30, "Severe", "Extremely Severe")))</f>
        <v>Normal</v>
      </c>
      <c r="L244">
        <v>-0.77314866000000004</v>
      </c>
      <c r="M244">
        <v>4</v>
      </c>
      <c r="N244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244">
        <v>-0.72356116999999998</v>
      </c>
      <c r="P244">
        <v>4.6666664999999998</v>
      </c>
      <c r="Q244">
        <f>ROUND(Table1[[#This Row],[dass21_raw_score]],0)</f>
        <v>5</v>
      </c>
      <c r="R244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244">
        <v>-0.63566619999999996</v>
      </c>
      <c r="T244">
        <v>0.45924369999999998</v>
      </c>
      <c r="U244">
        <v>2500</v>
      </c>
      <c r="V244" s="1">
        <f>ROUND(Table1[[#This Row],[fmpce]],0)</f>
        <v>2500</v>
      </c>
      <c r="W244">
        <v>34.011659999999999</v>
      </c>
      <c r="X244" s="4">
        <f>Table1[[#This Row],[mpce]]*89</f>
        <v>3027.0377399999998</v>
      </c>
      <c r="Y244" s="2" t="s">
        <v>34</v>
      </c>
      <c r="Z244" s="3">
        <f>VLOOKUP(Y244, rmpce_reference!$B$1:$D$7,3,FALSE) * 89</f>
        <v>2848</v>
      </c>
      <c r="AA244" s="1" t="str">
        <f>IF(Table1[rmpce_inr]&lt;=rmpce_reference!$F$2, "Low Income", IF(Table1[rmpce_inr]&lt;=rmpce_reference!$F$3, "Middle Income", "High Income"))</f>
        <v>Low Income</v>
      </c>
    </row>
    <row r="245" spans="1:27" x14ac:dyDescent="0.25">
      <c r="A245">
        <v>1244</v>
      </c>
      <c r="B245" t="s">
        <v>20</v>
      </c>
      <c r="C245" t="s">
        <v>21</v>
      </c>
      <c r="D245">
        <v>48</v>
      </c>
      <c r="E245" t="s">
        <v>25</v>
      </c>
      <c r="F245" t="s">
        <v>26</v>
      </c>
      <c r="G245">
        <v>4</v>
      </c>
      <c r="H245" s="1" t="str">
        <f>IF(Table1[[#This Row],[anxiety_score]]&lt;=10, "Normal", IF(Table1[[#This Row],[anxiety_score]]&lt;=20, "Moderate", IF(Table1[[#This Row],[anxiety_score]]&lt;=30, "Severe", "Extremely Severe")))</f>
        <v>Normal</v>
      </c>
      <c r="I245">
        <v>-0.61133329999999997</v>
      </c>
      <c r="J245">
        <v>8</v>
      </c>
      <c r="K245" s="1" t="str">
        <f>IF(Table1[[#This Row],[stress_score]]&lt;=10, "Normal", IF(Table1[[#This Row],[stress_score]]&lt;=20, "Moderate", IF(Table1[[#This Row],[stress_score]]&lt;=30, "Severe", "Extremely Severe")))</f>
        <v>Normal</v>
      </c>
      <c r="L245">
        <v>-0.38382620000000001</v>
      </c>
      <c r="M245">
        <v>4</v>
      </c>
      <c r="N245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245">
        <v>-0.72356116999999998</v>
      </c>
      <c r="P245">
        <v>5.3333335000000002</v>
      </c>
      <c r="Q245">
        <f>ROUND(Table1[[#This Row],[dass21_raw_score]],0)</f>
        <v>5</v>
      </c>
      <c r="R245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245">
        <v>-0.5729069</v>
      </c>
      <c r="T245">
        <v>0.52200299999999999</v>
      </c>
      <c r="U245">
        <v>1000</v>
      </c>
      <c r="V245" s="1">
        <f>ROUND(Table1[[#This Row],[fmpce]],0)</f>
        <v>1000</v>
      </c>
      <c r="W245">
        <v>13.604665000000001</v>
      </c>
      <c r="X245" s="4">
        <f>Table1[[#This Row],[mpce]]*89</f>
        <v>1210.8151850000002</v>
      </c>
      <c r="Y245" s="2" t="s">
        <v>24</v>
      </c>
      <c r="Z245" s="3">
        <f>VLOOKUP(Y245, rmpce_reference!$B$1:$D$7,3,FALSE) * 89</f>
        <v>2225</v>
      </c>
      <c r="AA245" s="1" t="str">
        <f>IF(Table1[rmpce_inr]&lt;=rmpce_reference!$F$2, "Low Income", IF(Table1[rmpce_inr]&lt;=rmpce_reference!$F$3, "Middle Income", "High Income"))</f>
        <v>Low Income</v>
      </c>
    </row>
    <row r="246" spans="1:27" x14ac:dyDescent="0.25">
      <c r="A246">
        <v>1245</v>
      </c>
      <c r="B246" t="s">
        <v>20</v>
      </c>
      <c r="C246" t="s">
        <v>33</v>
      </c>
      <c r="D246">
        <v>30</v>
      </c>
      <c r="E246" t="s">
        <v>25</v>
      </c>
      <c r="F246" t="s">
        <v>26</v>
      </c>
      <c r="G246">
        <v>4</v>
      </c>
      <c r="H246" s="1" t="str">
        <f>IF(Table1[[#This Row],[anxiety_score]]&lt;=10, "Normal", IF(Table1[[#This Row],[anxiety_score]]&lt;=20, "Moderate", IF(Table1[[#This Row],[anxiety_score]]&lt;=30, "Severe", "Extremely Severe")))</f>
        <v>Normal</v>
      </c>
      <c r="I246">
        <v>-0.61133329999999997</v>
      </c>
      <c r="J246">
        <v>8</v>
      </c>
      <c r="K246" s="1" t="str">
        <f>IF(Table1[[#This Row],[stress_score]]&lt;=10, "Normal", IF(Table1[[#This Row],[stress_score]]&lt;=20, "Moderate", IF(Table1[[#This Row],[stress_score]]&lt;=30, "Severe", "Extremely Severe")))</f>
        <v>Normal</v>
      </c>
      <c r="L246">
        <v>-0.38382620000000001</v>
      </c>
      <c r="M246">
        <v>4</v>
      </c>
      <c r="N246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246">
        <v>-0.72356116999999998</v>
      </c>
      <c r="P246">
        <v>5.3333335000000002</v>
      </c>
      <c r="Q246">
        <f>ROUND(Table1[[#This Row],[dass21_raw_score]],0)</f>
        <v>5</v>
      </c>
      <c r="R246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246">
        <v>-0.5729069</v>
      </c>
      <c r="T246">
        <v>0.52200299999999999</v>
      </c>
      <c r="U246">
        <v>10000</v>
      </c>
      <c r="V246" s="1">
        <f>ROUND(Table1[[#This Row],[fmpce]],0)</f>
        <v>10000</v>
      </c>
      <c r="W246">
        <v>136.04665</v>
      </c>
      <c r="X246" s="4">
        <f>Table1[[#This Row],[mpce]]*89</f>
        <v>12108.15185</v>
      </c>
      <c r="Y246" s="2" t="s">
        <v>35</v>
      </c>
      <c r="Z246" s="3">
        <f>VLOOKUP(Y246, rmpce_reference!$B$1:$D$7,3,FALSE) * 89</f>
        <v>9790</v>
      </c>
      <c r="AA246" s="1" t="str">
        <f>IF(Table1[rmpce_inr]&lt;=rmpce_reference!$F$2, "Low Income", IF(Table1[rmpce_inr]&lt;=rmpce_reference!$F$3, "Middle Income", "High Income"))</f>
        <v>High Income</v>
      </c>
    </row>
    <row r="247" spans="1:27" x14ac:dyDescent="0.25">
      <c r="A247">
        <v>1246</v>
      </c>
      <c r="B247" t="s">
        <v>20</v>
      </c>
      <c r="C247" t="s">
        <v>33</v>
      </c>
      <c r="D247">
        <v>28</v>
      </c>
      <c r="E247" t="s">
        <v>25</v>
      </c>
      <c r="F247" t="s">
        <v>26</v>
      </c>
      <c r="G247">
        <v>8</v>
      </c>
      <c r="H247" s="1" t="str">
        <f>IF(Table1[[#This Row],[anxiety_score]]&lt;=10, "Normal", IF(Table1[[#This Row],[anxiety_score]]&lt;=20, "Moderate", IF(Table1[[#This Row],[anxiety_score]]&lt;=30, "Severe", "Extremely Severe")))</f>
        <v>Normal</v>
      </c>
      <c r="I247">
        <v>-0.20924408999999999</v>
      </c>
      <c r="J247">
        <v>8</v>
      </c>
      <c r="K247" s="1" t="str">
        <f>IF(Table1[[#This Row],[stress_score]]&lt;=10, "Normal", IF(Table1[[#This Row],[stress_score]]&lt;=20, "Moderate", IF(Table1[[#This Row],[stress_score]]&lt;=30, "Severe", "Extremely Severe")))</f>
        <v>Normal</v>
      </c>
      <c r="L247">
        <v>-0.38382620000000001</v>
      </c>
      <c r="M247">
        <v>2</v>
      </c>
      <c r="N247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247">
        <v>-0.91619854999999994</v>
      </c>
      <c r="P247">
        <v>6</v>
      </c>
      <c r="Q247">
        <f>ROUND(Table1[[#This Row],[dass21_raw_score]],0)</f>
        <v>6</v>
      </c>
      <c r="R247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247">
        <v>-0.50308960000000003</v>
      </c>
      <c r="T247">
        <v>0.59182029999999997</v>
      </c>
      <c r="U247">
        <v>1500</v>
      </c>
      <c r="V247" s="1">
        <f>ROUND(Table1[[#This Row],[fmpce]],0)</f>
        <v>1500</v>
      </c>
      <c r="W247">
        <v>20.406998000000002</v>
      </c>
      <c r="X247" s="4">
        <f>Table1[[#This Row],[mpce]]*89</f>
        <v>1816.2228220000002</v>
      </c>
      <c r="Y247" s="2" t="s">
        <v>24</v>
      </c>
      <c r="Z247" s="3">
        <f>VLOOKUP(Y247, rmpce_reference!$B$1:$D$7,3,FALSE) * 89</f>
        <v>2225</v>
      </c>
      <c r="AA247" s="1" t="str">
        <f>IF(Table1[rmpce_inr]&lt;=rmpce_reference!$F$2, "Low Income", IF(Table1[rmpce_inr]&lt;=rmpce_reference!$F$3, "Middle Income", "High Income"))</f>
        <v>Low Income</v>
      </c>
    </row>
    <row r="248" spans="1:27" x14ac:dyDescent="0.25">
      <c r="A248">
        <v>1247</v>
      </c>
      <c r="B248" t="s">
        <v>20</v>
      </c>
      <c r="C248" t="s">
        <v>33</v>
      </c>
      <c r="D248">
        <v>28</v>
      </c>
      <c r="E248" t="s">
        <v>25</v>
      </c>
      <c r="F248" t="s">
        <v>26</v>
      </c>
      <c r="G248">
        <v>10</v>
      </c>
      <c r="H248" s="1" t="str">
        <f>IF(Table1[[#This Row],[anxiety_score]]&lt;=10, "Normal", IF(Table1[[#This Row],[anxiety_score]]&lt;=20, "Moderate", IF(Table1[[#This Row],[anxiety_score]]&lt;=30, "Severe", "Extremely Severe")))</f>
        <v>Normal</v>
      </c>
      <c r="I248">
        <v>-8.1994660000000007E-3</v>
      </c>
      <c r="J248">
        <v>6</v>
      </c>
      <c r="K248" s="1" t="str">
        <f>IF(Table1[[#This Row],[stress_score]]&lt;=10, "Normal", IF(Table1[[#This Row],[stress_score]]&lt;=20, "Moderate", IF(Table1[[#This Row],[stress_score]]&lt;=30, "Severe", "Extremely Severe")))</f>
        <v>Normal</v>
      </c>
      <c r="L248">
        <v>-0.57848745999999995</v>
      </c>
      <c r="M248">
        <v>10</v>
      </c>
      <c r="N248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248">
        <v>-0.14564899000000001</v>
      </c>
      <c r="P248">
        <v>8.6666670000000003</v>
      </c>
      <c r="Q248">
        <f>ROUND(Table1[[#This Row],[dass21_raw_score]],0)</f>
        <v>9</v>
      </c>
      <c r="R248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248">
        <v>-0.24411197000000001</v>
      </c>
      <c r="T248">
        <v>0.85079795000000003</v>
      </c>
      <c r="U248">
        <v>1666.6666</v>
      </c>
      <c r="V248" s="1">
        <f>ROUND(Table1[[#This Row],[fmpce]],0)</f>
        <v>1667</v>
      </c>
      <c r="W248">
        <v>22.674440000000001</v>
      </c>
      <c r="X248" s="4">
        <f>Table1[[#This Row],[mpce]]*89</f>
        <v>2018.0251600000001</v>
      </c>
      <c r="Y248" s="2" t="s">
        <v>24</v>
      </c>
      <c r="Z248" s="3">
        <f>VLOOKUP(Y248, rmpce_reference!$B$1:$D$7,3,FALSE) * 89</f>
        <v>2225</v>
      </c>
      <c r="AA248" s="1" t="str">
        <f>IF(Table1[rmpce_inr]&lt;=rmpce_reference!$F$2, "Low Income", IF(Table1[rmpce_inr]&lt;=rmpce_reference!$F$3, "Middle Income", "High Income"))</f>
        <v>Low Income</v>
      </c>
    </row>
    <row r="249" spans="1:27" x14ac:dyDescent="0.25">
      <c r="A249">
        <v>1248</v>
      </c>
      <c r="B249" t="s">
        <v>20</v>
      </c>
      <c r="C249" t="s">
        <v>21</v>
      </c>
      <c r="D249">
        <v>45</v>
      </c>
      <c r="E249" t="s">
        <v>22</v>
      </c>
      <c r="F249" t="s">
        <v>30</v>
      </c>
      <c r="G249">
        <v>10</v>
      </c>
      <c r="H249" s="1" t="str">
        <f>IF(Table1[[#This Row],[anxiety_score]]&lt;=10, "Normal", IF(Table1[[#This Row],[anxiety_score]]&lt;=20, "Moderate", IF(Table1[[#This Row],[anxiety_score]]&lt;=30, "Severe", "Extremely Severe")))</f>
        <v>Normal</v>
      </c>
      <c r="I249">
        <v>-8.1994660000000007E-3</v>
      </c>
      <c r="J249">
        <v>10</v>
      </c>
      <c r="K249" s="1" t="str">
        <f>IF(Table1[[#This Row],[stress_score]]&lt;=10, "Normal", IF(Table1[[#This Row],[stress_score]]&lt;=20, "Moderate", IF(Table1[[#This Row],[stress_score]]&lt;=30, "Severe", "Extremely Severe")))</f>
        <v>Normal</v>
      </c>
      <c r="L249">
        <v>-0.18916494</v>
      </c>
      <c r="M249">
        <v>6</v>
      </c>
      <c r="N249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249">
        <v>-0.53092379999999995</v>
      </c>
      <c r="P249">
        <v>8.6666670000000003</v>
      </c>
      <c r="Q249">
        <f>ROUND(Table1[[#This Row],[dass21_raw_score]],0)</f>
        <v>9</v>
      </c>
      <c r="R249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249">
        <v>-0.24276273000000001</v>
      </c>
      <c r="T249">
        <v>0.85214716000000001</v>
      </c>
      <c r="U249">
        <v>1500</v>
      </c>
      <c r="V249" s="1">
        <f>ROUND(Table1[[#This Row],[fmpce]],0)</f>
        <v>1500</v>
      </c>
      <c r="W249">
        <v>20.406998000000002</v>
      </c>
      <c r="X249" s="4">
        <f>Table1[[#This Row],[mpce]]*89</f>
        <v>1816.2228220000002</v>
      </c>
      <c r="Y249" s="2" t="s">
        <v>24</v>
      </c>
      <c r="Z249" s="3">
        <f>VLOOKUP(Y249, rmpce_reference!$B$1:$D$7,3,FALSE) * 89</f>
        <v>2225</v>
      </c>
      <c r="AA249" s="1" t="str">
        <f>IF(Table1[rmpce_inr]&lt;=rmpce_reference!$F$2, "Low Income", IF(Table1[rmpce_inr]&lt;=rmpce_reference!$F$3, "Middle Income", "High Income"))</f>
        <v>Low Income</v>
      </c>
    </row>
    <row r="250" spans="1:27" x14ac:dyDescent="0.25">
      <c r="A250">
        <v>1249</v>
      </c>
      <c r="B250" t="s">
        <v>20</v>
      </c>
      <c r="C250" t="s">
        <v>29</v>
      </c>
      <c r="D250">
        <v>40</v>
      </c>
      <c r="E250" t="s">
        <v>22</v>
      </c>
      <c r="F250" t="s">
        <v>30</v>
      </c>
      <c r="G250">
        <v>6</v>
      </c>
      <c r="H250" s="1" t="str">
        <f>IF(Table1[[#This Row],[anxiety_score]]&lt;=10, "Normal", IF(Table1[[#This Row],[anxiety_score]]&lt;=20, "Moderate", IF(Table1[[#This Row],[anxiety_score]]&lt;=30, "Severe", "Extremely Severe")))</f>
        <v>Normal</v>
      </c>
      <c r="I250">
        <v>-0.41028870000000001</v>
      </c>
      <c r="J250">
        <v>6</v>
      </c>
      <c r="K250" s="1" t="str">
        <f>IF(Table1[[#This Row],[stress_score]]&lt;=10, "Normal", IF(Table1[[#This Row],[stress_score]]&lt;=20, "Moderate", IF(Table1[[#This Row],[stress_score]]&lt;=30, "Severe", "Extremely Severe")))</f>
        <v>Normal</v>
      </c>
      <c r="L250">
        <v>-0.57848745999999995</v>
      </c>
      <c r="M250">
        <v>4</v>
      </c>
      <c r="N250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250">
        <v>-0.72356116999999998</v>
      </c>
      <c r="P250">
        <v>5.3333335000000002</v>
      </c>
      <c r="Q250">
        <f>ROUND(Table1[[#This Row],[dass21_raw_score]],0)</f>
        <v>5</v>
      </c>
      <c r="R250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250">
        <v>-0.57077909999999998</v>
      </c>
      <c r="T250">
        <v>0.52413080000000001</v>
      </c>
      <c r="U250">
        <v>2000</v>
      </c>
      <c r="V250" s="1">
        <f>ROUND(Table1[[#This Row],[fmpce]],0)</f>
        <v>2000</v>
      </c>
      <c r="W250">
        <v>27.209330000000001</v>
      </c>
      <c r="X250" s="4">
        <f>Table1[[#This Row],[mpce]]*89</f>
        <v>2421.6303700000003</v>
      </c>
      <c r="Y250" s="2" t="s">
        <v>34</v>
      </c>
      <c r="Z250" s="3">
        <f>VLOOKUP(Y250, rmpce_reference!$B$1:$D$7,3,FALSE) * 89</f>
        <v>2848</v>
      </c>
      <c r="AA250" s="1" t="str">
        <f>IF(Table1[rmpce_inr]&lt;=rmpce_reference!$F$2, "Low Income", IF(Table1[rmpce_inr]&lt;=rmpce_reference!$F$3, "Middle Income", "High Income"))</f>
        <v>Low Income</v>
      </c>
    </row>
    <row r="251" spans="1:27" x14ac:dyDescent="0.25">
      <c r="A251">
        <v>1250</v>
      </c>
      <c r="B251" t="s">
        <v>20</v>
      </c>
      <c r="C251" t="s">
        <v>33</v>
      </c>
      <c r="D251">
        <v>28</v>
      </c>
      <c r="E251" t="s">
        <v>22</v>
      </c>
      <c r="F251" t="s">
        <v>23</v>
      </c>
      <c r="G251">
        <v>6</v>
      </c>
      <c r="H251" s="1" t="str">
        <f>IF(Table1[[#This Row],[anxiety_score]]&lt;=10, "Normal", IF(Table1[[#This Row],[anxiety_score]]&lt;=20, "Moderate", IF(Table1[[#This Row],[anxiety_score]]&lt;=30, "Severe", "Extremely Severe")))</f>
        <v>Normal</v>
      </c>
      <c r="I251">
        <v>-0.41028870000000001</v>
      </c>
      <c r="J251">
        <v>6</v>
      </c>
      <c r="K251" s="1" t="str">
        <f>IF(Table1[[#This Row],[stress_score]]&lt;=10, "Normal", IF(Table1[[#This Row],[stress_score]]&lt;=20, "Moderate", IF(Table1[[#This Row],[stress_score]]&lt;=30, "Severe", "Extremely Severe")))</f>
        <v>Normal</v>
      </c>
      <c r="L251">
        <v>-0.57848745999999995</v>
      </c>
      <c r="M251">
        <v>6</v>
      </c>
      <c r="N251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251">
        <v>-0.53092379999999995</v>
      </c>
      <c r="P251">
        <v>6</v>
      </c>
      <c r="Q251">
        <f>ROUND(Table1[[#This Row],[dass21_raw_score]],0)</f>
        <v>6</v>
      </c>
      <c r="R251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251">
        <v>-0.50656663999999996</v>
      </c>
      <c r="T251">
        <v>0.58834326000000003</v>
      </c>
      <c r="U251">
        <v>1250</v>
      </c>
      <c r="V251" s="1">
        <f>ROUND(Table1[[#This Row],[fmpce]],0)</f>
        <v>1250</v>
      </c>
      <c r="W251">
        <v>17.00583</v>
      </c>
      <c r="X251" s="4">
        <f>Table1[[#This Row],[mpce]]*89</f>
        <v>1513.5188699999999</v>
      </c>
      <c r="Y251" s="2" t="s">
        <v>24</v>
      </c>
      <c r="Z251" s="3">
        <f>VLOOKUP(Y251, rmpce_reference!$B$1:$D$7,3,FALSE) * 89</f>
        <v>2225</v>
      </c>
      <c r="AA251" s="1" t="str">
        <f>IF(Table1[rmpce_inr]&lt;=rmpce_reference!$F$2, "Low Income", IF(Table1[rmpce_inr]&lt;=rmpce_reference!$F$3, "Middle Income", "High Income"))</f>
        <v>Low Income</v>
      </c>
    </row>
    <row r="252" spans="1:27" x14ac:dyDescent="0.25">
      <c r="A252">
        <v>1251</v>
      </c>
      <c r="B252" t="s">
        <v>20</v>
      </c>
      <c r="C252" t="s">
        <v>29</v>
      </c>
      <c r="D252">
        <v>32</v>
      </c>
      <c r="E252" t="s">
        <v>22</v>
      </c>
      <c r="F252" t="s">
        <v>30</v>
      </c>
      <c r="G252">
        <v>6</v>
      </c>
      <c r="H252" s="1" t="str">
        <f>IF(Table1[[#This Row],[anxiety_score]]&lt;=10, "Normal", IF(Table1[[#This Row],[anxiety_score]]&lt;=20, "Moderate", IF(Table1[[#This Row],[anxiety_score]]&lt;=30, "Severe", "Extremely Severe")))</f>
        <v>Normal</v>
      </c>
      <c r="I252">
        <v>-0.41028870000000001</v>
      </c>
      <c r="J252">
        <v>8</v>
      </c>
      <c r="K252" s="1" t="str">
        <f>IF(Table1[[#This Row],[stress_score]]&lt;=10, "Normal", IF(Table1[[#This Row],[stress_score]]&lt;=20, "Moderate", IF(Table1[[#This Row],[stress_score]]&lt;=30, "Severe", "Extremely Severe")))</f>
        <v>Normal</v>
      </c>
      <c r="L252">
        <v>-0.38382620000000001</v>
      </c>
      <c r="M252">
        <v>10</v>
      </c>
      <c r="N252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252">
        <v>-0.14564899000000001</v>
      </c>
      <c r="P252">
        <v>8</v>
      </c>
      <c r="Q252">
        <f>ROUND(Table1[[#This Row],[dass21_raw_score]],0)</f>
        <v>8</v>
      </c>
      <c r="R252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252">
        <v>-0.31325461999999998</v>
      </c>
      <c r="T252">
        <v>0.78165530000000005</v>
      </c>
      <c r="U252">
        <v>2666.6667000000002</v>
      </c>
      <c r="V252" s="1">
        <f>ROUND(Table1[[#This Row],[fmpce]],0)</f>
        <v>2667</v>
      </c>
      <c r="W252">
        <v>36.279105999999999</v>
      </c>
      <c r="X252" s="4">
        <f>Table1[[#This Row],[mpce]]*89</f>
        <v>3228.8404339999997</v>
      </c>
      <c r="Y252" s="2" t="s">
        <v>34</v>
      </c>
      <c r="Z252" s="3">
        <f>VLOOKUP(Y252, rmpce_reference!$B$1:$D$7,3,FALSE) * 89</f>
        <v>2848</v>
      </c>
      <c r="AA252" s="1" t="str">
        <f>IF(Table1[rmpce_inr]&lt;=rmpce_reference!$F$2, "Low Income", IF(Table1[rmpce_inr]&lt;=rmpce_reference!$F$3, "Middle Income", "High Income"))</f>
        <v>Low Income</v>
      </c>
    </row>
    <row r="253" spans="1:27" x14ac:dyDescent="0.25">
      <c r="A253">
        <v>1252</v>
      </c>
      <c r="B253" t="s">
        <v>20</v>
      </c>
      <c r="C253" t="s">
        <v>21</v>
      </c>
      <c r="D253">
        <v>48</v>
      </c>
      <c r="E253" t="s">
        <v>22</v>
      </c>
      <c r="F253" t="s">
        <v>30</v>
      </c>
      <c r="G253">
        <v>16</v>
      </c>
      <c r="H253" s="1" t="str">
        <f>IF(Table1[[#This Row],[anxiety_score]]&lt;=10, "Normal", IF(Table1[[#This Row],[anxiety_score]]&lt;=20, "Moderate", IF(Table1[[#This Row],[anxiety_score]]&lt;=30, "Severe", "Extremely Severe")))</f>
        <v>Moderate</v>
      </c>
      <c r="I253">
        <v>0.59493434000000001</v>
      </c>
      <c r="J253">
        <v>10</v>
      </c>
      <c r="K253" s="1" t="str">
        <f>IF(Table1[[#This Row],[stress_score]]&lt;=10, "Normal", IF(Table1[[#This Row],[stress_score]]&lt;=20, "Moderate", IF(Table1[[#This Row],[stress_score]]&lt;=30, "Severe", "Extremely Severe")))</f>
        <v>Normal</v>
      </c>
      <c r="L253">
        <v>-0.18916494</v>
      </c>
      <c r="M253">
        <v>12</v>
      </c>
      <c r="N253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253">
        <v>4.6988415999999998E-2</v>
      </c>
      <c r="P253">
        <v>12.666667</v>
      </c>
      <c r="Q253">
        <f>ROUND(Table1[[#This Row],[dass21_raw_score]],0)</f>
        <v>13</v>
      </c>
      <c r="R253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253">
        <v>0.15091926999999999</v>
      </c>
      <c r="T253">
        <v>1.2458292</v>
      </c>
      <c r="U253">
        <v>1250</v>
      </c>
      <c r="V253" s="1">
        <f>ROUND(Table1[[#This Row],[fmpce]],0)</f>
        <v>1250</v>
      </c>
      <c r="W253">
        <v>17.00583</v>
      </c>
      <c r="X253" s="4">
        <f>Table1[[#This Row],[mpce]]*89</f>
        <v>1513.5188699999999</v>
      </c>
      <c r="Y253" s="2" t="s">
        <v>24</v>
      </c>
      <c r="Z253" s="3">
        <f>VLOOKUP(Y253, rmpce_reference!$B$1:$D$7,3,FALSE) * 89</f>
        <v>2225</v>
      </c>
      <c r="AA253" s="1" t="str">
        <f>IF(Table1[rmpce_inr]&lt;=rmpce_reference!$F$2, "Low Income", IF(Table1[rmpce_inr]&lt;=rmpce_reference!$F$3, "Middle Income", "High Income"))</f>
        <v>Low Income</v>
      </c>
    </row>
    <row r="254" spans="1:27" x14ac:dyDescent="0.25">
      <c r="A254">
        <v>1253</v>
      </c>
      <c r="B254" t="s">
        <v>20</v>
      </c>
      <c r="C254" t="s">
        <v>29</v>
      </c>
      <c r="D254">
        <v>38</v>
      </c>
      <c r="E254" t="s">
        <v>22</v>
      </c>
      <c r="F254" t="s">
        <v>23</v>
      </c>
      <c r="G254">
        <v>4</v>
      </c>
      <c r="H254" s="1" t="str">
        <f>IF(Table1[[#This Row],[anxiety_score]]&lt;=10, "Normal", IF(Table1[[#This Row],[anxiety_score]]&lt;=20, "Moderate", IF(Table1[[#This Row],[anxiety_score]]&lt;=30, "Severe", "Extremely Severe")))</f>
        <v>Normal</v>
      </c>
      <c r="I254">
        <v>-0.61133329999999997</v>
      </c>
      <c r="J254">
        <v>6</v>
      </c>
      <c r="K254" s="1" t="str">
        <f>IF(Table1[[#This Row],[stress_score]]&lt;=10, "Normal", IF(Table1[[#This Row],[stress_score]]&lt;=20, "Moderate", IF(Table1[[#This Row],[stress_score]]&lt;=30, "Severe", "Extremely Severe")))</f>
        <v>Normal</v>
      </c>
      <c r="L254">
        <v>-0.57848745999999995</v>
      </c>
      <c r="M254">
        <v>8</v>
      </c>
      <c r="N254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254">
        <v>-0.33828637</v>
      </c>
      <c r="P254">
        <v>6</v>
      </c>
      <c r="Q254">
        <f>ROUND(Table1[[#This Row],[dass21_raw_score]],0)</f>
        <v>6</v>
      </c>
      <c r="R254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254">
        <v>-0.50936899999999996</v>
      </c>
      <c r="T254">
        <v>0.58554090000000003</v>
      </c>
      <c r="U254">
        <v>1750</v>
      </c>
      <c r="V254" s="1">
        <f>ROUND(Table1[[#This Row],[fmpce]],0)</f>
        <v>1750</v>
      </c>
      <c r="W254">
        <v>23.808163</v>
      </c>
      <c r="X254" s="4">
        <f>Table1[[#This Row],[mpce]]*89</f>
        <v>2118.9265070000001</v>
      </c>
      <c r="Y254" s="2" t="s">
        <v>24</v>
      </c>
      <c r="Z254" s="3">
        <f>VLOOKUP(Y254, rmpce_reference!$B$1:$D$7,3,FALSE) * 89</f>
        <v>2225</v>
      </c>
      <c r="AA254" s="1" t="str">
        <f>IF(Table1[rmpce_inr]&lt;=rmpce_reference!$F$2, "Low Income", IF(Table1[rmpce_inr]&lt;=rmpce_reference!$F$3, "Middle Income", "High Income"))</f>
        <v>Low Income</v>
      </c>
    </row>
    <row r="255" spans="1:27" x14ac:dyDescent="0.25">
      <c r="A255">
        <v>1254</v>
      </c>
      <c r="B255" t="s">
        <v>20</v>
      </c>
      <c r="C255" t="s">
        <v>29</v>
      </c>
      <c r="D255">
        <v>37</v>
      </c>
      <c r="E255" t="s">
        <v>22</v>
      </c>
      <c r="F255" t="s">
        <v>30</v>
      </c>
      <c r="G255">
        <v>8</v>
      </c>
      <c r="H255" s="1" t="str">
        <f>IF(Table1[[#This Row],[anxiety_score]]&lt;=10, "Normal", IF(Table1[[#This Row],[anxiety_score]]&lt;=20, "Moderate", IF(Table1[[#This Row],[anxiety_score]]&lt;=30, "Severe", "Extremely Severe")))</f>
        <v>Normal</v>
      </c>
      <c r="I255">
        <v>-0.20924408999999999</v>
      </c>
      <c r="J255">
        <v>10</v>
      </c>
      <c r="K255" s="1" t="str">
        <f>IF(Table1[[#This Row],[stress_score]]&lt;=10, "Normal", IF(Table1[[#This Row],[stress_score]]&lt;=20, "Moderate", IF(Table1[[#This Row],[stress_score]]&lt;=30, "Severe", "Extremely Severe")))</f>
        <v>Normal</v>
      </c>
      <c r="L255">
        <v>-0.18916494</v>
      </c>
      <c r="M255">
        <v>4</v>
      </c>
      <c r="N255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255">
        <v>-0.72356116999999998</v>
      </c>
      <c r="P255">
        <v>7.3333335000000002</v>
      </c>
      <c r="Q255">
        <f>ROUND(Table1[[#This Row],[dass21_raw_score]],0)</f>
        <v>7</v>
      </c>
      <c r="R255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255">
        <v>-0.37399006000000001</v>
      </c>
      <c r="T255">
        <v>0.72091985000000003</v>
      </c>
      <c r="U255">
        <v>800</v>
      </c>
      <c r="V255" s="1">
        <f>ROUND(Table1[[#This Row],[fmpce]],0)</f>
        <v>800</v>
      </c>
      <c r="W255">
        <v>10.883732</v>
      </c>
      <c r="X255" s="4">
        <f>Table1[[#This Row],[mpce]]*89</f>
        <v>968.65214800000001</v>
      </c>
      <c r="Y255" s="2" t="s">
        <v>24</v>
      </c>
      <c r="Z255" s="3">
        <f>VLOOKUP(Y255, rmpce_reference!$B$1:$D$7,3,FALSE) * 89</f>
        <v>2225</v>
      </c>
      <c r="AA255" s="1" t="str">
        <f>IF(Table1[rmpce_inr]&lt;=rmpce_reference!$F$2, "Low Income", IF(Table1[rmpce_inr]&lt;=rmpce_reference!$F$3, "Middle Income", "High Income"))</f>
        <v>Low Income</v>
      </c>
    </row>
    <row r="256" spans="1:27" x14ac:dyDescent="0.25">
      <c r="A256">
        <v>1255</v>
      </c>
      <c r="B256" t="s">
        <v>20</v>
      </c>
      <c r="C256" t="s">
        <v>29</v>
      </c>
      <c r="D256">
        <v>40</v>
      </c>
      <c r="E256" t="s">
        <v>22</v>
      </c>
      <c r="F256" t="s">
        <v>30</v>
      </c>
      <c r="G256">
        <v>6</v>
      </c>
      <c r="H256" s="1" t="str">
        <f>IF(Table1[[#This Row],[anxiety_score]]&lt;=10, "Normal", IF(Table1[[#This Row],[anxiety_score]]&lt;=20, "Moderate", IF(Table1[[#This Row],[anxiety_score]]&lt;=30, "Severe", "Extremely Severe")))</f>
        <v>Normal</v>
      </c>
      <c r="I256">
        <v>-0.41028870000000001</v>
      </c>
      <c r="J256">
        <v>8</v>
      </c>
      <c r="K256" s="1" t="str">
        <f>IF(Table1[[#This Row],[stress_score]]&lt;=10, "Normal", IF(Table1[[#This Row],[stress_score]]&lt;=20, "Moderate", IF(Table1[[#This Row],[stress_score]]&lt;=30, "Severe", "Extremely Severe")))</f>
        <v>Normal</v>
      </c>
      <c r="L256">
        <v>-0.38382620000000001</v>
      </c>
      <c r="M256">
        <v>2</v>
      </c>
      <c r="N256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256">
        <v>-0.91619854999999994</v>
      </c>
      <c r="P256">
        <v>5.3333335000000002</v>
      </c>
      <c r="Q256">
        <f>ROUND(Table1[[#This Row],[dass21_raw_score]],0)</f>
        <v>5</v>
      </c>
      <c r="R256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256">
        <v>-0.57010450000000001</v>
      </c>
      <c r="T256">
        <v>0.52480539999999998</v>
      </c>
      <c r="U256">
        <v>1625</v>
      </c>
      <c r="V256" s="1">
        <f>ROUND(Table1[[#This Row],[fmpce]],0)</f>
        <v>1625</v>
      </c>
      <c r="W256">
        <v>22.107579999999999</v>
      </c>
      <c r="X256" s="4">
        <f>Table1[[#This Row],[mpce]]*89</f>
        <v>1967.5746199999999</v>
      </c>
      <c r="Y256" s="2" t="s">
        <v>24</v>
      </c>
      <c r="Z256" s="3">
        <f>VLOOKUP(Y256, rmpce_reference!$B$1:$D$7,3,FALSE) * 89</f>
        <v>2225</v>
      </c>
      <c r="AA256" s="1" t="str">
        <f>IF(Table1[rmpce_inr]&lt;=rmpce_reference!$F$2, "Low Income", IF(Table1[rmpce_inr]&lt;=rmpce_reference!$F$3, "Middle Income", "High Income"))</f>
        <v>Low Income</v>
      </c>
    </row>
    <row r="257" spans="1:27" x14ac:dyDescent="0.25">
      <c r="A257">
        <v>1256</v>
      </c>
      <c r="B257" t="s">
        <v>20</v>
      </c>
      <c r="C257" t="s">
        <v>21</v>
      </c>
      <c r="D257">
        <v>50</v>
      </c>
      <c r="E257" t="s">
        <v>22</v>
      </c>
      <c r="F257" t="s">
        <v>30</v>
      </c>
      <c r="G257">
        <v>6</v>
      </c>
      <c r="H257" s="1" t="str">
        <f>IF(Table1[[#This Row],[anxiety_score]]&lt;=10, "Normal", IF(Table1[[#This Row],[anxiety_score]]&lt;=20, "Moderate", IF(Table1[[#This Row],[anxiety_score]]&lt;=30, "Severe", "Extremely Severe")))</f>
        <v>Normal</v>
      </c>
      <c r="I257">
        <v>-0.41028870000000001</v>
      </c>
      <c r="J257">
        <v>4</v>
      </c>
      <c r="K257" s="1" t="str">
        <f>IF(Table1[[#This Row],[stress_score]]&lt;=10, "Normal", IF(Table1[[#This Row],[stress_score]]&lt;=20, "Moderate", IF(Table1[[#This Row],[stress_score]]&lt;=30, "Severe", "Extremely Severe")))</f>
        <v>Normal</v>
      </c>
      <c r="L257">
        <v>-0.77314866000000004</v>
      </c>
      <c r="M257">
        <v>4</v>
      </c>
      <c r="N257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257">
        <v>-0.72356116999999998</v>
      </c>
      <c r="P257">
        <v>4.6666664999999998</v>
      </c>
      <c r="Q257">
        <f>ROUND(Table1[[#This Row],[dass21_raw_score]],0)</f>
        <v>5</v>
      </c>
      <c r="R257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257">
        <v>-0.63566619999999996</v>
      </c>
      <c r="T257">
        <v>0.45924369999999998</v>
      </c>
      <c r="U257">
        <v>1000</v>
      </c>
      <c r="V257" s="1">
        <f>ROUND(Table1[[#This Row],[fmpce]],0)</f>
        <v>1000</v>
      </c>
      <c r="W257">
        <v>13.604665000000001</v>
      </c>
      <c r="X257" s="4">
        <f>Table1[[#This Row],[mpce]]*89</f>
        <v>1210.8151850000002</v>
      </c>
      <c r="Y257" s="2" t="s">
        <v>24</v>
      </c>
      <c r="Z257" s="3">
        <f>VLOOKUP(Y257, rmpce_reference!$B$1:$D$7,3,FALSE) * 89</f>
        <v>2225</v>
      </c>
      <c r="AA257" s="1" t="str">
        <f>IF(Table1[rmpce_inr]&lt;=rmpce_reference!$F$2, "Low Income", IF(Table1[rmpce_inr]&lt;=rmpce_reference!$F$3, "Middle Income", "High Income"))</f>
        <v>Low Income</v>
      </c>
    </row>
    <row r="258" spans="1:27" x14ac:dyDescent="0.25">
      <c r="A258">
        <v>2001</v>
      </c>
      <c r="B258" t="s">
        <v>39</v>
      </c>
      <c r="C258" t="s">
        <v>21</v>
      </c>
      <c r="D258">
        <v>42</v>
      </c>
      <c r="E258" t="s">
        <v>22</v>
      </c>
      <c r="F258" t="s">
        <v>23</v>
      </c>
      <c r="G258">
        <v>32</v>
      </c>
      <c r="H258" s="1" t="str">
        <f>IF(Table1[[#This Row],[anxiety_score]]&lt;=10, "Normal", IF(Table1[[#This Row],[anxiety_score]]&lt;=20, "Moderate", IF(Table1[[#This Row],[anxiety_score]]&lt;=30, "Severe", "Extremely Severe")))</f>
        <v>Extremely Severe</v>
      </c>
      <c r="I258">
        <v>2.2032911999999998</v>
      </c>
      <c r="J258">
        <v>32</v>
      </c>
      <c r="K258" s="1" t="str">
        <f>IF(Table1[[#This Row],[stress_score]]&lt;=10, "Normal", IF(Table1[[#This Row],[stress_score]]&lt;=20, "Moderate", IF(Table1[[#This Row],[stress_score]]&lt;=30, "Severe", "Extremely Severe")))</f>
        <v>Extremely Severe</v>
      </c>
      <c r="L258">
        <v>1.9521089</v>
      </c>
      <c r="M258">
        <v>34</v>
      </c>
      <c r="N258" s="1" t="str">
        <f>IF(Table1[[#This Row],[depression_score]]&lt;=10, "Normal", IF(Table1[[#This Row],[depression_score]]&lt;=20, "Moderate", IF(Table1[[#This Row],[depression_score]]&lt;=30, "Severe", "Extremely Severe")))</f>
        <v>Extremely Severe</v>
      </c>
      <c r="O258">
        <v>2.1659999999999999</v>
      </c>
      <c r="P258">
        <v>32.666668000000001</v>
      </c>
      <c r="Q258">
        <f>ROUND(Table1[[#This Row],[dass21_raw_score]],0)</f>
        <v>33</v>
      </c>
      <c r="R258" s="1" t="str">
        <f>IF(Table1[[#This Row],[round_dass21_raw_score]]&lt;=10, "Normal", IF(Table1[[#This Row],[round_dass21_raw_score]]&lt;=20, "Moderate", IF(Table1[[#This Row],[round_dass21_raw_score]]&lt;=30, "Severe", "Extremely Severe")))</f>
        <v>Extremely Severe</v>
      </c>
      <c r="S258">
        <v>2.1071333999999999</v>
      </c>
      <c r="T258">
        <v>3.2020433000000001</v>
      </c>
      <c r="U258">
        <v>6250</v>
      </c>
      <c r="V258" s="1">
        <f>ROUND(Table1[[#This Row],[fmpce]],0)</f>
        <v>6250</v>
      </c>
      <c r="W258">
        <v>85.029150000000001</v>
      </c>
      <c r="X258" s="4">
        <f>Table1[[#This Row],[mpce]]*89</f>
        <v>7567.5943500000003</v>
      </c>
      <c r="Y258" s="2" t="s">
        <v>31</v>
      </c>
      <c r="Z258" s="3">
        <f>VLOOKUP(Y258, rmpce_reference!$B$1:$D$7,3,FALSE) * 89</f>
        <v>8010</v>
      </c>
      <c r="AA258" s="1" t="str">
        <f>IF(Table1[rmpce_inr]&lt;=rmpce_reference!$F$2, "Low Income", IF(Table1[rmpce_inr]&lt;=rmpce_reference!$F$3, "Middle Income", "High Income"))</f>
        <v>High Income</v>
      </c>
    </row>
    <row r="259" spans="1:27" x14ac:dyDescent="0.25">
      <c r="A259">
        <v>2002</v>
      </c>
      <c r="B259" t="s">
        <v>39</v>
      </c>
      <c r="C259" t="s">
        <v>29</v>
      </c>
      <c r="D259">
        <v>35</v>
      </c>
      <c r="E259" t="s">
        <v>22</v>
      </c>
      <c r="F259" t="s">
        <v>23</v>
      </c>
      <c r="G259">
        <v>22</v>
      </c>
      <c r="H259" s="1" t="str">
        <f>IF(Table1[[#This Row],[anxiety_score]]&lt;=10, "Normal", IF(Table1[[#This Row],[anxiety_score]]&lt;=20, "Moderate", IF(Table1[[#This Row],[anxiety_score]]&lt;=30, "Severe", "Extremely Severe")))</f>
        <v>Severe</v>
      </c>
      <c r="I259">
        <v>1.1980683000000001</v>
      </c>
      <c r="J259">
        <v>18</v>
      </c>
      <c r="K259" s="1" t="str">
        <f>IF(Table1[[#This Row],[stress_score]]&lt;=10, "Normal", IF(Table1[[#This Row],[stress_score]]&lt;=20, "Moderate", IF(Table1[[#This Row],[stress_score]]&lt;=30, "Severe", "Extremely Severe")))</f>
        <v>Moderate</v>
      </c>
      <c r="L259">
        <v>0.58948003999999998</v>
      </c>
      <c r="M259">
        <v>24</v>
      </c>
      <c r="N259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259">
        <v>1.2028128</v>
      </c>
      <c r="P259">
        <v>21.333334000000001</v>
      </c>
      <c r="Q259">
        <f>ROUND(Table1[[#This Row],[dass21_raw_score]],0)</f>
        <v>21</v>
      </c>
      <c r="R259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259">
        <v>0.99678699999999998</v>
      </c>
      <c r="T259">
        <v>2.0916969999999999</v>
      </c>
      <c r="U259">
        <v>4285.7143999999998</v>
      </c>
      <c r="V259" s="1">
        <f>ROUND(Table1[[#This Row],[fmpce]],0)</f>
        <v>4286</v>
      </c>
      <c r="W259">
        <v>58.305706000000001</v>
      </c>
      <c r="X259" s="4">
        <f>Table1[[#This Row],[mpce]]*89</f>
        <v>5189.2078339999998</v>
      </c>
      <c r="Y259" s="2" t="s">
        <v>32</v>
      </c>
      <c r="Z259" s="3">
        <f>VLOOKUP(Y259, rmpce_reference!$B$1:$D$7,3,FALSE) * 89</f>
        <v>4450</v>
      </c>
      <c r="AA259" s="1" t="str">
        <f>IF(Table1[rmpce_inr]&lt;=rmpce_reference!$F$2, "Low Income", IF(Table1[rmpce_inr]&lt;=rmpce_reference!$F$3, "Middle Income", "High Income"))</f>
        <v>Low Income</v>
      </c>
    </row>
    <row r="260" spans="1:27" x14ac:dyDescent="0.25">
      <c r="A260">
        <v>2003</v>
      </c>
      <c r="B260" t="s">
        <v>39</v>
      </c>
      <c r="C260" t="s">
        <v>21</v>
      </c>
      <c r="D260">
        <v>45</v>
      </c>
      <c r="E260" t="s">
        <v>22</v>
      </c>
      <c r="F260" t="s">
        <v>30</v>
      </c>
      <c r="G260">
        <v>18</v>
      </c>
      <c r="H260" s="1" t="str">
        <f>IF(Table1[[#This Row],[anxiety_score]]&lt;=10, "Normal", IF(Table1[[#This Row],[anxiety_score]]&lt;=20, "Moderate", IF(Table1[[#This Row],[anxiety_score]]&lt;=30, "Severe", "Extremely Severe")))</f>
        <v>Moderate</v>
      </c>
      <c r="I260">
        <v>0.79597896000000001</v>
      </c>
      <c r="J260">
        <v>26</v>
      </c>
      <c r="K260" s="1" t="str">
        <f>IF(Table1[[#This Row],[stress_score]]&lt;=10, "Normal", IF(Table1[[#This Row],[stress_score]]&lt;=20, "Moderate", IF(Table1[[#This Row],[stress_score]]&lt;=30, "Severe", "Extremely Severe")))</f>
        <v>Severe</v>
      </c>
      <c r="L260">
        <v>1.3681251000000001</v>
      </c>
      <c r="M260">
        <v>20</v>
      </c>
      <c r="N260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260">
        <v>0.81753799999999999</v>
      </c>
      <c r="P260">
        <v>21.333334000000001</v>
      </c>
      <c r="Q260">
        <f>ROUND(Table1[[#This Row],[dass21_raw_score]],0)</f>
        <v>21</v>
      </c>
      <c r="R260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260">
        <v>0.99388069999999995</v>
      </c>
      <c r="T260">
        <v>2.0887907000000001</v>
      </c>
      <c r="U260">
        <v>7333.3334999999997</v>
      </c>
      <c r="V260" s="1">
        <f>ROUND(Table1[[#This Row],[fmpce]],0)</f>
        <v>7333</v>
      </c>
      <c r="W260">
        <v>99.76755</v>
      </c>
      <c r="X260" s="4">
        <f>Table1[[#This Row],[mpce]]*89</f>
        <v>8879.3119499999993</v>
      </c>
      <c r="Y260" s="2" t="s">
        <v>31</v>
      </c>
      <c r="Z260" s="3">
        <f>VLOOKUP(Y260, rmpce_reference!$B$1:$D$7,3,FALSE) * 89</f>
        <v>8010</v>
      </c>
      <c r="AA260" s="1" t="str">
        <f>IF(Table1[rmpce_inr]&lt;=rmpce_reference!$F$2, "Low Income", IF(Table1[rmpce_inr]&lt;=rmpce_reference!$F$3, "Middle Income", "High Income"))</f>
        <v>High Income</v>
      </c>
    </row>
    <row r="261" spans="1:27" x14ac:dyDescent="0.25">
      <c r="A261">
        <v>2004</v>
      </c>
      <c r="B261" t="s">
        <v>39</v>
      </c>
      <c r="C261" t="s">
        <v>29</v>
      </c>
      <c r="D261">
        <v>35</v>
      </c>
      <c r="E261" t="s">
        <v>22</v>
      </c>
      <c r="F261" t="s">
        <v>23</v>
      </c>
      <c r="G261">
        <v>22</v>
      </c>
      <c r="H261" s="1" t="str">
        <f>IF(Table1[[#This Row],[anxiety_score]]&lt;=10, "Normal", IF(Table1[[#This Row],[anxiety_score]]&lt;=20, "Moderate", IF(Table1[[#This Row],[anxiety_score]]&lt;=30, "Severe", "Extremely Severe")))</f>
        <v>Severe</v>
      </c>
      <c r="I261">
        <v>1.1980683000000001</v>
      </c>
      <c r="J261">
        <v>26</v>
      </c>
      <c r="K261" s="1" t="str">
        <f>IF(Table1[[#This Row],[stress_score]]&lt;=10, "Normal", IF(Table1[[#This Row],[stress_score]]&lt;=20, "Moderate", IF(Table1[[#This Row],[stress_score]]&lt;=30, "Severe", "Extremely Severe")))</f>
        <v>Severe</v>
      </c>
      <c r="L261">
        <v>1.3681251000000001</v>
      </c>
      <c r="M261">
        <v>32</v>
      </c>
      <c r="N261" s="1" t="str">
        <f>IF(Table1[[#This Row],[depression_score]]&lt;=10, "Normal", IF(Table1[[#This Row],[depression_score]]&lt;=20, "Moderate", IF(Table1[[#This Row],[depression_score]]&lt;=30, "Severe", "Extremely Severe")))</f>
        <v>Extremely Severe</v>
      </c>
      <c r="O261">
        <v>1.9733623</v>
      </c>
      <c r="P261">
        <v>26.666665999999999</v>
      </c>
      <c r="Q261">
        <f>ROUND(Table1[[#This Row],[dass21_raw_score]],0)</f>
        <v>27</v>
      </c>
      <c r="R261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261">
        <v>1.5131853</v>
      </c>
      <c r="T261">
        <v>2.6080952000000002</v>
      </c>
      <c r="U261">
        <v>7000</v>
      </c>
      <c r="V261" s="1">
        <f>ROUND(Table1[[#This Row],[fmpce]],0)</f>
        <v>7000</v>
      </c>
      <c r="W261">
        <v>95.232650000000007</v>
      </c>
      <c r="X261" s="4">
        <f>Table1[[#This Row],[mpce]]*89</f>
        <v>8475.7058500000003</v>
      </c>
      <c r="Y261" s="2" t="s">
        <v>31</v>
      </c>
      <c r="Z261" s="3">
        <f>VLOOKUP(Y261, rmpce_reference!$B$1:$D$7,3,FALSE) * 89</f>
        <v>8010</v>
      </c>
      <c r="AA261" s="1" t="str">
        <f>IF(Table1[rmpce_inr]&lt;=rmpce_reference!$F$2, "Low Income", IF(Table1[rmpce_inr]&lt;=rmpce_reference!$F$3, "Middle Income", "High Income"))</f>
        <v>High Income</v>
      </c>
    </row>
    <row r="262" spans="1:27" x14ac:dyDescent="0.25">
      <c r="A262">
        <v>2005</v>
      </c>
      <c r="B262" t="s">
        <v>39</v>
      </c>
      <c r="C262" t="s">
        <v>29</v>
      </c>
      <c r="D262">
        <v>40</v>
      </c>
      <c r="E262" t="s">
        <v>22</v>
      </c>
      <c r="F262" t="s">
        <v>23</v>
      </c>
      <c r="G262">
        <v>24</v>
      </c>
      <c r="H262" s="1" t="str">
        <f>IF(Table1[[#This Row],[anxiety_score]]&lt;=10, "Normal", IF(Table1[[#This Row],[anxiety_score]]&lt;=20, "Moderate", IF(Table1[[#This Row],[anxiety_score]]&lt;=30, "Severe", "Extremely Severe")))</f>
        <v>Severe</v>
      </c>
      <c r="I262">
        <v>1.3991127999999999</v>
      </c>
      <c r="J262">
        <v>30</v>
      </c>
      <c r="K262" s="1" t="str">
        <f>IF(Table1[[#This Row],[stress_score]]&lt;=10, "Normal", IF(Table1[[#This Row],[stress_score]]&lt;=20, "Moderate", IF(Table1[[#This Row],[stress_score]]&lt;=30, "Severe", "Extremely Severe")))</f>
        <v>Severe</v>
      </c>
      <c r="L262">
        <v>1.7574476000000001</v>
      </c>
      <c r="M262">
        <v>30</v>
      </c>
      <c r="N262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262">
        <v>1.7807249999999999</v>
      </c>
      <c r="P262">
        <v>28</v>
      </c>
      <c r="Q262">
        <f>ROUND(Table1[[#This Row],[dass21_raw_score]],0)</f>
        <v>28</v>
      </c>
      <c r="R262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262">
        <v>1.6457618000000001</v>
      </c>
      <c r="T262">
        <v>2.7406716000000002</v>
      </c>
      <c r="U262">
        <v>7500</v>
      </c>
      <c r="V262" s="1">
        <f>ROUND(Table1[[#This Row],[fmpce]],0)</f>
        <v>7500</v>
      </c>
      <c r="W262">
        <v>102.03498999999999</v>
      </c>
      <c r="X262" s="4">
        <f>Table1[[#This Row],[mpce]]*89</f>
        <v>9081.1141099999986</v>
      </c>
      <c r="Y262" s="2" t="s">
        <v>35</v>
      </c>
      <c r="Z262" s="3">
        <f>VLOOKUP(Y262, rmpce_reference!$B$1:$D$7,3,FALSE) * 89</f>
        <v>9790</v>
      </c>
      <c r="AA262" s="1" t="str">
        <f>IF(Table1[rmpce_inr]&lt;=rmpce_reference!$F$2, "Low Income", IF(Table1[rmpce_inr]&lt;=rmpce_reference!$F$3, "Middle Income", "High Income"))</f>
        <v>High Income</v>
      </c>
    </row>
    <row r="263" spans="1:27" x14ac:dyDescent="0.25">
      <c r="A263">
        <v>2006</v>
      </c>
      <c r="B263" t="s">
        <v>39</v>
      </c>
      <c r="C263" t="s">
        <v>36</v>
      </c>
      <c r="D263">
        <v>55</v>
      </c>
      <c r="E263" t="s">
        <v>22</v>
      </c>
      <c r="F263" t="s">
        <v>23</v>
      </c>
      <c r="G263">
        <v>26</v>
      </c>
      <c r="H263" s="1" t="str">
        <f>IF(Table1[[#This Row],[anxiety_score]]&lt;=10, "Normal", IF(Table1[[#This Row],[anxiety_score]]&lt;=20, "Moderate", IF(Table1[[#This Row],[anxiety_score]]&lt;=30, "Severe", "Extremely Severe")))</f>
        <v>Severe</v>
      </c>
      <c r="I263">
        <v>1.6001574999999999</v>
      </c>
      <c r="J263">
        <v>24</v>
      </c>
      <c r="K263" s="1" t="str">
        <f>IF(Table1[[#This Row],[stress_score]]&lt;=10, "Normal", IF(Table1[[#This Row],[stress_score]]&lt;=20, "Moderate", IF(Table1[[#This Row],[stress_score]]&lt;=30, "Severe", "Extremely Severe")))</f>
        <v>Severe</v>
      </c>
      <c r="L263">
        <v>1.1734637999999999</v>
      </c>
      <c r="M263">
        <v>28</v>
      </c>
      <c r="N263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263">
        <v>1.5880875999999999</v>
      </c>
      <c r="P263">
        <v>26</v>
      </c>
      <c r="Q263">
        <f>ROUND(Table1[[#This Row],[dass21_raw_score]],0)</f>
        <v>26</v>
      </c>
      <c r="R263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263">
        <v>1.4539029999999999</v>
      </c>
      <c r="T263">
        <v>2.5488129000000002</v>
      </c>
      <c r="U263">
        <v>5600</v>
      </c>
      <c r="V263" s="1">
        <f>ROUND(Table1[[#This Row],[fmpce]],0)</f>
        <v>5600</v>
      </c>
      <c r="W263">
        <v>76.186120000000003</v>
      </c>
      <c r="X263" s="4">
        <f>Table1[[#This Row],[mpce]]*89</f>
        <v>6780.5646800000004</v>
      </c>
      <c r="Y263" s="2" t="s">
        <v>28</v>
      </c>
      <c r="Z263" s="3">
        <f>VLOOKUP(Y263, rmpce_reference!$B$1:$D$7,3,FALSE) * 89</f>
        <v>6230</v>
      </c>
      <c r="AA263" s="1" t="str">
        <f>IF(Table1[rmpce_inr]&lt;=rmpce_reference!$F$2, "Low Income", IF(Table1[rmpce_inr]&lt;=rmpce_reference!$F$3, "Middle Income", "High Income"))</f>
        <v>Middle Income</v>
      </c>
    </row>
    <row r="264" spans="1:27" x14ac:dyDescent="0.25">
      <c r="A264">
        <v>2007</v>
      </c>
      <c r="B264" t="s">
        <v>39</v>
      </c>
      <c r="C264" t="s">
        <v>21</v>
      </c>
      <c r="D264">
        <v>45</v>
      </c>
      <c r="E264" t="s">
        <v>22</v>
      </c>
      <c r="F264" t="s">
        <v>30</v>
      </c>
      <c r="G264">
        <v>8</v>
      </c>
      <c r="H264" s="1" t="str">
        <f>IF(Table1[[#This Row],[anxiety_score]]&lt;=10, "Normal", IF(Table1[[#This Row],[anxiety_score]]&lt;=20, "Moderate", IF(Table1[[#This Row],[anxiety_score]]&lt;=30, "Severe", "Extremely Severe")))</f>
        <v>Normal</v>
      </c>
      <c r="I264">
        <v>-0.20924408999999999</v>
      </c>
      <c r="J264">
        <v>8</v>
      </c>
      <c r="K264" s="1" t="str">
        <f>IF(Table1[[#This Row],[stress_score]]&lt;=10, "Normal", IF(Table1[[#This Row],[stress_score]]&lt;=20, "Moderate", IF(Table1[[#This Row],[stress_score]]&lt;=30, "Severe", "Extremely Severe")))</f>
        <v>Normal</v>
      </c>
      <c r="L264">
        <v>-0.38382620000000001</v>
      </c>
      <c r="M264">
        <v>8</v>
      </c>
      <c r="N264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264">
        <v>-0.33828637</v>
      </c>
      <c r="P264">
        <v>8</v>
      </c>
      <c r="Q264">
        <f>ROUND(Table1[[#This Row],[dass21_raw_score]],0)</f>
        <v>8</v>
      </c>
      <c r="R264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264">
        <v>-0.31045222</v>
      </c>
      <c r="T264">
        <v>0.78445770000000004</v>
      </c>
      <c r="U264">
        <v>2500</v>
      </c>
      <c r="V264" s="1">
        <f>ROUND(Table1[[#This Row],[fmpce]],0)</f>
        <v>2500</v>
      </c>
      <c r="W264">
        <v>34.011659999999999</v>
      </c>
      <c r="X264" s="4">
        <f>Table1[[#This Row],[mpce]]*89</f>
        <v>3027.0377399999998</v>
      </c>
      <c r="Y264" s="2" t="s">
        <v>34</v>
      </c>
      <c r="Z264" s="3">
        <f>VLOOKUP(Y264, rmpce_reference!$B$1:$D$7,3,FALSE) * 89</f>
        <v>2848</v>
      </c>
      <c r="AA264" s="1" t="str">
        <f>IF(Table1[rmpce_inr]&lt;=rmpce_reference!$F$2, "Low Income", IF(Table1[rmpce_inr]&lt;=rmpce_reference!$F$3, "Middle Income", "High Income"))</f>
        <v>Low Income</v>
      </c>
    </row>
    <row r="265" spans="1:27" x14ac:dyDescent="0.25">
      <c r="A265">
        <v>2008</v>
      </c>
      <c r="B265" t="s">
        <v>39</v>
      </c>
      <c r="C265" t="s">
        <v>36</v>
      </c>
      <c r="D265">
        <v>52</v>
      </c>
      <c r="E265" t="s">
        <v>22</v>
      </c>
      <c r="F265" t="s">
        <v>30</v>
      </c>
      <c r="G265">
        <v>20</v>
      </c>
      <c r="H265" s="1" t="str">
        <f>IF(Table1[[#This Row],[anxiety_score]]&lt;=10, "Normal", IF(Table1[[#This Row],[anxiety_score]]&lt;=20, "Moderate", IF(Table1[[#This Row],[anxiety_score]]&lt;=30, "Severe", "Extremely Severe")))</f>
        <v>Moderate</v>
      </c>
      <c r="I265">
        <v>0.99702360000000001</v>
      </c>
      <c r="J265">
        <v>14</v>
      </c>
      <c r="K265" s="1" t="str">
        <f>IF(Table1[[#This Row],[stress_score]]&lt;=10, "Normal", IF(Table1[[#This Row],[stress_score]]&lt;=20, "Moderate", IF(Table1[[#This Row],[stress_score]]&lt;=30, "Severe", "Extremely Severe")))</f>
        <v>Moderate</v>
      </c>
      <c r="L265">
        <v>0.20015757000000001</v>
      </c>
      <c r="M265">
        <v>12</v>
      </c>
      <c r="N265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265">
        <v>4.6988415999999998E-2</v>
      </c>
      <c r="P265">
        <v>15.333333</v>
      </c>
      <c r="Q265">
        <f>ROUND(Table1[[#This Row],[dass21_raw_score]],0)</f>
        <v>15</v>
      </c>
      <c r="R265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265">
        <v>0.41472320000000001</v>
      </c>
      <c r="T265">
        <v>1.5096331000000001</v>
      </c>
      <c r="U265">
        <v>3000</v>
      </c>
      <c r="V265" s="1">
        <f>ROUND(Table1[[#This Row],[fmpce]],0)</f>
        <v>3000</v>
      </c>
      <c r="W265">
        <v>40.813994999999998</v>
      </c>
      <c r="X265" s="4">
        <f>Table1[[#This Row],[mpce]]*89</f>
        <v>3632.4455549999998</v>
      </c>
      <c r="Y265" s="2" t="s">
        <v>32</v>
      </c>
      <c r="Z265" s="3">
        <f>VLOOKUP(Y265, rmpce_reference!$B$1:$D$7,3,FALSE) * 89</f>
        <v>4450</v>
      </c>
      <c r="AA265" s="1" t="str">
        <f>IF(Table1[rmpce_inr]&lt;=rmpce_reference!$F$2, "Low Income", IF(Table1[rmpce_inr]&lt;=rmpce_reference!$F$3, "Middle Income", "High Income"))</f>
        <v>Low Income</v>
      </c>
    </row>
    <row r="266" spans="1:27" x14ac:dyDescent="0.25">
      <c r="A266">
        <v>2009</v>
      </c>
      <c r="B266" t="s">
        <v>39</v>
      </c>
      <c r="C266" t="s">
        <v>21</v>
      </c>
      <c r="D266">
        <v>41</v>
      </c>
      <c r="E266" t="s">
        <v>22</v>
      </c>
      <c r="F266" t="s">
        <v>30</v>
      </c>
      <c r="G266">
        <v>6</v>
      </c>
      <c r="H266" s="1" t="str">
        <f>IF(Table1[[#This Row],[anxiety_score]]&lt;=10, "Normal", IF(Table1[[#This Row],[anxiety_score]]&lt;=20, "Moderate", IF(Table1[[#This Row],[anxiety_score]]&lt;=30, "Severe", "Extremely Severe")))</f>
        <v>Normal</v>
      </c>
      <c r="I266">
        <v>-0.41028870000000001</v>
      </c>
      <c r="J266">
        <v>8</v>
      </c>
      <c r="K266" s="1" t="str">
        <f>IF(Table1[[#This Row],[stress_score]]&lt;=10, "Normal", IF(Table1[[#This Row],[stress_score]]&lt;=20, "Moderate", IF(Table1[[#This Row],[stress_score]]&lt;=30, "Severe", "Extremely Severe")))</f>
        <v>Normal</v>
      </c>
      <c r="L266">
        <v>-0.38382620000000001</v>
      </c>
      <c r="M266">
        <v>10</v>
      </c>
      <c r="N266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266">
        <v>-0.14564899000000001</v>
      </c>
      <c r="P266">
        <v>8</v>
      </c>
      <c r="Q266">
        <f>ROUND(Table1[[#This Row],[dass21_raw_score]],0)</f>
        <v>8</v>
      </c>
      <c r="R266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266">
        <v>-0.31325461999999998</v>
      </c>
      <c r="T266">
        <v>0.78165530000000005</v>
      </c>
      <c r="U266">
        <v>3750</v>
      </c>
      <c r="V266" s="1">
        <f>ROUND(Table1[[#This Row],[fmpce]],0)</f>
        <v>3750</v>
      </c>
      <c r="W266">
        <v>51.017493999999999</v>
      </c>
      <c r="X266" s="4">
        <f>Table1[[#This Row],[mpce]]*89</f>
        <v>4540.5569660000001</v>
      </c>
      <c r="Y266" s="2" t="s">
        <v>32</v>
      </c>
      <c r="Z266" s="3">
        <f>VLOOKUP(Y266, rmpce_reference!$B$1:$D$7,3,FALSE) * 89</f>
        <v>4450</v>
      </c>
      <c r="AA266" s="1" t="str">
        <f>IF(Table1[rmpce_inr]&lt;=rmpce_reference!$F$2, "Low Income", IF(Table1[rmpce_inr]&lt;=rmpce_reference!$F$3, "Middle Income", "High Income"))</f>
        <v>Low Income</v>
      </c>
    </row>
    <row r="267" spans="1:27" x14ac:dyDescent="0.25">
      <c r="A267">
        <v>2010</v>
      </c>
      <c r="B267" t="s">
        <v>39</v>
      </c>
      <c r="C267" t="s">
        <v>29</v>
      </c>
      <c r="D267">
        <v>33</v>
      </c>
      <c r="E267" t="s">
        <v>22</v>
      </c>
      <c r="F267" t="s">
        <v>30</v>
      </c>
      <c r="G267">
        <v>6</v>
      </c>
      <c r="H267" s="1" t="str">
        <f>IF(Table1[[#This Row],[anxiety_score]]&lt;=10, "Normal", IF(Table1[[#This Row],[anxiety_score]]&lt;=20, "Moderate", IF(Table1[[#This Row],[anxiety_score]]&lt;=30, "Severe", "Extremely Severe")))</f>
        <v>Normal</v>
      </c>
      <c r="I267">
        <v>-0.41028870000000001</v>
      </c>
      <c r="J267">
        <v>8</v>
      </c>
      <c r="K267" s="1" t="str">
        <f>IF(Table1[[#This Row],[stress_score]]&lt;=10, "Normal", IF(Table1[[#This Row],[stress_score]]&lt;=20, "Moderate", IF(Table1[[#This Row],[stress_score]]&lt;=30, "Severe", "Extremely Severe")))</f>
        <v>Normal</v>
      </c>
      <c r="L267">
        <v>-0.38382620000000001</v>
      </c>
      <c r="M267">
        <v>10</v>
      </c>
      <c r="N267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267">
        <v>-0.14564899000000001</v>
      </c>
      <c r="P267">
        <v>8</v>
      </c>
      <c r="Q267">
        <f>ROUND(Table1[[#This Row],[dass21_raw_score]],0)</f>
        <v>8</v>
      </c>
      <c r="R267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267">
        <v>-0.31325461999999998</v>
      </c>
      <c r="T267">
        <v>0.78165530000000005</v>
      </c>
      <c r="U267">
        <v>5000</v>
      </c>
      <c r="V267" s="1">
        <f>ROUND(Table1[[#This Row],[fmpce]],0)</f>
        <v>5000</v>
      </c>
      <c r="W267">
        <v>68.023319999999998</v>
      </c>
      <c r="X267" s="4">
        <f>Table1[[#This Row],[mpce]]*89</f>
        <v>6054.0754799999995</v>
      </c>
      <c r="Y267" s="2" t="s">
        <v>28</v>
      </c>
      <c r="Z267" s="3">
        <f>VLOOKUP(Y267, rmpce_reference!$B$1:$D$7,3,FALSE) * 89</f>
        <v>6230</v>
      </c>
      <c r="AA267" s="1" t="str">
        <f>IF(Table1[rmpce_inr]&lt;=rmpce_reference!$F$2, "Low Income", IF(Table1[rmpce_inr]&lt;=rmpce_reference!$F$3, "Middle Income", "High Income"))</f>
        <v>Middle Income</v>
      </c>
    </row>
    <row r="268" spans="1:27" x14ac:dyDescent="0.25">
      <c r="A268">
        <v>2011</v>
      </c>
      <c r="B268" t="s">
        <v>39</v>
      </c>
      <c r="C268" t="s">
        <v>36</v>
      </c>
      <c r="D268">
        <v>53</v>
      </c>
      <c r="E268" t="s">
        <v>22</v>
      </c>
      <c r="F268" t="s">
        <v>30</v>
      </c>
      <c r="G268">
        <v>24</v>
      </c>
      <c r="H268" s="1" t="str">
        <f>IF(Table1[[#This Row],[anxiety_score]]&lt;=10, "Normal", IF(Table1[[#This Row],[anxiety_score]]&lt;=20, "Moderate", IF(Table1[[#This Row],[anxiety_score]]&lt;=30, "Severe", "Extremely Severe")))</f>
        <v>Severe</v>
      </c>
      <c r="I268">
        <v>1.3991127999999999</v>
      </c>
      <c r="J268">
        <v>26</v>
      </c>
      <c r="K268" s="1" t="str">
        <f>IF(Table1[[#This Row],[stress_score]]&lt;=10, "Normal", IF(Table1[[#This Row],[stress_score]]&lt;=20, "Moderate", IF(Table1[[#This Row],[stress_score]]&lt;=30, "Severe", "Extremely Severe")))</f>
        <v>Severe</v>
      </c>
      <c r="L268">
        <v>1.3681251000000001</v>
      </c>
      <c r="M268">
        <v>22</v>
      </c>
      <c r="N268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268">
        <v>1.0101753</v>
      </c>
      <c r="P268">
        <v>24</v>
      </c>
      <c r="Q268">
        <f>ROUND(Table1[[#This Row],[dass21_raw_score]],0)</f>
        <v>24</v>
      </c>
      <c r="R268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268">
        <v>1.2591376999999999</v>
      </c>
      <c r="T268">
        <v>2.3540478</v>
      </c>
      <c r="U268">
        <v>20000</v>
      </c>
      <c r="V268" s="1">
        <f>ROUND(Table1[[#This Row],[fmpce]],0)</f>
        <v>20000</v>
      </c>
      <c r="W268">
        <v>272.0933</v>
      </c>
      <c r="X268" s="4">
        <f>Table1[[#This Row],[mpce]]*89</f>
        <v>24216.3037</v>
      </c>
      <c r="Y268" s="2" t="s">
        <v>35</v>
      </c>
      <c r="Z268" s="3">
        <f>VLOOKUP(Y268, rmpce_reference!$B$1:$D$7,3,FALSE) * 89</f>
        <v>9790</v>
      </c>
      <c r="AA268" s="1" t="str">
        <f>IF(Table1[rmpce_inr]&lt;=rmpce_reference!$F$2, "Low Income", IF(Table1[rmpce_inr]&lt;=rmpce_reference!$F$3, "Middle Income", "High Income"))</f>
        <v>High Income</v>
      </c>
    </row>
    <row r="269" spans="1:27" x14ac:dyDescent="0.25">
      <c r="A269">
        <v>2012</v>
      </c>
      <c r="B269" t="s">
        <v>39</v>
      </c>
      <c r="C269" t="s">
        <v>36</v>
      </c>
      <c r="D269">
        <v>59</v>
      </c>
      <c r="E269" t="s">
        <v>22</v>
      </c>
      <c r="F269" t="s">
        <v>23</v>
      </c>
      <c r="G269">
        <v>16</v>
      </c>
      <c r="H269" s="1" t="str">
        <f>IF(Table1[[#This Row],[anxiety_score]]&lt;=10, "Normal", IF(Table1[[#This Row],[anxiety_score]]&lt;=20, "Moderate", IF(Table1[[#This Row],[anxiety_score]]&lt;=30, "Severe", "Extremely Severe")))</f>
        <v>Moderate</v>
      </c>
      <c r="I269">
        <v>0.59493434000000001</v>
      </c>
      <c r="J269">
        <v>20</v>
      </c>
      <c r="K269" s="1" t="str">
        <f>IF(Table1[[#This Row],[stress_score]]&lt;=10, "Normal", IF(Table1[[#This Row],[stress_score]]&lt;=20, "Moderate", IF(Table1[[#This Row],[stress_score]]&lt;=30, "Severe", "Extremely Severe")))</f>
        <v>Moderate</v>
      </c>
      <c r="L269">
        <v>0.78414130000000004</v>
      </c>
      <c r="M269">
        <v>20</v>
      </c>
      <c r="N269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269">
        <v>0.81753799999999999</v>
      </c>
      <c r="P269">
        <v>18.666665999999999</v>
      </c>
      <c r="Q269">
        <f>ROUND(Table1[[#This Row],[dass21_raw_score]],0)</f>
        <v>19</v>
      </c>
      <c r="R269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269">
        <v>0.73220456</v>
      </c>
      <c r="T269">
        <v>1.8271145</v>
      </c>
      <c r="U269">
        <v>8750</v>
      </c>
      <c r="V269" s="1">
        <f>ROUND(Table1[[#This Row],[fmpce]],0)</f>
        <v>8750</v>
      </c>
      <c r="W269">
        <v>119.04082</v>
      </c>
      <c r="X269" s="4">
        <f>Table1[[#This Row],[mpce]]*89</f>
        <v>10594.63298</v>
      </c>
      <c r="Y269" s="2" t="s">
        <v>35</v>
      </c>
      <c r="Z269" s="3">
        <f>VLOOKUP(Y269, rmpce_reference!$B$1:$D$7,3,FALSE) * 89</f>
        <v>9790</v>
      </c>
      <c r="AA269" s="1" t="str">
        <f>IF(Table1[rmpce_inr]&lt;=rmpce_reference!$F$2, "Low Income", IF(Table1[rmpce_inr]&lt;=rmpce_reference!$F$3, "Middle Income", "High Income"))</f>
        <v>High Income</v>
      </c>
    </row>
    <row r="270" spans="1:27" x14ac:dyDescent="0.25">
      <c r="A270">
        <v>2013</v>
      </c>
      <c r="B270" t="s">
        <v>39</v>
      </c>
      <c r="C270" t="s">
        <v>36</v>
      </c>
      <c r="D270">
        <v>58</v>
      </c>
      <c r="E270" t="s">
        <v>22</v>
      </c>
      <c r="F270" t="s">
        <v>30</v>
      </c>
      <c r="G270">
        <v>10</v>
      </c>
      <c r="H270" s="1" t="str">
        <f>IF(Table1[[#This Row],[anxiety_score]]&lt;=10, "Normal", IF(Table1[[#This Row],[anxiety_score]]&lt;=20, "Moderate", IF(Table1[[#This Row],[anxiety_score]]&lt;=30, "Severe", "Extremely Severe")))</f>
        <v>Normal</v>
      </c>
      <c r="I270">
        <v>-8.1994660000000007E-3</v>
      </c>
      <c r="J270">
        <v>8</v>
      </c>
      <c r="K270" s="1" t="str">
        <f>IF(Table1[[#This Row],[stress_score]]&lt;=10, "Normal", IF(Table1[[#This Row],[stress_score]]&lt;=20, "Moderate", IF(Table1[[#This Row],[stress_score]]&lt;=30, "Severe", "Extremely Severe")))</f>
        <v>Normal</v>
      </c>
      <c r="L270">
        <v>-0.38382620000000001</v>
      </c>
      <c r="M270">
        <v>10</v>
      </c>
      <c r="N270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270">
        <v>-0.14564899000000001</v>
      </c>
      <c r="P270">
        <v>9.3333329999999997</v>
      </c>
      <c r="Q270">
        <f>ROUND(Table1[[#This Row],[dass21_raw_score]],0)</f>
        <v>9</v>
      </c>
      <c r="R270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270">
        <v>-0.17922488</v>
      </c>
      <c r="T270">
        <v>0.91568506000000005</v>
      </c>
      <c r="U270">
        <v>2500</v>
      </c>
      <c r="V270" s="1">
        <f>ROUND(Table1[[#This Row],[fmpce]],0)</f>
        <v>2500</v>
      </c>
      <c r="W270">
        <v>34.011659999999999</v>
      </c>
      <c r="X270" s="4">
        <f>Table1[[#This Row],[mpce]]*89</f>
        <v>3027.0377399999998</v>
      </c>
      <c r="Y270" s="2" t="s">
        <v>34</v>
      </c>
      <c r="Z270" s="3">
        <f>VLOOKUP(Y270, rmpce_reference!$B$1:$D$7,3,FALSE) * 89</f>
        <v>2848</v>
      </c>
      <c r="AA270" s="1" t="str">
        <f>IF(Table1[rmpce_inr]&lt;=rmpce_reference!$F$2, "Low Income", IF(Table1[rmpce_inr]&lt;=rmpce_reference!$F$3, "Middle Income", "High Income"))</f>
        <v>Low Income</v>
      </c>
    </row>
    <row r="271" spans="1:27" x14ac:dyDescent="0.25">
      <c r="A271">
        <v>2014</v>
      </c>
      <c r="B271" t="s">
        <v>39</v>
      </c>
      <c r="C271" t="s">
        <v>21</v>
      </c>
      <c r="D271">
        <v>47</v>
      </c>
      <c r="E271" t="s">
        <v>22</v>
      </c>
      <c r="F271" t="s">
        <v>30</v>
      </c>
      <c r="G271">
        <v>16</v>
      </c>
      <c r="H271" s="1" t="str">
        <f>IF(Table1[[#This Row],[anxiety_score]]&lt;=10, "Normal", IF(Table1[[#This Row],[anxiety_score]]&lt;=20, "Moderate", IF(Table1[[#This Row],[anxiety_score]]&lt;=30, "Severe", "Extremely Severe")))</f>
        <v>Moderate</v>
      </c>
      <c r="I271">
        <v>0.59493434000000001</v>
      </c>
      <c r="J271">
        <v>14</v>
      </c>
      <c r="K271" s="1" t="str">
        <f>IF(Table1[[#This Row],[stress_score]]&lt;=10, "Normal", IF(Table1[[#This Row],[stress_score]]&lt;=20, "Moderate", IF(Table1[[#This Row],[stress_score]]&lt;=30, "Severe", "Extremely Severe")))</f>
        <v>Moderate</v>
      </c>
      <c r="L271">
        <v>0.20015757000000001</v>
      </c>
      <c r="M271">
        <v>8</v>
      </c>
      <c r="N271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271">
        <v>-0.33828637</v>
      </c>
      <c r="P271">
        <v>12.666667</v>
      </c>
      <c r="Q271">
        <f>ROUND(Table1[[#This Row],[dass21_raw_score]],0)</f>
        <v>13</v>
      </c>
      <c r="R271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271">
        <v>0.15226851</v>
      </c>
      <c r="T271">
        <v>1.2471783999999999</v>
      </c>
      <c r="U271">
        <v>2666.6667000000002</v>
      </c>
      <c r="V271" s="1">
        <f>ROUND(Table1[[#This Row],[fmpce]],0)</f>
        <v>2667</v>
      </c>
      <c r="W271">
        <v>36.279105999999999</v>
      </c>
      <c r="X271" s="4">
        <f>Table1[[#This Row],[mpce]]*89</f>
        <v>3228.8404339999997</v>
      </c>
      <c r="Y271" s="2" t="s">
        <v>34</v>
      </c>
      <c r="Z271" s="3">
        <f>VLOOKUP(Y271, rmpce_reference!$B$1:$D$7,3,FALSE) * 89</f>
        <v>2848</v>
      </c>
      <c r="AA271" s="1" t="str">
        <f>IF(Table1[rmpce_inr]&lt;=rmpce_reference!$F$2, "Low Income", IF(Table1[rmpce_inr]&lt;=rmpce_reference!$F$3, "Middle Income", "High Income"))</f>
        <v>Low Income</v>
      </c>
    </row>
    <row r="272" spans="1:27" x14ac:dyDescent="0.25">
      <c r="A272">
        <v>2015</v>
      </c>
      <c r="B272" t="s">
        <v>39</v>
      </c>
      <c r="C272" t="s">
        <v>36</v>
      </c>
      <c r="D272">
        <v>57</v>
      </c>
      <c r="E272" t="s">
        <v>22</v>
      </c>
      <c r="F272" t="s">
        <v>23</v>
      </c>
      <c r="G272">
        <v>32</v>
      </c>
      <c r="H272" s="1" t="str">
        <f>IF(Table1[[#This Row],[anxiety_score]]&lt;=10, "Normal", IF(Table1[[#This Row],[anxiety_score]]&lt;=20, "Moderate", IF(Table1[[#This Row],[anxiety_score]]&lt;=30, "Severe", "Extremely Severe")))</f>
        <v>Extremely Severe</v>
      </c>
      <c r="I272">
        <v>2.2032911999999998</v>
      </c>
      <c r="J272">
        <v>32</v>
      </c>
      <c r="K272" s="1" t="str">
        <f>IF(Table1[[#This Row],[stress_score]]&lt;=10, "Normal", IF(Table1[[#This Row],[stress_score]]&lt;=20, "Moderate", IF(Table1[[#This Row],[stress_score]]&lt;=30, "Severe", "Extremely Severe")))</f>
        <v>Extremely Severe</v>
      </c>
      <c r="L272">
        <v>1.9521089</v>
      </c>
      <c r="M272">
        <v>28</v>
      </c>
      <c r="N272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272">
        <v>1.5880875999999999</v>
      </c>
      <c r="P272">
        <v>30.666665999999999</v>
      </c>
      <c r="Q272">
        <f>ROUND(Table1[[#This Row],[dass21_raw_score]],0)</f>
        <v>31</v>
      </c>
      <c r="R272" s="1" t="str">
        <f>IF(Table1[[#This Row],[round_dass21_raw_score]]&lt;=10, "Normal", IF(Table1[[#This Row],[round_dass21_raw_score]]&lt;=20, "Moderate", IF(Table1[[#This Row],[round_dass21_raw_score]]&lt;=30, "Severe", "Extremely Severe")))</f>
        <v>Extremely Severe</v>
      </c>
      <c r="S272">
        <v>1.9144958000000001</v>
      </c>
      <c r="T272">
        <v>3.0094056</v>
      </c>
      <c r="U272">
        <v>4500</v>
      </c>
      <c r="V272" s="1">
        <f>ROUND(Table1[[#This Row],[fmpce]],0)</f>
        <v>4500</v>
      </c>
      <c r="W272">
        <v>61.220993</v>
      </c>
      <c r="X272" s="4">
        <f>Table1[[#This Row],[mpce]]*89</f>
        <v>5448.668377</v>
      </c>
      <c r="Y272" s="2" t="s">
        <v>28</v>
      </c>
      <c r="Z272" s="3">
        <f>VLOOKUP(Y272, rmpce_reference!$B$1:$D$7,3,FALSE) * 89</f>
        <v>6230</v>
      </c>
      <c r="AA272" s="1" t="str">
        <f>IF(Table1[rmpce_inr]&lt;=rmpce_reference!$F$2, "Low Income", IF(Table1[rmpce_inr]&lt;=rmpce_reference!$F$3, "Middle Income", "High Income"))</f>
        <v>Middle Income</v>
      </c>
    </row>
    <row r="273" spans="1:27" x14ac:dyDescent="0.25">
      <c r="A273">
        <v>2016</v>
      </c>
      <c r="B273" t="s">
        <v>39</v>
      </c>
      <c r="C273" t="s">
        <v>29</v>
      </c>
      <c r="D273">
        <v>38</v>
      </c>
      <c r="E273" t="s">
        <v>22</v>
      </c>
      <c r="F273" t="s">
        <v>23</v>
      </c>
      <c r="G273">
        <v>24</v>
      </c>
      <c r="H273" s="1" t="str">
        <f>IF(Table1[[#This Row],[anxiety_score]]&lt;=10, "Normal", IF(Table1[[#This Row],[anxiety_score]]&lt;=20, "Moderate", IF(Table1[[#This Row],[anxiety_score]]&lt;=30, "Severe", "Extremely Severe")))</f>
        <v>Severe</v>
      </c>
      <c r="I273">
        <v>1.3991127999999999</v>
      </c>
      <c r="J273">
        <v>20</v>
      </c>
      <c r="K273" s="1" t="str">
        <f>IF(Table1[[#This Row],[stress_score]]&lt;=10, "Normal", IF(Table1[[#This Row],[stress_score]]&lt;=20, "Moderate", IF(Table1[[#This Row],[stress_score]]&lt;=30, "Severe", "Extremely Severe")))</f>
        <v>Moderate</v>
      </c>
      <c r="L273">
        <v>0.78414130000000004</v>
      </c>
      <c r="M273">
        <v>22</v>
      </c>
      <c r="N273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273">
        <v>1.0101753</v>
      </c>
      <c r="P273">
        <v>22</v>
      </c>
      <c r="Q273">
        <f>ROUND(Table1[[#This Row],[dass21_raw_score]],0)</f>
        <v>22</v>
      </c>
      <c r="R273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273">
        <v>1.0644765</v>
      </c>
      <c r="T273">
        <v>2.1593863999999998</v>
      </c>
      <c r="U273">
        <v>2500</v>
      </c>
      <c r="V273" s="1">
        <f>ROUND(Table1[[#This Row],[fmpce]],0)</f>
        <v>2500</v>
      </c>
      <c r="W273">
        <v>34.011659999999999</v>
      </c>
      <c r="X273" s="4">
        <f>Table1[[#This Row],[mpce]]*89</f>
        <v>3027.0377399999998</v>
      </c>
      <c r="Y273" s="2" t="s">
        <v>34</v>
      </c>
      <c r="Z273" s="3">
        <f>VLOOKUP(Y273, rmpce_reference!$B$1:$D$7,3,FALSE) * 89</f>
        <v>2848</v>
      </c>
      <c r="AA273" s="1" t="str">
        <f>IF(Table1[rmpce_inr]&lt;=rmpce_reference!$F$2, "Low Income", IF(Table1[rmpce_inr]&lt;=rmpce_reference!$F$3, "Middle Income", "High Income"))</f>
        <v>Low Income</v>
      </c>
    </row>
    <row r="274" spans="1:27" x14ac:dyDescent="0.25">
      <c r="A274">
        <v>2017</v>
      </c>
      <c r="B274" t="s">
        <v>39</v>
      </c>
      <c r="C274" t="s">
        <v>29</v>
      </c>
      <c r="D274">
        <v>40</v>
      </c>
      <c r="E274" t="s">
        <v>22</v>
      </c>
      <c r="F274" t="s">
        <v>23</v>
      </c>
      <c r="G274">
        <v>20</v>
      </c>
      <c r="H274" s="1" t="str">
        <f>IF(Table1[[#This Row],[anxiety_score]]&lt;=10, "Normal", IF(Table1[[#This Row],[anxiety_score]]&lt;=20, "Moderate", IF(Table1[[#This Row],[anxiety_score]]&lt;=30, "Severe", "Extremely Severe")))</f>
        <v>Moderate</v>
      </c>
      <c r="I274">
        <v>0.99702360000000001</v>
      </c>
      <c r="J274">
        <v>28</v>
      </c>
      <c r="K274" s="1" t="str">
        <f>IF(Table1[[#This Row],[stress_score]]&lt;=10, "Normal", IF(Table1[[#This Row],[stress_score]]&lt;=20, "Moderate", IF(Table1[[#This Row],[stress_score]]&lt;=30, "Severe", "Extremely Severe")))</f>
        <v>Severe</v>
      </c>
      <c r="L274">
        <v>1.5627863</v>
      </c>
      <c r="M274">
        <v>20</v>
      </c>
      <c r="N274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274">
        <v>0.81753799999999999</v>
      </c>
      <c r="P274">
        <v>22.666665999999999</v>
      </c>
      <c r="Q274">
        <f>ROUND(Table1[[#This Row],[dass21_raw_score]],0)</f>
        <v>23</v>
      </c>
      <c r="R274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274">
        <v>1.1257826</v>
      </c>
      <c r="T274">
        <v>2.2206926</v>
      </c>
      <c r="U274">
        <v>6666.6665000000003</v>
      </c>
      <c r="V274" s="1">
        <f>ROUND(Table1[[#This Row],[fmpce]],0)</f>
        <v>6667</v>
      </c>
      <c r="W274">
        <v>90.697760000000002</v>
      </c>
      <c r="X274" s="4">
        <f>Table1[[#This Row],[mpce]]*89</f>
        <v>8072.1006400000006</v>
      </c>
      <c r="Y274" s="2" t="s">
        <v>31</v>
      </c>
      <c r="Z274" s="3">
        <f>VLOOKUP(Y274, rmpce_reference!$B$1:$D$7,3,FALSE) * 89</f>
        <v>8010</v>
      </c>
      <c r="AA274" s="1" t="str">
        <f>IF(Table1[rmpce_inr]&lt;=rmpce_reference!$F$2, "Low Income", IF(Table1[rmpce_inr]&lt;=rmpce_reference!$F$3, "Middle Income", "High Income"))</f>
        <v>High Income</v>
      </c>
    </row>
    <row r="275" spans="1:27" x14ac:dyDescent="0.25">
      <c r="A275">
        <v>2018</v>
      </c>
      <c r="B275" t="s">
        <v>39</v>
      </c>
      <c r="C275" t="s">
        <v>21</v>
      </c>
      <c r="D275">
        <v>48</v>
      </c>
      <c r="E275" t="s">
        <v>22</v>
      </c>
      <c r="F275" t="s">
        <v>23</v>
      </c>
      <c r="G275">
        <v>22</v>
      </c>
      <c r="H275" s="1" t="str">
        <f>IF(Table1[[#This Row],[anxiety_score]]&lt;=10, "Normal", IF(Table1[[#This Row],[anxiety_score]]&lt;=20, "Moderate", IF(Table1[[#This Row],[anxiety_score]]&lt;=30, "Severe", "Extremely Severe")))</f>
        <v>Severe</v>
      </c>
      <c r="I275">
        <v>1.1980683000000001</v>
      </c>
      <c r="J275">
        <v>20</v>
      </c>
      <c r="K275" s="1" t="str">
        <f>IF(Table1[[#This Row],[stress_score]]&lt;=10, "Normal", IF(Table1[[#This Row],[stress_score]]&lt;=20, "Moderate", IF(Table1[[#This Row],[stress_score]]&lt;=30, "Severe", "Extremely Severe")))</f>
        <v>Moderate</v>
      </c>
      <c r="L275">
        <v>0.78414130000000004</v>
      </c>
      <c r="M275">
        <v>26</v>
      </c>
      <c r="N275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275">
        <v>1.3954502</v>
      </c>
      <c r="P275">
        <v>22.666665999999999</v>
      </c>
      <c r="Q275">
        <f>ROUND(Table1[[#This Row],[dass21_raw_score]],0)</f>
        <v>23</v>
      </c>
      <c r="R275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275">
        <v>1.1258866000000001</v>
      </c>
      <c r="T275">
        <v>2.2207965999999999</v>
      </c>
      <c r="U275">
        <v>4500</v>
      </c>
      <c r="V275" s="1">
        <f>ROUND(Table1[[#This Row],[fmpce]],0)</f>
        <v>4500</v>
      </c>
      <c r="W275">
        <v>61.220993</v>
      </c>
      <c r="X275" s="4">
        <f>Table1[[#This Row],[mpce]]*89</f>
        <v>5448.668377</v>
      </c>
      <c r="Y275" s="2" t="s">
        <v>28</v>
      </c>
      <c r="Z275" s="3">
        <f>VLOOKUP(Y275, rmpce_reference!$B$1:$D$7,3,FALSE) * 89</f>
        <v>6230</v>
      </c>
      <c r="AA275" s="1" t="str">
        <f>IF(Table1[rmpce_inr]&lt;=rmpce_reference!$F$2, "Low Income", IF(Table1[rmpce_inr]&lt;=rmpce_reference!$F$3, "Middle Income", "High Income"))</f>
        <v>Middle Income</v>
      </c>
    </row>
    <row r="276" spans="1:27" x14ac:dyDescent="0.25">
      <c r="A276">
        <v>2019</v>
      </c>
      <c r="B276" t="s">
        <v>39</v>
      </c>
      <c r="C276" t="s">
        <v>21</v>
      </c>
      <c r="D276">
        <v>41</v>
      </c>
      <c r="E276" t="s">
        <v>22</v>
      </c>
      <c r="F276" t="s">
        <v>23</v>
      </c>
      <c r="G276">
        <v>26</v>
      </c>
      <c r="H276" s="1" t="str">
        <f>IF(Table1[[#This Row],[anxiety_score]]&lt;=10, "Normal", IF(Table1[[#This Row],[anxiety_score]]&lt;=20, "Moderate", IF(Table1[[#This Row],[anxiety_score]]&lt;=30, "Severe", "Extremely Severe")))</f>
        <v>Severe</v>
      </c>
      <c r="I276">
        <v>1.6001574999999999</v>
      </c>
      <c r="J276">
        <v>24</v>
      </c>
      <c r="K276" s="1" t="str">
        <f>IF(Table1[[#This Row],[stress_score]]&lt;=10, "Normal", IF(Table1[[#This Row],[stress_score]]&lt;=20, "Moderate", IF(Table1[[#This Row],[stress_score]]&lt;=30, "Severe", "Extremely Severe")))</f>
        <v>Severe</v>
      </c>
      <c r="L276">
        <v>1.1734637999999999</v>
      </c>
      <c r="M276">
        <v>26</v>
      </c>
      <c r="N276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276">
        <v>1.3954502</v>
      </c>
      <c r="P276">
        <v>25.333334000000001</v>
      </c>
      <c r="Q276">
        <f>ROUND(Table1[[#This Row],[dass21_raw_score]],0)</f>
        <v>25</v>
      </c>
      <c r="R276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276">
        <v>1.3896904999999999</v>
      </c>
      <c r="T276">
        <v>2.4846005</v>
      </c>
      <c r="U276">
        <v>6250</v>
      </c>
      <c r="V276" s="1">
        <f>ROUND(Table1[[#This Row],[fmpce]],0)</f>
        <v>6250</v>
      </c>
      <c r="W276">
        <v>85.029150000000001</v>
      </c>
      <c r="X276" s="4">
        <f>Table1[[#This Row],[mpce]]*89</f>
        <v>7567.5943500000003</v>
      </c>
      <c r="Y276" s="2" t="s">
        <v>31</v>
      </c>
      <c r="Z276" s="3">
        <f>VLOOKUP(Y276, rmpce_reference!$B$1:$D$7,3,FALSE) * 89</f>
        <v>8010</v>
      </c>
      <c r="AA276" s="1" t="str">
        <f>IF(Table1[rmpce_inr]&lt;=rmpce_reference!$F$2, "Low Income", IF(Table1[rmpce_inr]&lt;=rmpce_reference!$F$3, "Middle Income", "High Income"))</f>
        <v>High Income</v>
      </c>
    </row>
    <row r="277" spans="1:27" x14ac:dyDescent="0.25">
      <c r="A277">
        <v>2020</v>
      </c>
      <c r="B277" t="s">
        <v>39</v>
      </c>
      <c r="C277" t="s">
        <v>36</v>
      </c>
      <c r="D277">
        <v>56</v>
      </c>
      <c r="E277" t="s">
        <v>22</v>
      </c>
      <c r="F277" t="s">
        <v>23</v>
      </c>
      <c r="G277">
        <v>36</v>
      </c>
      <c r="H277" s="1" t="str">
        <f>IF(Table1[[#This Row],[anxiety_score]]&lt;=10, "Normal", IF(Table1[[#This Row],[anxiety_score]]&lt;=20, "Moderate", IF(Table1[[#This Row],[anxiety_score]]&lt;=30, "Severe", "Extremely Severe")))</f>
        <v>Extremely Severe</v>
      </c>
      <c r="I277">
        <v>2.6053804999999999</v>
      </c>
      <c r="J277">
        <v>34</v>
      </c>
      <c r="K277" s="1" t="str">
        <f>IF(Table1[[#This Row],[stress_score]]&lt;=10, "Normal", IF(Table1[[#This Row],[stress_score]]&lt;=20, "Moderate", IF(Table1[[#This Row],[stress_score]]&lt;=30, "Severe", "Extremely Severe")))</f>
        <v>Extremely Severe</v>
      </c>
      <c r="L277">
        <v>2.1467700000000001</v>
      </c>
      <c r="M277">
        <v>34</v>
      </c>
      <c r="N277" s="1" t="str">
        <f>IF(Table1[[#This Row],[depression_score]]&lt;=10, "Normal", IF(Table1[[#This Row],[depression_score]]&lt;=20, "Moderate", IF(Table1[[#This Row],[depression_score]]&lt;=30, "Severe", "Extremely Severe")))</f>
        <v>Extremely Severe</v>
      </c>
      <c r="O277">
        <v>2.1659999999999999</v>
      </c>
      <c r="P277">
        <v>34.666668000000001</v>
      </c>
      <c r="Q277">
        <f>ROUND(Table1[[#This Row],[dass21_raw_score]],0)</f>
        <v>35</v>
      </c>
      <c r="R277" s="1" t="str">
        <f>IF(Table1[[#This Row],[round_dass21_raw_score]]&lt;=10, "Normal", IF(Table1[[#This Row],[round_dass21_raw_score]]&lt;=20, "Moderate", IF(Table1[[#This Row],[round_dass21_raw_score]]&lt;=30, "Severe", "Extremely Severe")))</f>
        <v>Extremely Severe</v>
      </c>
      <c r="S277">
        <v>2.3060499999999999</v>
      </c>
      <c r="T277">
        <v>3.40096</v>
      </c>
      <c r="U277">
        <v>6000</v>
      </c>
      <c r="V277" s="1">
        <f>ROUND(Table1[[#This Row],[fmpce]],0)</f>
        <v>6000</v>
      </c>
      <c r="W277">
        <v>81.627989999999997</v>
      </c>
      <c r="X277" s="4">
        <f>Table1[[#This Row],[mpce]]*89</f>
        <v>7264.8911099999996</v>
      </c>
      <c r="Y277" s="2" t="s">
        <v>31</v>
      </c>
      <c r="Z277" s="3">
        <f>VLOOKUP(Y277, rmpce_reference!$B$1:$D$7,3,FALSE) * 89</f>
        <v>8010</v>
      </c>
      <c r="AA277" s="1" t="str">
        <f>IF(Table1[rmpce_inr]&lt;=rmpce_reference!$F$2, "Low Income", IF(Table1[rmpce_inr]&lt;=rmpce_reference!$F$3, "Middle Income", "High Income"))</f>
        <v>High Income</v>
      </c>
    </row>
    <row r="278" spans="1:27" x14ac:dyDescent="0.25">
      <c r="A278">
        <v>2021</v>
      </c>
      <c r="B278" t="s">
        <v>39</v>
      </c>
      <c r="C278" t="s">
        <v>36</v>
      </c>
      <c r="D278">
        <v>58</v>
      </c>
      <c r="E278" t="s">
        <v>22</v>
      </c>
      <c r="F278" t="s">
        <v>30</v>
      </c>
      <c r="G278">
        <v>10</v>
      </c>
      <c r="H278" s="1" t="str">
        <f>IF(Table1[[#This Row],[anxiety_score]]&lt;=10, "Normal", IF(Table1[[#This Row],[anxiety_score]]&lt;=20, "Moderate", IF(Table1[[#This Row],[anxiety_score]]&lt;=30, "Severe", "Extremely Severe")))</f>
        <v>Normal</v>
      </c>
      <c r="I278">
        <v>-8.1994660000000007E-3</v>
      </c>
      <c r="J278">
        <v>8</v>
      </c>
      <c r="K278" s="1" t="str">
        <f>IF(Table1[[#This Row],[stress_score]]&lt;=10, "Normal", IF(Table1[[#This Row],[stress_score]]&lt;=20, "Moderate", IF(Table1[[#This Row],[stress_score]]&lt;=30, "Severe", "Extremely Severe")))</f>
        <v>Normal</v>
      </c>
      <c r="L278">
        <v>-0.38382620000000001</v>
      </c>
      <c r="M278">
        <v>12</v>
      </c>
      <c r="N278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278">
        <v>4.6988415999999998E-2</v>
      </c>
      <c r="P278">
        <v>10</v>
      </c>
      <c r="Q278">
        <f>ROUND(Table1[[#This Row],[dass21_raw_score]],0)</f>
        <v>10</v>
      </c>
      <c r="R278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278">
        <v>-0.11501241500000001</v>
      </c>
      <c r="T278">
        <v>0.97989749999999998</v>
      </c>
      <c r="U278">
        <v>3000</v>
      </c>
      <c r="V278" s="1">
        <f>ROUND(Table1[[#This Row],[fmpce]],0)</f>
        <v>3000</v>
      </c>
      <c r="W278">
        <v>40.813994999999998</v>
      </c>
      <c r="X278" s="4">
        <f>Table1[[#This Row],[mpce]]*89</f>
        <v>3632.4455549999998</v>
      </c>
      <c r="Y278" s="2" t="s">
        <v>32</v>
      </c>
      <c r="Z278" s="3">
        <f>VLOOKUP(Y278, rmpce_reference!$B$1:$D$7,3,FALSE) * 89</f>
        <v>4450</v>
      </c>
      <c r="AA278" s="1" t="str">
        <f>IF(Table1[rmpce_inr]&lt;=rmpce_reference!$F$2, "Low Income", IF(Table1[rmpce_inr]&lt;=rmpce_reference!$F$3, "Middle Income", "High Income"))</f>
        <v>Low Income</v>
      </c>
    </row>
    <row r="279" spans="1:27" x14ac:dyDescent="0.25">
      <c r="A279">
        <v>2022</v>
      </c>
      <c r="B279" t="s">
        <v>39</v>
      </c>
      <c r="C279" t="s">
        <v>29</v>
      </c>
      <c r="D279">
        <v>40</v>
      </c>
      <c r="E279" t="s">
        <v>22</v>
      </c>
      <c r="F279" t="s">
        <v>23</v>
      </c>
      <c r="G279">
        <v>18</v>
      </c>
      <c r="H279" s="1" t="str">
        <f>IF(Table1[[#This Row],[anxiety_score]]&lt;=10, "Normal", IF(Table1[[#This Row],[anxiety_score]]&lt;=20, "Moderate", IF(Table1[[#This Row],[anxiety_score]]&lt;=30, "Severe", "Extremely Severe")))</f>
        <v>Moderate</v>
      </c>
      <c r="I279">
        <v>0.79597896000000001</v>
      </c>
      <c r="J279">
        <v>18</v>
      </c>
      <c r="K279" s="1" t="str">
        <f>IF(Table1[[#This Row],[stress_score]]&lt;=10, "Normal", IF(Table1[[#This Row],[stress_score]]&lt;=20, "Moderate", IF(Table1[[#This Row],[stress_score]]&lt;=30, "Severe", "Extremely Severe")))</f>
        <v>Moderate</v>
      </c>
      <c r="L279">
        <v>0.58948003999999998</v>
      </c>
      <c r="M279">
        <v>16</v>
      </c>
      <c r="N279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279">
        <v>0.43226320000000001</v>
      </c>
      <c r="P279">
        <v>17.333334000000001</v>
      </c>
      <c r="Q279">
        <f>ROUND(Table1[[#This Row],[dass21_raw_score]],0)</f>
        <v>17</v>
      </c>
      <c r="R279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279">
        <v>0.60590739999999998</v>
      </c>
      <c r="T279">
        <v>1.7008173</v>
      </c>
      <c r="U279">
        <v>9333.3330000000005</v>
      </c>
      <c r="V279" s="1">
        <f>ROUND(Table1[[#This Row],[fmpce]],0)</f>
        <v>9333</v>
      </c>
      <c r="W279">
        <v>126.97687000000001</v>
      </c>
      <c r="X279" s="4">
        <f>Table1[[#This Row],[mpce]]*89</f>
        <v>11300.941430000001</v>
      </c>
      <c r="Y279" s="2" t="s">
        <v>35</v>
      </c>
      <c r="Z279" s="3">
        <f>VLOOKUP(Y279, rmpce_reference!$B$1:$D$7,3,FALSE) * 89</f>
        <v>9790</v>
      </c>
      <c r="AA279" s="1" t="str">
        <f>IF(Table1[rmpce_inr]&lt;=rmpce_reference!$F$2, "Low Income", IF(Table1[rmpce_inr]&lt;=rmpce_reference!$F$3, "Middle Income", "High Income"))</f>
        <v>High Income</v>
      </c>
    </row>
    <row r="280" spans="1:27" x14ac:dyDescent="0.25">
      <c r="A280">
        <v>2023</v>
      </c>
      <c r="B280" t="s">
        <v>39</v>
      </c>
      <c r="C280" t="s">
        <v>36</v>
      </c>
      <c r="D280">
        <v>56</v>
      </c>
      <c r="E280" t="s">
        <v>22</v>
      </c>
      <c r="F280" t="s">
        <v>30</v>
      </c>
      <c r="G280">
        <v>20</v>
      </c>
      <c r="H280" s="1" t="str">
        <f>IF(Table1[[#This Row],[anxiety_score]]&lt;=10, "Normal", IF(Table1[[#This Row],[anxiety_score]]&lt;=20, "Moderate", IF(Table1[[#This Row],[anxiety_score]]&lt;=30, "Severe", "Extremely Severe")))</f>
        <v>Moderate</v>
      </c>
      <c r="I280">
        <v>0.99702360000000001</v>
      </c>
      <c r="J280">
        <v>18</v>
      </c>
      <c r="K280" s="1" t="str">
        <f>IF(Table1[[#This Row],[stress_score]]&lt;=10, "Normal", IF(Table1[[#This Row],[stress_score]]&lt;=20, "Moderate", IF(Table1[[#This Row],[stress_score]]&lt;=30, "Severe", "Extremely Severe")))</f>
        <v>Moderate</v>
      </c>
      <c r="L280">
        <v>0.58948003999999998</v>
      </c>
      <c r="M280">
        <v>18</v>
      </c>
      <c r="N280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280">
        <v>0.62490060000000003</v>
      </c>
      <c r="P280">
        <v>18.666665999999999</v>
      </c>
      <c r="Q280">
        <f>ROUND(Table1[[#This Row],[dass21_raw_score]],0)</f>
        <v>19</v>
      </c>
      <c r="R280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280">
        <v>0.73713474999999995</v>
      </c>
      <c r="T280">
        <v>1.8320445999999999</v>
      </c>
      <c r="U280">
        <v>1000</v>
      </c>
      <c r="V280" s="1">
        <f>ROUND(Table1[[#This Row],[fmpce]],0)</f>
        <v>1000</v>
      </c>
      <c r="W280">
        <v>13.604665000000001</v>
      </c>
      <c r="X280" s="4">
        <f>Table1[[#This Row],[mpce]]*89</f>
        <v>1210.8151850000002</v>
      </c>
      <c r="Y280" s="2" t="s">
        <v>24</v>
      </c>
      <c r="Z280" s="3">
        <f>VLOOKUP(Y280, rmpce_reference!$B$1:$D$7,3,FALSE) * 89</f>
        <v>2225</v>
      </c>
      <c r="AA280" s="1" t="str">
        <f>IF(Table1[rmpce_inr]&lt;=rmpce_reference!$F$2, "Low Income", IF(Table1[rmpce_inr]&lt;=rmpce_reference!$F$3, "Middle Income", "High Income"))</f>
        <v>Low Income</v>
      </c>
    </row>
    <row r="281" spans="1:27" x14ac:dyDescent="0.25">
      <c r="A281">
        <v>2024</v>
      </c>
      <c r="B281" t="s">
        <v>39</v>
      </c>
      <c r="C281" t="s">
        <v>29</v>
      </c>
      <c r="D281">
        <v>36</v>
      </c>
      <c r="E281" t="s">
        <v>22</v>
      </c>
      <c r="F281" t="s">
        <v>30</v>
      </c>
      <c r="G281">
        <v>28</v>
      </c>
      <c r="H281" s="1" t="str">
        <f>IF(Table1[[#This Row],[anxiety_score]]&lt;=10, "Normal", IF(Table1[[#This Row],[anxiety_score]]&lt;=20, "Moderate", IF(Table1[[#This Row],[anxiety_score]]&lt;=30, "Severe", "Extremely Severe")))</f>
        <v>Severe</v>
      </c>
      <c r="I281">
        <v>1.801202</v>
      </c>
      <c r="J281">
        <v>28</v>
      </c>
      <c r="K281" s="1" t="str">
        <f>IF(Table1[[#This Row],[stress_score]]&lt;=10, "Normal", IF(Table1[[#This Row],[stress_score]]&lt;=20, "Moderate", IF(Table1[[#This Row],[stress_score]]&lt;=30, "Severe", "Extremely Severe")))</f>
        <v>Severe</v>
      </c>
      <c r="L281">
        <v>1.5627863</v>
      </c>
      <c r="M281">
        <v>32</v>
      </c>
      <c r="N281" s="1" t="str">
        <f>IF(Table1[[#This Row],[depression_score]]&lt;=10, "Normal", IF(Table1[[#This Row],[depression_score]]&lt;=20, "Moderate", IF(Table1[[#This Row],[depression_score]]&lt;=30, "Severe", "Extremely Severe")))</f>
        <v>Extremely Severe</v>
      </c>
      <c r="O281">
        <v>1.9733623</v>
      </c>
      <c r="P281">
        <v>29.333334000000001</v>
      </c>
      <c r="Q281">
        <f>ROUND(Table1[[#This Row],[dass21_raw_score]],0)</f>
        <v>29</v>
      </c>
      <c r="R281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281">
        <v>1.7791169</v>
      </c>
      <c r="T281">
        <v>2.8740268000000002</v>
      </c>
      <c r="U281">
        <v>4000</v>
      </c>
      <c r="V281" s="1">
        <f>ROUND(Table1[[#This Row],[fmpce]],0)</f>
        <v>4000</v>
      </c>
      <c r="W281">
        <v>54.418660000000003</v>
      </c>
      <c r="X281" s="4">
        <f>Table1[[#This Row],[mpce]]*89</f>
        <v>4843.2607400000006</v>
      </c>
      <c r="Y281" s="2" t="s">
        <v>32</v>
      </c>
      <c r="Z281" s="3">
        <f>VLOOKUP(Y281, rmpce_reference!$B$1:$D$7,3,FALSE) * 89</f>
        <v>4450</v>
      </c>
      <c r="AA281" s="1" t="str">
        <f>IF(Table1[rmpce_inr]&lt;=rmpce_reference!$F$2, "Low Income", IF(Table1[rmpce_inr]&lt;=rmpce_reference!$F$3, "Middle Income", "High Income"))</f>
        <v>Low Income</v>
      </c>
    </row>
    <row r="282" spans="1:27" x14ac:dyDescent="0.25">
      <c r="A282">
        <v>2025</v>
      </c>
      <c r="B282" t="s">
        <v>39</v>
      </c>
      <c r="C282" t="s">
        <v>21</v>
      </c>
      <c r="D282">
        <v>49</v>
      </c>
      <c r="E282" t="s">
        <v>22</v>
      </c>
      <c r="F282" t="s">
        <v>30</v>
      </c>
      <c r="G282">
        <v>18</v>
      </c>
      <c r="H282" s="1" t="str">
        <f>IF(Table1[[#This Row],[anxiety_score]]&lt;=10, "Normal", IF(Table1[[#This Row],[anxiety_score]]&lt;=20, "Moderate", IF(Table1[[#This Row],[anxiety_score]]&lt;=30, "Severe", "Extremely Severe")))</f>
        <v>Moderate</v>
      </c>
      <c r="I282">
        <v>0.79597896000000001</v>
      </c>
      <c r="J282">
        <v>22</v>
      </c>
      <c r="K282" s="1" t="str">
        <f>IF(Table1[[#This Row],[stress_score]]&lt;=10, "Normal", IF(Table1[[#This Row],[stress_score]]&lt;=20, "Moderate", IF(Table1[[#This Row],[stress_score]]&lt;=30, "Severe", "Extremely Severe")))</f>
        <v>Severe</v>
      </c>
      <c r="L282">
        <v>0.97880255999999999</v>
      </c>
      <c r="M282">
        <v>24</v>
      </c>
      <c r="N282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282">
        <v>1.2028128</v>
      </c>
      <c r="P282">
        <v>21.333334000000001</v>
      </c>
      <c r="Q282">
        <f>ROUND(Table1[[#This Row],[dass21_raw_score]],0)</f>
        <v>21</v>
      </c>
      <c r="R282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282">
        <v>0.99253139999999995</v>
      </c>
      <c r="T282">
        <v>2.0874413999999999</v>
      </c>
      <c r="U282">
        <v>7500</v>
      </c>
      <c r="V282" s="1">
        <f>ROUND(Table1[[#This Row],[fmpce]],0)</f>
        <v>7500</v>
      </c>
      <c r="W282">
        <v>102.03498999999999</v>
      </c>
      <c r="X282" s="4">
        <f>Table1[[#This Row],[mpce]]*89</f>
        <v>9081.1141099999986</v>
      </c>
      <c r="Y282" s="2" t="s">
        <v>35</v>
      </c>
      <c r="Z282" s="3">
        <f>VLOOKUP(Y282, rmpce_reference!$B$1:$D$7,3,FALSE) * 89</f>
        <v>9790</v>
      </c>
      <c r="AA282" s="1" t="str">
        <f>IF(Table1[rmpce_inr]&lt;=rmpce_reference!$F$2, "Low Income", IF(Table1[rmpce_inr]&lt;=rmpce_reference!$F$3, "Middle Income", "High Income"))</f>
        <v>High Income</v>
      </c>
    </row>
    <row r="283" spans="1:27" x14ac:dyDescent="0.25">
      <c r="A283">
        <v>2026</v>
      </c>
      <c r="B283" t="s">
        <v>39</v>
      </c>
      <c r="C283" t="s">
        <v>21</v>
      </c>
      <c r="D283">
        <v>42</v>
      </c>
      <c r="E283" t="s">
        <v>22</v>
      </c>
      <c r="F283" t="s">
        <v>30</v>
      </c>
      <c r="G283">
        <v>22</v>
      </c>
      <c r="H283" s="1" t="str">
        <f>IF(Table1[[#This Row],[anxiety_score]]&lt;=10, "Normal", IF(Table1[[#This Row],[anxiety_score]]&lt;=20, "Moderate", IF(Table1[[#This Row],[anxiety_score]]&lt;=30, "Severe", "Extremely Severe")))</f>
        <v>Severe</v>
      </c>
      <c r="I283">
        <v>1.1980683000000001</v>
      </c>
      <c r="J283">
        <v>18</v>
      </c>
      <c r="K283" s="1" t="str">
        <f>IF(Table1[[#This Row],[stress_score]]&lt;=10, "Normal", IF(Table1[[#This Row],[stress_score]]&lt;=20, "Moderate", IF(Table1[[#This Row],[stress_score]]&lt;=30, "Severe", "Extremely Severe")))</f>
        <v>Moderate</v>
      </c>
      <c r="L283">
        <v>0.58948003999999998</v>
      </c>
      <c r="M283">
        <v>24</v>
      </c>
      <c r="N283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283">
        <v>1.2028128</v>
      </c>
      <c r="P283">
        <v>21.333334000000001</v>
      </c>
      <c r="Q283">
        <f>ROUND(Table1[[#This Row],[dass21_raw_score]],0)</f>
        <v>21</v>
      </c>
      <c r="R283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283">
        <v>0.99678699999999998</v>
      </c>
      <c r="T283">
        <v>2.0916969999999999</v>
      </c>
      <c r="U283">
        <v>3750</v>
      </c>
      <c r="V283" s="1">
        <f>ROUND(Table1[[#This Row],[fmpce]],0)</f>
        <v>3750</v>
      </c>
      <c r="W283">
        <v>51.017493999999999</v>
      </c>
      <c r="X283" s="4">
        <f>Table1[[#This Row],[mpce]]*89</f>
        <v>4540.5569660000001</v>
      </c>
      <c r="Y283" s="2" t="s">
        <v>32</v>
      </c>
      <c r="Z283" s="3">
        <f>VLOOKUP(Y283, rmpce_reference!$B$1:$D$7,3,FALSE) * 89</f>
        <v>4450</v>
      </c>
      <c r="AA283" s="1" t="str">
        <f>IF(Table1[rmpce_inr]&lt;=rmpce_reference!$F$2, "Low Income", IF(Table1[rmpce_inr]&lt;=rmpce_reference!$F$3, "Middle Income", "High Income"))</f>
        <v>Low Income</v>
      </c>
    </row>
    <row r="284" spans="1:27" x14ac:dyDescent="0.25">
      <c r="A284">
        <v>2027</v>
      </c>
      <c r="B284" t="s">
        <v>39</v>
      </c>
      <c r="C284" t="s">
        <v>21</v>
      </c>
      <c r="D284">
        <v>48</v>
      </c>
      <c r="E284" t="s">
        <v>22</v>
      </c>
      <c r="F284" t="s">
        <v>30</v>
      </c>
      <c r="G284">
        <v>20</v>
      </c>
      <c r="H284" s="1" t="str">
        <f>IF(Table1[[#This Row],[anxiety_score]]&lt;=10, "Normal", IF(Table1[[#This Row],[anxiety_score]]&lt;=20, "Moderate", IF(Table1[[#This Row],[anxiety_score]]&lt;=30, "Severe", "Extremely Severe")))</f>
        <v>Moderate</v>
      </c>
      <c r="I284">
        <v>0.99702360000000001</v>
      </c>
      <c r="J284">
        <v>26</v>
      </c>
      <c r="K284" s="1" t="str">
        <f>IF(Table1[[#This Row],[stress_score]]&lt;=10, "Normal", IF(Table1[[#This Row],[stress_score]]&lt;=20, "Moderate", IF(Table1[[#This Row],[stress_score]]&lt;=30, "Severe", "Extremely Severe")))</f>
        <v>Severe</v>
      </c>
      <c r="L284">
        <v>1.3681251000000001</v>
      </c>
      <c r="M284">
        <v>20</v>
      </c>
      <c r="N284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284">
        <v>0.81753799999999999</v>
      </c>
      <c r="P284">
        <v>22</v>
      </c>
      <c r="Q284">
        <f>ROUND(Table1[[#This Row],[dass21_raw_score]],0)</f>
        <v>22</v>
      </c>
      <c r="R284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284">
        <v>1.0608956</v>
      </c>
      <c r="T284">
        <v>2.1558055999999999</v>
      </c>
      <c r="U284">
        <v>6666.6665000000003</v>
      </c>
      <c r="V284" s="1">
        <f>ROUND(Table1[[#This Row],[fmpce]],0)</f>
        <v>6667</v>
      </c>
      <c r="W284">
        <v>90.697760000000002</v>
      </c>
      <c r="X284" s="4">
        <f>Table1[[#This Row],[mpce]]*89</f>
        <v>8072.1006400000006</v>
      </c>
      <c r="Y284" s="2" t="s">
        <v>31</v>
      </c>
      <c r="Z284" s="3">
        <f>VLOOKUP(Y284, rmpce_reference!$B$1:$D$7,3,FALSE) * 89</f>
        <v>8010</v>
      </c>
      <c r="AA284" s="1" t="str">
        <f>IF(Table1[rmpce_inr]&lt;=rmpce_reference!$F$2, "Low Income", IF(Table1[rmpce_inr]&lt;=rmpce_reference!$F$3, "Middle Income", "High Income"))</f>
        <v>High Income</v>
      </c>
    </row>
    <row r="285" spans="1:27" x14ac:dyDescent="0.25">
      <c r="A285">
        <v>2028</v>
      </c>
      <c r="B285" t="s">
        <v>39</v>
      </c>
      <c r="C285" t="s">
        <v>21</v>
      </c>
      <c r="D285">
        <v>47</v>
      </c>
      <c r="E285" t="s">
        <v>22</v>
      </c>
      <c r="F285" t="s">
        <v>30</v>
      </c>
      <c r="G285">
        <v>22</v>
      </c>
      <c r="H285" s="1" t="str">
        <f>IF(Table1[[#This Row],[anxiety_score]]&lt;=10, "Normal", IF(Table1[[#This Row],[anxiety_score]]&lt;=20, "Moderate", IF(Table1[[#This Row],[anxiety_score]]&lt;=30, "Severe", "Extremely Severe")))</f>
        <v>Severe</v>
      </c>
      <c r="I285">
        <v>1.1980683000000001</v>
      </c>
      <c r="J285">
        <v>20</v>
      </c>
      <c r="K285" s="1" t="str">
        <f>IF(Table1[[#This Row],[stress_score]]&lt;=10, "Normal", IF(Table1[[#This Row],[stress_score]]&lt;=20, "Moderate", IF(Table1[[#This Row],[stress_score]]&lt;=30, "Severe", "Extremely Severe")))</f>
        <v>Moderate</v>
      </c>
      <c r="L285">
        <v>0.78414130000000004</v>
      </c>
      <c r="M285">
        <v>20</v>
      </c>
      <c r="N285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285">
        <v>0.81753799999999999</v>
      </c>
      <c r="P285">
        <v>20.666665999999999</v>
      </c>
      <c r="Q285">
        <f>ROUND(Table1[[#This Row],[dass21_raw_score]],0)</f>
        <v>21</v>
      </c>
      <c r="R285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285">
        <v>0.9332492</v>
      </c>
      <c r="T285">
        <v>2.0281590999999999</v>
      </c>
      <c r="U285">
        <v>5000</v>
      </c>
      <c r="V285" s="1">
        <f>ROUND(Table1[[#This Row],[fmpce]],0)</f>
        <v>5000</v>
      </c>
      <c r="W285">
        <v>68.023319999999998</v>
      </c>
      <c r="X285" s="4">
        <f>Table1[[#This Row],[mpce]]*89</f>
        <v>6054.0754799999995</v>
      </c>
      <c r="Y285" s="2" t="s">
        <v>28</v>
      </c>
      <c r="Z285" s="3">
        <f>VLOOKUP(Y285, rmpce_reference!$B$1:$D$7,3,FALSE) * 89</f>
        <v>6230</v>
      </c>
      <c r="AA285" s="1" t="str">
        <f>IF(Table1[rmpce_inr]&lt;=rmpce_reference!$F$2, "Low Income", IF(Table1[rmpce_inr]&lt;=rmpce_reference!$F$3, "Middle Income", "High Income"))</f>
        <v>Middle Income</v>
      </c>
    </row>
    <row r="286" spans="1:27" x14ac:dyDescent="0.25">
      <c r="A286">
        <v>2029</v>
      </c>
      <c r="B286" t="s">
        <v>39</v>
      </c>
      <c r="C286" t="s">
        <v>29</v>
      </c>
      <c r="D286">
        <v>36</v>
      </c>
      <c r="E286" t="s">
        <v>22</v>
      </c>
      <c r="F286" t="s">
        <v>30</v>
      </c>
      <c r="G286">
        <v>24</v>
      </c>
      <c r="H286" s="1" t="str">
        <f>IF(Table1[[#This Row],[anxiety_score]]&lt;=10, "Normal", IF(Table1[[#This Row],[anxiety_score]]&lt;=20, "Moderate", IF(Table1[[#This Row],[anxiety_score]]&lt;=30, "Severe", "Extremely Severe")))</f>
        <v>Severe</v>
      </c>
      <c r="I286">
        <v>1.3991127999999999</v>
      </c>
      <c r="J286">
        <v>30</v>
      </c>
      <c r="K286" s="1" t="str">
        <f>IF(Table1[[#This Row],[stress_score]]&lt;=10, "Normal", IF(Table1[[#This Row],[stress_score]]&lt;=20, "Moderate", IF(Table1[[#This Row],[stress_score]]&lt;=30, "Severe", "Extremely Severe")))</f>
        <v>Severe</v>
      </c>
      <c r="L286">
        <v>1.7574476000000001</v>
      </c>
      <c r="M286">
        <v>26</v>
      </c>
      <c r="N286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286">
        <v>1.3954502</v>
      </c>
      <c r="P286">
        <v>26.666665999999999</v>
      </c>
      <c r="Q286">
        <f>ROUND(Table1[[#This Row],[dass21_raw_score]],0)</f>
        <v>27</v>
      </c>
      <c r="R286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286">
        <v>1.5173368</v>
      </c>
      <c r="T286">
        <v>2.6122467999999999</v>
      </c>
      <c r="U286">
        <v>7500</v>
      </c>
      <c r="V286" s="1">
        <f>ROUND(Table1[[#This Row],[fmpce]],0)</f>
        <v>7500</v>
      </c>
      <c r="W286">
        <v>102.03498999999999</v>
      </c>
      <c r="X286" s="4">
        <f>Table1[[#This Row],[mpce]]*89</f>
        <v>9081.1141099999986</v>
      </c>
      <c r="Y286" s="2" t="s">
        <v>35</v>
      </c>
      <c r="Z286" s="3">
        <f>VLOOKUP(Y286, rmpce_reference!$B$1:$D$7,3,FALSE) * 89</f>
        <v>9790</v>
      </c>
      <c r="AA286" s="1" t="str">
        <f>IF(Table1[rmpce_inr]&lt;=rmpce_reference!$F$2, "Low Income", IF(Table1[rmpce_inr]&lt;=rmpce_reference!$F$3, "Middle Income", "High Income"))</f>
        <v>High Income</v>
      </c>
    </row>
    <row r="287" spans="1:27" x14ac:dyDescent="0.25">
      <c r="A287">
        <v>2030</v>
      </c>
      <c r="B287" t="s">
        <v>39</v>
      </c>
      <c r="C287" t="s">
        <v>29</v>
      </c>
      <c r="D287">
        <v>40</v>
      </c>
      <c r="E287" t="s">
        <v>22</v>
      </c>
      <c r="F287" t="s">
        <v>30</v>
      </c>
      <c r="G287">
        <v>20</v>
      </c>
      <c r="H287" s="1" t="str">
        <f>IF(Table1[[#This Row],[anxiety_score]]&lt;=10, "Normal", IF(Table1[[#This Row],[anxiety_score]]&lt;=20, "Moderate", IF(Table1[[#This Row],[anxiety_score]]&lt;=30, "Severe", "Extremely Severe")))</f>
        <v>Moderate</v>
      </c>
      <c r="I287">
        <v>0.99702360000000001</v>
      </c>
      <c r="J287">
        <v>24</v>
      </c>
      <c r="K287" s="1" t="str">
        <f>IF(Table1[[#This Row],[stress_score]]&lt;=10, "Normal", IF(Table1[[#This Row],[stress_score]]&lt;=20, "Moderate", IF(Table1[[#This Row],[stress_score]]&lt;=30, "Severe", "Extremely Severe")))</f>
        <v>Severe</v>
      </c>
      <c r="L287">
        <v>1.1734637999999999</v>
      </c>
      <c r="M287">
        <v>18</v>
      </c>
      <c r="N287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287">
        <v>0.62490060000000003</v>
      </c>
      <c r="P287">
        <v>20.666665999999999</v>
      </c>
      <c r="Q287">
        <f>ROUND(Table1[[#This Row],[dass21_raw_score]],0)</f>
        <v>21</v>
      </c>
      <c r="R287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287">
        <v>0.93179599999999996</v>
      </c>
      <c r="T287">
        <v>2.0267059999999999</v>
      </c>
      <c r="U287">
        <v>5000</v>
      </c>
      <c r="V287" s="1">
        <f>ROUND(Table1[[#This Row],[fmpce]],0)</f>
        <v>5000</v>
      </c>
      <c r="W287">
        <v>68.023319999999998</v>
      </c>
      <c r="X287" s="4">
        <f>Table1[[#This Row],[mpce]]*89</f>
        <v>6054.0754799999995</v>
      </c>
      <c r="Y287" s="2" t="s">
        <v>28</v>
      </c>
      <c r="Z287" s="3">
        <f>VLOOKUP(Y287, rmpce_reference!$B$1:$D$7,3,FALSE) * 89</f>
        <v>6230</v>
      </c>
      <c r="AA287" s="1" t="str">
        <f>IF(Table1[rmpce_inr]&lt;=rmpce_reference!$F$2, "Low Income", IF(Table1[rmpce_inr]&lt;=rmpce_reference!$F$3, "Middle Income", "High Income"))</f>
        <v>Middle Income</v>
      </c>
    </row>
    <row r="288" spans="1:27" x14ac:dyDescent="0.25">
      <c r="A288">
        <v>2031</v>
      </c>
      <c r="B288" t="s">
        <v>39</v>
      </c>
      <c r="C288" t="s">
        <v>33</v>
      </c>
      <c r="D288">
        <v>26</v>
      </c>
      <c r="E288" t="s">
        <v>22</v>
      </c>
      <c r="F288" t="s">
        <v>30</v>
      </c>
      <c r="G288">
        <v>14</v>
      </c>
      <c r="H288" s="1" t="str">
        <f>IF(Table1[[#This Row],[anxiety_score]]&lt;=10, "Normal", IF(Table1[[#This Row],[anxiety_score]]&lt;=20, "Moderate", IF(Table1[[#This Row],[anxiety_score]]&lt;=30, "Severe", "Extremely Severe")))</f>
        <v>Moderate</v>
      </c>
      <c r="I288">
        <v>0.39388975999999998</v>
      </c>
      <c r="J288">
        <v>16</v>
      </c>
      <c r="K288" s="1" t="str">
        <f>IF(Table1[[#This Row],[stress_score]]&lt;=10, "Normal", IF(Table1[[#This Row],[stress_score]]&lt;=20, "Moderate", IF(Table1[[#This Row],[stress_score]]&lt;=30, "Severe", "Extremely Severe")))</f>
        <v>Moderate</v>
      </c>
      <c r="L288">
        <v>0.39481880000000003</v>
      </c>
      <c r="M288">
        <v>12</v>
      </c>
      <c r="N288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288">
        <v>4.6988415999999998E-2</v>
      </c>
      <c r="P288">
        <v>14</v>
      </c>
      <c r="Q288">
        <f>ROUND(Table1[[#This Row],[dass21_raw_score]],0)</f>
        <v>14</v>
      </c>
      <c r="R288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288">
        <v>0.27856567999999998</v>
      </c>
      <c r="T288">
        <v>1.3734755999999999</v>
      </c>
      <c r="U288">
        <v>4400</v>
      </c>
      <c r="V288" s="1">
        <f>ROUND(Table1[[#This Row],[fmpce]],0)</f>
        <v>4400</v>
      </c>
      <c r="W288">
        <v>59.860523000000001</v>
      </c>
      <c r="X288" s="4">
        <f>Table1[[#This Row],[mpce]]*89</f>
        <v>5327.5865469999999</v>
      </c>
      <c r="Y288" s="2" t="s">
        <v>32</v>
      </c>
      <c r="Z288" s="3">
        <f>VLOOKUP(Y288, rmpce_reference!$B$1:$D$7,3,FALSE) * 89</f>
        <v>4450</v>
      </c>
      <c r="AA288" s="1" t="str">
        <f>IF(Table1[rmpce_inr]&lt;=rmpce_reference!$F$2, "Low Income", IF(Table1[rmpce_inr]&lt;=rmpce_reference!$F$3, "Middle Income", "High Income"))</f>
        <v>Low Income</v>
      </c>
    </row>
    <row r="289" spans="1:27" x14ac:dyDescent="0.25">
      <c r="A289">
        <v>2032</v>
      </c>
      <c r="B289" t="s">
        <v>39</v>
      </c>
      <c r="C289" t="s">
        <v>36</v>
      </c>
      <c r="D289">
        <v>53</v>
      </c>
      <c r="E289" t="s">
        <v>22</v>
      </c>
      <c r="F289" t="s">
        <v>30</v>
      </c>
      <c r="G289">
        <v>26</v>
      </c>
      <c r="H289" s="1" t="str">
        <f>IF(Table1[[#This Row],[anxiety_score]]&lt;=10, "Normal", IF(Table1[[#This Row],[anxiety_score]]&lt;=20, "Moderate", IF(Table1[[#This Row],[anxiety_score]]&lt;=30, "Severe", "Extremely Severe")))</f>
        <v>Severe</v>
      </c>
      <c r="I289">
        <v>1.6001574999999999</v>
      </c>
      <c r="J289">
        <v>32</v>
      </c>
      <c r="K289" s="1" t="str">
        <f>IF(Table1[[#This Row],[stress_score]]&lt;=10, "Normal", IF(Table1[[#This Row],[stress_score]]&lt;=20, "Moderate", IF(Table1[[#This Row],[stress_score]]&lt;=30, "Severe", "Extremely Severe")))</f>
        <v>Extremely Severe</v>
      </c>
      <c r="L289">
        <v>1.9521089</v>
      </c>
      <c r="M289">
        <v>26</v>
      </c>
      <c r="N289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289">
        <v>1.3954502</v>
      </c>
      <c r="P289">
        <v>28</v>
      </c>
      <c r="Q289">
        <f>ROUND(Table1[[#This Row],[dass21_raw_score]],0)</f>
        <v>28</v>
      </c>
      <c r="R289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289">
        <v>1.6492388</v>
      </c>
      <c r="T289">
        <v>2.7441487000000002</v>
      </c>
      <c r="U289">
        <v>5000</v>
      </c>
      <c r="V289" s="1">
        <f>ROUND(Table1[[#This Row],[fmpce]],0)</f>
        <v>5000</v>
      </c>
      <c r="W289">
        <v>68.023319999999998</v>
      </c>
      <c r="X289" s="4">
        <f>Table1[[#This Row],[mpce]]*89</f>
        <v>6054.0754799999995</v>
      </c>
      <c r="Y289" s="2" t="s">
        <v>28</v>
      </c>
      <c r="Z289" s="3">
        <f>VLOOKUP(Y289, rmpce_reference!$B$1:$D$7,3,FALSE) * 89</f>
        <v>6230</v>
      </c>
      <c r="AA289" s="1" t="str">
        <f>IF(Table1[rmpce_inr]&lt;=rmpce_reference!$F$2, "Low Income", IF(Table1[rmpce_inr]&lt;=rmpce_reference!$F$3, "Middle Income", "High Income"))</f>
        <v>Middle Income</v>
      </c>
    </row>
    <row r="290" spans="1:27" x14ac:dyDescent="0.25">
      <c r="A290">
        <v>2033</v>
      </c>
      <c r="B290" t="s">
        <v>39</v>
      </c>
      <c r="C290" t="s">
        <v>29</v>
      </c>
      <c r="D290">
        <v>40</v>
      </c>
      <c r="E290" t="s">
        <v>22</v>
      </c>
      <c r="F290" t="s">
        <v>30</v>
      </c>
      <c r="G290">
        <v>20</v>
      </c>
      <c r="H290" s="1" t="str">
        <f>IF(Table1[[#This Row],[anxiety_score]]&lt;=10, "Normal", IF(Table1[[#This Row],[anxiety_score]]&lt;=20, "Moderate", IF(Table1[[#This Row],[anxiety_score]]&lt;=30, "Severe", "Extremely Severe")))</f>
        <v>Moderate</v>
      </c>
      <c r="I290">
        <v>0.99702360000000001</v>
      </c>
      <c r="J290">
        <v>22</v>
      </c>
      <c r="K290" s="1" t="str">
        <f>IF(Table1[[#This Row],[stress_score]]&lt;=10, "Normal", IF(Table1[[#This Row],[stress_score]]&lt;=20, "Moderate", IF(Table1[[#This Row],[stress_score]]&lt;=30, "Severe", "Extremely Severe")))</f>
        <v>Severe</v>
      </c>
      <c r="L290">
        <v>0.97880255999999999</v>
      </c>
      <c r="M290">
        <v>26</v>
      </c>
      <c r="N290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290">
        <v>1.3954502</v>
      </c>
      <c r="P290">
        <v>22.666665999999999</v>
      </c>
      <c r="Q290">
        <f>ROUND(Table1[[#This Row],[dass21_raw_score]],0)</f>
        <v>23</v>
      </c>
      <c r="R290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290">
        <v>1.1237588000000001</v>
      </c>
      <c r="T290">
        <v>2.2186686999999998</v>
      </c>
      <c r="U290">
        <v>7333.3334999999997</v>
      </c>
      <c r="V290" s="1">
        <f>ROUND(Table1[[#This Row],[fmpce]],0)</f>
        <v>7333</v>
      </c>
      <c r="W290">
        <v>99.76755</v>
      </c>
      <c r="X290" s="4">
        <f>Table1[[#This Row],[mpce]]*89</f>
        <v>8879.3119499999993</v>
      </c>
      <c r="Y290" s="2" t="s">
        <v>31</v>
      </c>
      <c r="Z290" s="3">
        <f>VLOOKUP(Y290, rmpce_reference!$B$1:$D$7,3,FALSE) * 89</f>
        <v>8010</v>
      </c>
      <c r="AA290" s="1" t="str">
        <f>IF(Table1[rmpce_inr]&lt;=rmpce_reference!$F$2, "Low Income", IF(Table1[rmpce_inr]&lt;=rmpce_reference!$F$3, "Middle Income", "High Income"))</f>
        <v>High Income</v>
      </c>
    </row>
    <row r="291" spans="1:27" x14ac:dyDescent="0.25">
      <c r="A291">
        <v>2034</v>
      </c>
      <c r="B291" t="s">
        <v>39</v>
      </c>
      <c r="C291" t="s">
        <v>36</v>
      </c>
      <c r="D291">
        <v>52</v>
      </c>
      <c r="E291" t="s">
        <v>22</v>
      </c>
      <c r="F291" t="s">
        <v>30</v>
      </c>
      <c r="G291">
        <v>22</v>
      </c>
      <c r="H291" s="1" t="str">
        <f>IF(Table1[[#This Row],[anxiety_score]]&lt;=10, "Normal", IF(Table1[[#This Row],[anxiety_score]]&lt;=20, "Moderate", IF(Table1[[#This Row],[anxiety_score]]&lt;=30, "Severe", "Extremely Severe")))</f>
        <v>Severe</v>
      </c>
      <c r="I291">
        <v>1.1980683000000001</v>
      </c>
      <c r="J291">
        <v>22</v>
      </c>
      <c r="K291" s="1" t="str">
        <f>IF(Table1[[#This Row],[stress_score]]&lt;=10, "Normal", IF(Table1[[#This Row],[stress_score]]&lt;=20, "Moderate", IF(Table1[[#This Row],[stress_score]]&lt;=30, "Severe", "Extremely Severe")))</f>
        <v>Severe</v>
      </c>
      <c r="L291">
        <v>0.97880255999999999</v>
      </c>
      <c r="M291">
        <v>20</v>
      </c>
      <c r="N291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291">
        <v>0.81753799999999999</v>
      </c>
      <c r="P291">
        <v>21.333334000000001</v>
      </c>
      <c r="Q291">
        <f>ROUND(Table1[[#This Row],[dass21_raw_score]],0)</f>
        <v>21</v>
      </c>
      <c r="R291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291">
        <v>0.99813629999999998</v>
      </c>
      <c r="T291">
        <v>2.0930461999999999</v>
      </c>
      <c r="U291">
        <v>3800</v>
      </c>
      <c r="V291" s="1">
        <f>ROUND(Table1[[#This Row],[fmpce]],0)</f>
        <v>3800</v>
      </c>
      <c r="W291">
        <v>51.697727</v>
      </c>
      <c r="X291" s="4">
        <f>Table1[[#This Row],[mpce]]*89</f>
        <v>4601.0977030000004</v>
      </c>
      <c r="Y291" s="2" t="s">
        <v>32</v>
      </c>
      <c r="Z291" s="3">
        <f>VLOOKUP(Y291, rmpce_reference!$B$1:$D$7,3,FALSE) * 89</f>
        <v>4450</v>
      </c>
      <c r="AA291" s="1" t="str">
        <f>IF(Table1[rmpce_inr]&lt;=rmpce_reference!$F$2, "Low Income", IF(Table1[rmpce_inr]&lt;=rmpce_reference!$F$3, "Middle Income", "High Income"))</f>
        <v>Low Income</v>
      </c>
    </row>
    <row r="292" spans="1:27" x14ac:dyDescent="0.25">
      <c r="A292">
        <v>2035</v>
      </c>
      <c r="B292" t="s">
        <v>39</v>
      </c>
      <c r="C292" t="s">
        <v>36</v>
      </c>
      <c r="D292">
        <v>57</v>
      </c>
      <c r="E292" t="s">
        <v>22</v>
      </c>
      <c r="F292" t="s">
        <v>23</v>
      </c>
      <c r="G292">
        <v>20</v>
      </c>
      <c r="H292" s="1" t="str">
        <f>IF(Table1[[#This Row],[anxiety_score]]&lt;=10, "Normal", IF(Table1[[#This Row],[anxiety_score]]&lt;=20, "Moderate", IF(Table1[[#This Row],[anxiety_score]]&lt;=30, "Severe", "Extremely Severe")))</f>
        <v>Moderate</v>
      </c>
      <c r="I292">
        <v>0.99702360000000001</v>
      </c>
      <c r="J292">
        <v>18</v>
      </c>
      <c r="K292" s="1" t="str">
        <f>IF(Table1[[#This Row],[stress_score]]&lt;=10, "Normal", IF(Table1[[#This Row],[stress_score]]&lt;=20, "Moderate", IF(Table1[[#This Row],[stress_score]]&lt;=30, "Severe", "Extremely Severe")))</f>
        <v>Moderate</v>
      </c>
      <c r="L292">
        <v>0.58948003999999998</v>
      </c>
      <c r="M292">
        <v>16</v>
      </c>
      <c r="N292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292">
        <v>0.43226320000000001</v>
      </c>
      <c r="P292">
        <v>18</v>
      </c>
      <c r="Q292">
        <f>ROUND(Table1[[#This Row],[dass21_raw_score]],0)</f>
        <v>18</v>
      </c>
      <c r="R292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292">
        <v>0.67292225000000006</v>
      </c>
      <c r="T292">
        <v>1.7678322</v>
      </c>
      <c r="U292">
        <v>7500</v>
      </c>
      <c r="V292" s="1">
        <f>ROUND(Table1[[#This Row],[fmpce]],0)</f>
        <v>7500</v>
      </c>
      <c r="W292">
        <v>102.03498999999999</v>
      </c>
      <c r="X292" s="4">
        <f>Table1[[#This Row],[mpce]]*89</f>
        <v>9081.1141099999986</v>
      </c>
      <c r="Y292" s="2" t="s">
        <v>35</v>
      </c>
      <c r="Z292" s="3">
        <f>VLOOKUP(Y292, rmpce_reference!$B$1:$D$7,3,FALSE) * 89</f>
        <v>9790</v>
      </c>
      <c r="AA292" s="1" t="str">
        <f>IF(Table1[rmpce_inr]&lt;=rmpce_reference!$F$2, "Low Income", IF(Table1[rmpce_inr]&lt;=rmpce_reference!$F$3, "Middle Income", "High Income"))</f>
        <v>High Income</v>
      </c>
    </row>
    <row r="293" spans="1:27" x14ac:dyDescent="0.25">
      <c r="A293">
        <v>2036</v>
      </c>
      <c r="B293" t="s">
        <v>39</v>
      </c>
      <c r="C293" t="s">
        <v>21</v>
      </c>
      <c r="D293">
        <v>50</v>
      </c>
      <c r="E293" t="s">
        <v>22</v>
      </c>
      <c r="F293" t="s">
        <v>30</v>
      </c>
      <c r="G293">
        <v>16</v>
      </c>
      <c r="H293" s="1" t="str">
        <f>IF(Table1[[#This Row],[anxiety_score]]&lt;=10, "Normal", IF(Table1[[#This Row],[anxiety_score]]&lt;=20, "Moderate", IF(Table1[[#This Row],[anxiety_score]]&lt;=30, "Severe", "Extremely Severe")))</f>
        <v>Moderate</v>
      </c>
      <c r="I293">
        <v>0.59493434000000001</v>
      </c>
      <c r="J293">
        <v>26</v>
      </c>
      <c r="K293" s="1" t="str">
        <f>IF(Table1[[#This Row],[stress_score]]&lt;=10, "Normal", IF(Table1[[#This Row],[stress_score]]&lt;=20, "Moderate", IF(Table1[[#This Row],[stress_score]]&lt;=30, "Severe", "Extremely Severe")))</f>
        <v>Severe</v>
      </c>
      <c r="L293">
        <v>1.3681251000000001</v>
      </c>
      <c r="M293">
        <v>18</v>
      </c>
      <c r="N293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293">
        <v>0.62490060000000003</v>
      </c>
      <c r="P293">
        <v>20</v>
      </c>
      <c r="Q293">
        <f>ROUND(Table1[[#This Row],[dass21_raw_score]],0)</f>
        <v>20</v>
      </c>
      <c r="R293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293">
        <v>0.86265329999999996</v>
      </c>
      <c r="T293">
        <v>1.9575632000000001</v>
      </c>
      <c r="U293">
        <v>5000</v>
      </c>
      <c r="V293" s="1">
        <f>ROUND(Table1[[#This Row],[fmpce]],0)</f>
        <v>5000</v>
      </c>
      <c r="W293">
        <v>68.023319999999998</v>
      </c>
      <c r="X293" s="4">
        <f>Table1[[#This Row],[mpce]]*89</f>
        <v>6054.0754799999995</v>
      </c>
      <c r="Y293" s="2" t="s">
        <v>28</v>
      </c>
      <c r="Z293" s="3">
        <f>VLOOKUP(Y293, rmpce_reference!$B$1:$D$7,3,FALSE) * 89</f>
        <v>6230</v>
      </c>
      <c r="AA293" s="1" t="str">
        <f>IF(Table1[rmpce_inr]&lt;=rmpce_reference!$F$2, "Low Income", IF(Table1[rmpce_inr]&lt;=rmpce_reference!$F$3, "Middle Income", "High Income"))</f>
        <v>Middle Income</v>
      </c>
    </row>
    <row r="294" spans="1:27" x14ac:dyDescent="0.25">
      <c r="A294">
        <v>2037</v>
      </c>
      <c r="B294" t="s">
        <v>39</v>
      </c>
      <c r="C294" t="s">
        <v>21</v>
      </c>
      <c r="D294">
        <v>49</v>
      </c>
      <c r="E294" t="s">
        <v>22</v>
      </c>
      <c r="F294" t="s">
        <v>23</v>
      </c>
      <c r="G294">
        <v>28</v>
      </c>
      <c r="H294" s="1" t="str">
        <f>IF(Table1[[#This Row],[anxiety_score]]&lt;=10, "Normal", IF(Table1[[#This Row],[anxiety_score]]&lt;=20, "Moderate", IF(Table1[[#This Row],[anxiety_score]]&lt;=30, "Severe", "Extremely Severe")))</f>
        <v>Severe</v>
      </c>
      <c r="I294">
        <v>1.801202</v>
      </c>
      <c r="J294">
        <v>28</v>
      </c>
      <c r="K294" s="1" t="str">
        <f>IF(Table1[[#This Row],[stress_score]]&lt;=10, "Normal", IF(Table1[[#This Row],[stress_score]]&lt;=20, "Moderate", IF(Table1[[#This Row],[stress_score]]&lt;=30, "Severe", "Extremely Severe")))</f>
        <v>Severe</v>
      </c>
      <c r="L294">
        <v>1.5627863</v>
      </c>
      <c r="M294">
        <v>32</v>
      </c>
      <c r="N294" s="1" t="str">
        <f>IF(Table1[[#This Row],[depression_score]]&lt;=10, "Normal", IF(Table1[[#This Row],[depression_score]]&lt;=20, "Moderate", IF(Table1[[#This Row],[depression_score]]&lt;=30, "Severe", "Extremely Severe")))</f>
        <v>Extremely Severe</v>
      </c>
      <c r="O294">
        <v>1.9733623</v>
      </c>
      <c r="P294">
        <v>29.333334000000001</v>
      </c>
      <c r="Q294">
        <f>ROUND(Table1[[#This Row],[dass21_raw_score]],0)</f>
        <v>29</v>
      </c>
      <c r="R294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294">
        <v>1.7791169</v>
      </c>
      <c r="T294">
        <v>2.8740268000000002</v>
      </c>
      <c r="U294">
        <v>7500</v>
      </c>
      <c r="V294" s="1">
        <f>ROUND(Table1[[#This Row],[fmpce]],0)</f>
        <v>7500</v>
      </c>
      <c r="W294">
        <v>102.03498999999999</v>
      </c>
      <c r="X294" s="4">
        <f>Table1[[#This Row],[mpce]]*89</f>
        <v>9081.1141099999986</v>
      </c>
      <c r="Y294" s="2" t="s">
        <v>35</v>
      </c>
      <c r="Z294" s="3">
        <f>VLOOKUP(Y294, rmpce_reference!$B$1:$D$7,3,FALSE) * 89</f>
        <v>9790</v>
      </c>
      <c r="AA294" s="1" t="str">
        <f>IF(Table1[rmpce_inr]&lt;=rmpce_reference!$F$2, "Low Income", IF(Table1[rmpce_inr]&lt;=rmpce_reference!$F$3, "Middle Income", "High Income"))</f>
        <v>High Income</v>
      </c>
    </row>
    <row r="295" spans="1:27" x14ac:dyDescent="0.25">
      <c r="A295">
        <v>2038</v>
      </c>
      <c r="B295" t="s">
        <v>39</v>
      </c>
      <c r="C295" t="s">
        <v>36</v>
      </c>
      <c r="D295">
        <v>59</v>
      </c>
      <c r="E295" t="s">
        <v>22</v>
      </c>
      <c r="F295" t="s">
        <v>23</v>
      </c>
      <c r="G295">
        <v>26</v>
      </c>
      <c r="H295" s="1" t="str">
        <f>IF(Table1[[#This Row],[anxiety_score]]&lt;=10, "Normal", IF(Table1[[#This Row],[anxiety_score]]&lt;=20, "Moderate", IF(Table1[[#This Row],[anxiety_score]]&lt;=30, "Severe", "Extremely Severe")))</f>
        <v>Severe</v>
      </c>
      <c r="I295">
        <v>1.6001574999999999</v>
      </c>
      <c r="J295">
        <v>32</v>
      </c>
      <c r="K295" s="1" t="str">
        <f>IF(Table1[[#This Row],[stress_score]]&lt;=10, "Normal", IF(Table1[[#This Row],[stress_score]]&lt;=20, "Moderate", IF(Table1[[#This Row],[stress_score]]&lt;=30, "Severe", "Extremely Severe")))</f>
        <v>Extremely Severe</v>
      </c>
      <c r="L295">
        <v>1.9521089</v>
      </c>
      <c r="M295">
        <v>28</v>
      </c>
      <c r="N295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295">
        <v>1.5880875999999999</v>
      </c>
      <c r="P295">
        <v>28.666665999999999</v>
      </c>
      <c r="Q295">
        <f>ROUND(Table1[[#This Row],[dass21_raw_score]],0)</f>
        <v>29</v>
      </c>
      <c r="R295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295">
        <v>1.7134513</v>
      </c>
      <c r="T295">
        <v>2.8083610000000001</v>
      </c>
      <c r="U295">
        <v>6000</v>
      </c>
      <c r="V295" s="1">
        <f>ROUND(Table1[[#This Row],[fmpce]],0)</f>
        <v>6000</v>
      </c>
      <c r="W295">
        <v>81.627989999999997</v>
      </c>
      <c r="X295" s="4">
        <f>Table1[[#This Row],[mpce]]*89</f>
        <v>7264.8911099999996</v>
      </c>
      <c r="Y295" s="2" t="s">
        <v>31</v>
      </c>
      <c r="Z295" s="3">
        <f>VLOOKUP(Y295, rmpce_reference!$B$1:$D$7,3,FALSE) * 89</f>
        <v>8010</v>
      </c>
      <c r="AA295" s="1" t="str">
        <f>IF(Table1[rmpce_inr]&lt;=rmpce_reference!$F$2, "Low Income", IF(Table1[rmpce_inr]&lt;=rmpce_reference!$F$3, "Middle Income", "High Income"))</f>
        <v>High Income</v>
      </c>
    </row>
    <row r="296" spans="1:27" x14ac:dyDescent="0.25">
      <c r="A296">
        <v>2039</v>
      </c>
      <c r="B296" t="s">
        <v>39</v>
      </c>
      <c r="C296" t="s">
        <v>36</v>
      </c>
      <c r="D296">
        <v>54</v>
      </c>
      <c r="E296" t="s">
        <v>22</v>
      </c>
      <c r="F296" t="s">
        <v>30</v>
      </c>
      <c r="G296">
        <v>20</v>
      </c>
      <c r="H296" s="1" t="str">
        <f>IF(Table1[[#This Row],[anxiety_score]]&lt;=10, "Normal", IF(Table1[[#This Row],[anxiety_score]]&lt;=20, "Moderate", IF(Table1[[#This Row],[anxiety_score]]&lt;=30, "Severe", "Extremely Severe")))</f>
        <v>Moderate</v>
      </c>
      <c r="I296">
        <v>0.99702360000000001</v>
      </c>
      <c r="J296">
        <v>18</v>
      </c>
      <c r="K296" s="1" t="str">
        <f>IF(Table1[[#This Row],[stress_score]]&lt;=10, "Normal", IF(Table1[[#This Row],[stress_score]]&lt;=20, "Moderate", IF(Table1[[#This Row],[stress_score]]&lt;=30, "Severe", "Extremely Severe")))</f>
        <v>Moderate</v>
      </c>
      <c r="L296">
        <v>0.58948003999999998</v>
      </c>
      <c r="M296">
        <v>16</v>
      </c>
      <c r="N296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296">
        <v>0.43226320000000001</v>
      </c>
      <c r="P296">
        <v>18</v>
      </c>
      <c r="Q296">
        <f>ROUND(Table1[[#This Row],[dass21_raw_score]],0)</f>
        <v>18</v>
      </c>
      <c r="R296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296">
        <v>0.67292225000000006</v>
      </c>
      <c r="T296">
        <v>1.7678322</v>
      </c>
      <c r="U296">
        <v>9000</v>
      </c>
      <c r="V296" s="1">
        <f>ROUND(Table1[[#This Row],[fmpce]],0)</f>
        <v>9000</v>
      </c>
      <c r="W296">
        <v>122.441986</v>
      </c>
      <c r="X296" s="4">
        <f>Table1[[#This Row],[mpce]]*89</f>
        <v>10897.336754</v>
      </c>
      <c r="Y296" s="2" t="s">
        <v>35</v>
      </c>
      <c r="Z296" s="3">
        <f>VLOOKUP(Y296, rmpce_reference!$B$1:$D$7,3,FALSE) * 89</f>
        <v>9790</v>
      </c>
      <c r="AA296" s="1" t="str">
        <f>IF(Table1[rmpce_inr]&lt;=rmpce_reference!$F$2, "Low Income", IF(Table1[rmpce_inr]&lt;=rmpce_reference!$F$3, "Middle Income", "High Income"))</f>
        <v>High Income</v>
      </c>
    </row>
    <row r="297" spans="1:27" x14ac:dyDescent="0.25">
      <c r="A297">
        <v>2040</v>
      </c>
      <c r="B297" t="s">
        <v>39</v>
      </c>
      <c r="C297" t="s">
        <v>36</v>
      </c>
      <c r="D297">
        <v>59</v>
      </c>
      <c r="E297" t="s">
        <v>22</v>
      </c>
      <c r="F297" t="s">
        <v>23</v>
      </c>
      <c r="G297">
        <v>14</v>
      </c>
      <c r="H297" s="1" t="str">
        <f>IF(Table1[[#This Row],[anxiety_score]]&lt;=10, "Normal", IF(Table1[[#This Row],[anxiety_score]]&lt;=20, "Moderate", IF(Table1[[#This Row],[anxiety_score]]&lt;=30, "Severe", "Extremely Severe")))</f>
        <v>Moderate</v>
      </c>
      <c r="I297">
        <v>0.39388975999999998</v>
      </c>
      <c r="J297">
        <v>16</v>
      </c>
      <c r="K297" s="1" t="str">
        <f>IF(Table1[[#This Row],[stress_score]]&lt;=10, "Normal", IF(Table1[[#This Row],[stress_score]]&lt;=20, "Moderate", IF(Table1[[#This Row],[stress_score]]&lt;=30, "Severe", "Extremely Severe")))</f>
        <v>Moderate</v>
      </c>
      <c r="L297">
        <v>0.39481880000000003</v>
      </c>
      <c r="M297">
        <v>16</v>
      </c>
      <c r="N297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297">
        <v>0.43226320000000001</v>
      </c>
      <c r="P297">
        <v>15.333333</v>
      </c>
      <c r="Q297">
        <f>ROUND(Table1[[#This Row],[dass21_raw_score]],0)</f>
        <v>15</v>
      </c>
      <c r="R297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297">
        <v>0.40699059999999998</v>
      </c>
      <c r="T297">
        <v>1.5019004</v>
      </c>
      <c r="U297">
        <v>8000</v>
      </c>
      <c r="V297" s="1">
        <f>ROUND(Table1[[#This Row],[fmpce]],0)</f>
        <v>8000</v>
      </c>
      <c r="W297">
        <v>108.83732000000001</v>
      </c>
      <c r="X297" s="4">
        <f>Table1[[#This Row],[mpce]]*89</f>
        <v>9686.5214800000012</v>
      </c>
      <c r="Y297" s="2" t="s">
        <v>35</v>
      </c>
      <c r="Z297" s="3">
        <f>VLOOKUP(Y297, rmpce_reference!$B$1:$D$7,3,FALSE) * 89</f>
        <v>9790</v>
      </c>
      <c r="AA297" s="1" t="str">
        <f>IF(Table1[rmpce_inr]&lt;=rmpce_reference!$F$2, "Low Income", IF(Table1[rmpce_inr]&lt;=rmpce_reference!$F$3, "Middle Income", "High Income"))</f>
        <v>High Income</v>
      </c>
    </row>
    <row r="298" spans="1:27" x14ac:dyDescent="0.25">
      <c r="A298">
        <v>2041</v>
      </c>
      <c r="B298" t="s">
        <v>39</v>
      </c>
      <c r="C298" t="s">
        <v>36</v>
      </c>
      <c r="D298">
        <v>54</v>
      </c>
      <c r="E298" t="s">
        <v>22</v>
      </c>
      <c r="F298" t="s">
        <v>30</v>
      </c>
      <c r="G298">
        <v>30</v>
      </c>
      <c r="H298" s="1" t="str">
        <f>IF(Table1[[#This Row],[anxiety_score]]&lt;=10, "Normal", IF(Table1[[#This Row],[anxiety_score]]&lt;=20, "Moderate", IF(Table1[[#This Row],[anxiety_score]]&lt;=30, "Severe", "Extremely Severe")))</f>
        <v>Severe</v>
      </c>
      <c r="I298">
        <v>2.0022465999999999</v>
      </c>
      <c r="J298">
        <v>26</v>
      </c>
      <c r="K298" s="1" t="str">
        <f>IF(Table1[[#This Row],[stress_score]]&lt;=10, "Normal", IF(Table1[[#This Row],[stress_score]]&lt;=20, "Moderate", IF(Table1[[#This Row],[stress_score]]&lt;=30, "Severe", "Extremely Severe")))</f>
        <v>Severe</v>
      </c>
      <c r="L298">
        <v>1.3681251000000001</v>
      </c>
      <c r="M298">
        <v>24</v>
      </c>
      <c r="N298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298">
        <v>1.2028128</v>
      </c>
      <c r="P298">
        <v>26.666665999999999</v>
      </c>
      <c r="Q298">
        <f>ROUND(Table1[[#This Row],[dass21_raw_score]],0)</f>
        <v>27</v>
      </c>
      <c r="R298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298">
        <v>1.5243949000000001</v>
      </c>
      <c r="T298">
        <v>2.6193046999999998</v>
      </c>
      <c r="U298">
        <v>6250</v>
      </c>
      <c r="V298" s="1">
        <f>ROUND(Table1[[#This Row],[fmpce]],0)</f>
        <v>6250</v>
      </c>
      <c r="W298">
        <v>85.029150000000001</v>
      </c>
      <c r="X298" s="4">
        <f>Table1[[#This Row],[mpce]]*89</f>
        <v>7567.5943500000003</v>
      </c>
      <c r="Y298" s="2" t="s">
        <v>31</v>
      </c>
      <c r="Z298" s="3">
        <f>VLOOKUP(Y298, rmpce_reference!$B$1:$D$7,3,FALSE) * 89</f>
        <v>8010</v>
      </c>
      <c r="AA298" s="1" t="str">
        <f>IF(Table1[rmpce_inr]&lt;=rmpce_reference!$F$2, "Low Income", IF(Table1[rmpce_inr]&lt;=rmpce_reference!$F$3, "Middle Income", "High Income"))</f>
        <v>High Income</v>
      </c>
    </row>
    <row r="299" spans="1:27" x14ac:dyDescent="0.25">
      <c r="A299">
        <v>2042</v>
      </c>
      <c r="B299" t="s">
        <v>39</v>
      </c>
      <c r="C299" t="s">
        <v>36</v>
      </c>
      <c r="D299">
        <v>59</v>
      </c>
      <c r="E299" t="s">
        <v>22</v>
      </c>
      <c r="F299" t="s">
        <v>23</v>
      </c>
      <c r="G299">
        <v>14</v>
      </c>
      <c r="H299" s="1" t="str">
        <f>IF(Table1[[#This Row],[anxiety_score]]&lt;=10, "Normal", IF(Table1[[#This Row],[anxiety_score]]&lt;=20, "Moderate", IF(Table1[[#This Row],[anxiety_score]]&lt;=30, "Severe", "Extremely Severe")))</f>
        <v>Moderate</v>
      </c>
      <c r="I299">
        <v>0.39388975999999998</v>
      </c>
      <c r="J299">
        <v>20</v>
      </c>
      <c r="K299" s="1" t="str">
        <f>IF(Table1[[#This Row],[stress_score]]&lt;=10, "Normal", IF(Table1[[#This Row],[stress_score]]&lt;=20, "Moderate", IF(Table1[[#This Row],[stress_score]]&lt;=30, "Severe", "Extremely Severe")))</f>
        <v>Moderate</v>
      </c>
      <c r="L299">
        <v>0.78414130000000004</v>
      </c>
      <c r="M299">
        <v>18</v>
      </c>
      <c r="N299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299">
        <v>0.62490060000000003</v>
      </c>
      <c r="P299">
        <v>17.333334000000001</v>
      </c>
      <c r="Q299">
        <f>ROUND(Table1[[#This Row],[dass21_raw_score]],0)</f>
        <v>17</v>
      </c>
      <c r="R299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299">
        <v>0.60097719999999999</v>
      </c>
      <c r="T299">
        <v>1.6958871</v>
      </c>
      <c r="U299">
        <v>7500</v>
      </c>
      <c r="V299" s="1">
        <f>ROUND(Table1[[#This Row],[fmpce]],0)</f>
        <v>7500</v>
      </c>
      <c r="W299">
        <v>102.03498999999999</v>
      </c>
      <c r="X299" s="4">
        <f>Table1[[#This Row],[mpce]]*89</f>
        <v>9081.1141099999986</v>
      </c>
      <c r="Y299" s="2" t="s">
        <v>35</v>
      </c>
      <c r="Z299" s="3">
        <f>VLOOKUP(Y299, rmpce_reference!$B$1:$D$7,3,FALSE) * 89</f>
        <v>9790</v>
      </c>
      <c r="AA299" s="1" t="str">
        <f>IF(Table1[rmpce_inr]&lt;=rmpce_reference!$F$2, "Low Income", IF(Table1[rmpce_inr]&lt;=rmpce_reference!$F$3, "Middle Income", "High Income"))</f>
        <v>High Income</v>
      </c>
    </row>
    <row r="300" spans="1:27" x14ac:dyDescent="0.25">
      <c r="A300">
        <v>2043</v>
      </c>
      <c r="B300" t="s">
        <v>39</v>
      </c>
      <c r="C300" t="s">
        <v>33</v>
      </c>
      <c r="D300">
        <v>28</v>
      </c>
      <c r="E300" t="s">
        <v>22</v>
      </c>
      <c r="F300" t="s">
        <v>30</v>
      </c>
      <c r="G300">
        <v>16</v>
      </c>
      <c r="H300" s="1" t="str">
        <f>IF(Table1[[#This Row],[anxiety_score]]&lt;=10, "Normal", IF(Table1[[#This Row],[anxiety_score]]&lt;=20, "Moderate", IF(Table1[[#This Row],[anxiety_score]]&lt;=30, "Severe", "Extremely Severe")))</f>
        <v>Moderate</v>
      </c>
      <c r="I300">
        <v>0.59493434000000001</v>
      </c>
      <c r="J300">
        <v>18</v>
      </c>
      <c r="K300" s="1" t="str">
        <f>IF(Table1[[#This Row],[stress_score]]&lt;=10, "Normal", IF(Table1[[#This Row],[stress_score]]&lt;=20, "Moderate", IF(Table1[[#This Row],[stress_score]]&lt;=30, "Severe", "Extremely Severe")))</f>
        <v>Moderate</v>
      </c>
      <c r="L300">
        <v>0.58948003999999998</v>
      </c>
      <c r="M300">
        <v>20</v>
      </c>
      <c r="N300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300">
        <v>0.81753799999999999</v>
      </c>
      <c r="P300">
        <v>18</v>
      </c>
      <c r="Q300">
        <f>ROUND(Table1[[#This Row],[dass21_raw_score]],0)</f>
        <v>18</v>
      </c>
      <c r="R300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300">
        <v>0.66731744999999998</v>
      </c>
      <c r="T300">
        <v>1.7622272999999999</v>
      </c>
      <c r="U300">
        <v>7500</v>
      </c>
      <c r="V300" s="1">
        <f>ROUND(Table1[[#This Row],[fmpce]],0)</f>
        <v>7500</v>
      </c>
      <c r="W300">
        <v>102.03498999999999</v>
      </c>
      <c r="X300" s="4">
        <f>Table1[[#This Row],[mpce]]*89</f>
        <v>9081.1141099999986</v>
      </c>
      <c r="Y300" s="2" t="s">
        <v>35</v>
      </c>
      <c r="Z300" s="3">
        <f>VLOOKUP(Y300, rmpce_reference!$B$1:$D$7,3,FALSE) * 89</f>
        <v>9790</v>
      </c>
      <c r="AA300" s="1" t="str">
        <f>IF(Table1[rmpce_inr]&lt;=rmpce_reference!$F$2, "Low Income", IF(Table1[rmpce_inr]&lt;=rmpce_reference!$F$3, "Middle Income", "High Income"))</f>
        <v>High Income</v>
      </c>
    </row>
    <row r="301" spans="1:27" x14ac:dyDescent="0.25">
      <c r="A301">
        <v>2044</v>
      </c>
      <c r="B301" t="s">
        <v>39</v>
      </c>
      <c r="C301" t="s">
        <v>33</v>
      </c>
      <c r="D301">
        <v>25</v>
      </c>
      <c r="E301" t="s">
        <v>22</v>
      </c>
      <c r="F301" t="s">
        <v>23</v>
      </c>
      <c r="G301">
        <v>36</v>
      </c>
      <c r="H301" s="1" t="str">
        <f>IF(Table1[[#This Row],[anxiety_score]]&lt;=10, "Normal", IF(Table1[[#This Row],[anxiety_score]]&lt;=20, "Moderate", IF(Table1[[#This Row],[anxiety_score]]&lt;=30, "Severe", "Extremely Severe")))</f>
        <v>Extremely Severe</v>
      </c>
      <c r="I301">
        <v>2.6053804999999999</v>
      </c>
      <c r="J301">
        <v>38</v>
      </c>
      <c r="K301" s="1" t="str">
        <f>IF(Table1[[#This Row],[stress_score]]&lt;=10, "Normal", IF(Table1[[#This Row],[stress_score]]&lt;=20, "Moderate", IF(Table1[[#This Row],[stress_score]]&lt;=30, "Severe", "Extremely Severe")))</f>
        <v>Extremely Severe</v>
      </c>
      <c r="L301">
        <v>2.5360925000000001</v>
      </c>
      <c r="M301">
        <v>32</v>
      </c>
      <c r="N301" s="1" t="str">
        <f>IF(Table1[[#This Row],[depression_score]]&lt;=10, "Normal", IF(Table1[[#This Row],[depression_score]]&lt;=20, "Moderate", IF(Table1[[#This Row],[depression_score]]&lt;=30, "Severe", "Extremely Severe")))</f>
        <v>Extremely Severe</v>
      </c>
      <c r="O301">
        <v>1.9733623</v>
      </c>
      <c r="P301">
        <v>35.333331999999999</v>
      </c>
      <c r="Q301">
        <f>ROUND(Table1[[#This Row],[dass21_raw_score]],0)</f>
        <v>35</v>
      </c>
      <c r="R301" s="1" t="str">
        <f>IF(Table1[[#This Row],[round_dass21_raw_score]]&lt;=10, "Normal", IF(Table1[[#This Row],[round_dass21_raw_score]]&lt;=20, "Moderate", IF(Table1[[#This Row],[round_dass21_raw_score]]&lt;=30, "Severe", "Extremely Severe")))</f>
        <v>Extremely Severe</v>
      </c>
      <c r="S301">
        <v>2.3716118000000002</v>
      </c>
      <c r="T301">
        <v>3.4665216999999999</v>
      </c>
      <c r="U301">
        <v>5000</v>
      </c>
      <c r="V301" s="1">
        <f>ROUND(Table1[[#This Row],[fmpce]],0)</f>
        <v>5000</v>
      </c>
      <c r="W301">
        <v>68.023319999999998</v>
      </c>
      <c r="X301" s="4">
        <f>Table1[[#This Row],[mpce]]*89</f>
        <v>6054.0754799999995</v>
      </c>
      <c r="Y301" s="2" t="s">
        <v>28</v>
      </c>
      <c r="Z301" s="3">
        <f>VLOOKUP(Y301, rmpce_reference!$B$1:$D$7,3,FALSE) * 89</f>
        <v>6230</v>
      </c>
      <c r="AA301" s="1" t="str">
        <f>IF(Table1[rmpce_inr]&lt;=rmpce_reference!$F$2, "Low Income", IF(Table1[rmpce_inr]&lt;=rmpce_reference!$F$3, "Middle Income", "High Income"))</f>
        <v>Middle Income</v>
      </c>
    </row>
    <row r="302" spans="1:27" x14ac:dyDescent="0.25">
      <c r="A302">
        <v>2045</v>
      </c>
      <c r="B302" t="s">
        <v>39</v>
      </c>
      <c r="C302" t="s">
        <v>21</v>
      </c>
      <c r="D302">
        <v>45</v>
      </c>
      <c r="E302" t="s">
        <v>22</v>
      </c>
      <c r="F302" t="s">
        <v>30</v>
      </c>
      <c r="G302">
        <v>34</v>
      </c>
      <c r="H302" s="1" t="str">
        <f>IF(Table1[[#This Row],[anxiety_score]]&lt;=10, "Normal", IF(Table1[[#This Row],[anxiety_score]]&lt;=20, "Moderate", IF(Table1[[#This Row],[anxiety_score]]&lt;=30, "Severe", "Extremely Severe")))</f>
        <v>Extremely Severe</v>
      </c>
      <c r="I302">
        <v>2.4043359999999998</v>
      </c>
      <c r="J302">
        <v>38</v>
      </c>
      <c r="K302" s="1" t="str">
        <f>IF(Table1[[#This Row],[stress_score]]&lt;=10, "Normal", IF(Table1[[#This Row],[stress_score]]&lt;=20, "Moderate", IF(Table1[[#This Row],[stress_score]]&lt;=30, "Severe", "Extremely Severe")))</f>
        <v>Extremely Severe</v>
      </c>
      <c r="L302">
        <v>2.5360925000000001</v>
      </c>
      <c r="M302">
        <v>36</v>
      </c>
      <c r="N302" s="1" t="str">
        <f>IF(Table1[[#This Row],[depression_score]]&lt;=10, "Normal", IF(Table1[[#This Row],[depression_score]]&lt;=20, "Moderate", IF(Table1[[#This Row],[depression_score]]&lt;=30, "Severe", "Extremely Severe")))</f>
        <v>Extremely Severe</v>
      </c>
      <c r="O302">
        <v>2.3586369999999999</v>
      </c>
      <c r="P302">
        <v>36</v>
      </c>
      <c r="Q302">
        <f>ROUND(Table1[[#This Row],[dass21_raw_score]],0)</f>
        <v>36</v>
      </c>
      <c r="R302" s="1" t="str">
        <f>IF(Table1[[#This Row],[round_dass21_raw_score]]&lt;=10, "Normal", IF(Table1[[#This Row],[round_dass21_raw_score]]&lt;=20, "Moderate", IF(Table1[[#This Row],[round_dass21_raw_score]]&lt;=30, "Severe", "Extremely Severe")))</f>
        <v>Extremely Severe</v>
      </c>
      <c r="S302">
        <v>2.4330218000000001</v>
      </c>
      <c r="T302">
        <v>3.5279316999999999</v>
      </c>
      <c r="U302">
        <v>5250</v>
      </c>
      <c r="V302" s="1">
        <f>ROUND(Table1[[#This Row],[fmpce]],0)</f>
        <v>5250</v>
      </c>
      <c r="W302">
        <v>71.424490000000006</v>
      </c>
      <c r="X302" s="4">
        <f>Table1[[#This Row],[mpce]]*89</f>
        <v>6356.7796100000005</v>
      </c>
      <c r="Y302" s="2" t="s">
        <v>28</v>
      </c>
      <c r="Z302" s="3">
        <f>VLOOKUP(Y302, rmpce_reference!$B$1:$D$7,3,FALSE) * 89</f>
        <v>6230</v>
      </c>
      <c r="AA302" s="1" t="str">
        <f>IF(Table1[rmpce_inr]&lt;=rmpce_reference!$F$2, "Low Income", IF(Table1[rmpce_inr]&lt;=rmpce_reference!$F$3, "Middle Income", "High Income"))</f>
        <v>Middle Income</v>
      </c>
    </row>
    <row r="303" spans="1:27" x14ac:dyDescent="0.25">
      <c r="A303">
        <v>2046</v>
      </c>
      <c r="B303" t="s">
        <v>39</v>
      </c>
      <c r="C303" t="s">
        <v>36</v>
      </c>
      <c r="D303">
        <v>55</v>
      </c>
      <c r="E303" t="s">
        <v>22</v>
      </c>
      <c r="F303" t="s">
        <v>30</v>
      </c>
      <c r="G303">
        <v>16</v>
      </c>
      <c r="H303" s="1" t="str">
        <f>IF(Table1[[#This Row],[anxiety_score]]&lt;=10, "Normal", IF(Table1[[#This Row],[anxiety_score]]&lt;=20, "Moderate", IF(Table1[[#This Row],[anxiety_score]]&lt;=30, "Severe", "Extremely Severe")))</f>
        <v>Moderate</v>
      </c>
      <c r="I303">
        <v>0.59493434000000001</v>
      </c>
      <c r="J303">
        <v>24</v>
      </c>
      <c r="K303" s="1" t="str">
        <f>IF(Table1[[#This Row],[stress_score]]&lt;=10, "Normal", IF(Table1[[#This Row],[stress_score]]&lt;=20, "Moderate", IF(Table1[[#This Row],[stress_score]]&lt;=30, "Severe", "Extremely Severe")))</f>
        <v>Severe</v>
      </c>
      <c r="L303">
        <v>1.1734637999999999</v>
      </c>
      <c r="M303">
        <v>22</v>
      </c>
      <c r="N303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303">
        <v>1.0101753</v>
      </c>
      <c r="P303">
        <v>20.666665999999999</v>
      </c>
      <c r="Q303">
        <f>ROUND(Table1[[#This Row],[dass21_raw_score]],0)</f>
        <v>21</v>
      </c>
      <c r="R303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303">
        <v>0.92619114999999996</v>
      </c>
      <c r="T303">
        <v>2.0211009999999998</v>
      </c>
      <c r="U303">
        <v>4750</v>
      </c>
      <c r="V303" s="1">
        <f>ROUND(Table1[[#This Row],[fmpce]],0)</f>
        <v>4750</v>
      </c>
      <c r="W303">
        <v>64.622153999999995</v>
      </c>
      <c r="X303" s="4">
        <f>Table1[[#This Row],[mpce]]*89</f>
        <v>5751.3717059999999</v>
      </c>
      <c r="Y303" s="2" t="s">
        <v>28</v>
      </c>
      <c r="Z303" s="3">
        <f>VLOOKUP(Y303, rmpce_reference!$B$1:$D$7,3,FALSE) * 89</f>
        <v>6230</v>
      </c>
      <c r="AA303" s="1" t="str">
        <f>IF(Table1[rmpce_inr]&lt;=rmpce_reference!$F$2, "Low Income", IF(Table1[rmpce_inr]&lt;=rmpce_reference!$F$3, "Middle Income", "High Income"))</f>
        <v>Middle Income</v>
      </c>
    </row>
    <row r="304" spans="1:27" x14ac:dyDescent="0.25">
      <c r="A304">
        <v>2047</v>
      </c>
      <c r="B304" t="s">
        <v>39</v>
      </c>
      <c r="C304" t="s">
        <v>29</v>
      </c>
      <c r="D304">
        <v>40</v>
      </c>
      <c r="E304" t="s">
        <v>22</v>
      </c>
      <c r="F304" t="s">
        <v>30</v>
      </c>
      <c r="G304">
        <v>18</v>
      </c>
      <c r="H304" s="1" t="str">
        <f>IF(Table1[[#This Row],[anxiety_score]]&lt;=10, "Normal", IF(Table1[[#This Row],[anxiety_score]]&lt;=20, "Moderate", IF(Table1[[#This Row],[anxiety_score]]&lt;=30, "Severe", "Extremely Severe")))</f>
        <v>Moderate</v>
      </c>
      <c r="I304">
        <v>0.79597896000000001</v>
      </c>
      <c r="J304">
        <v>20</v>
      </c>
      <c r="K304" s="1" t="str">
        <f>IF(Table1[[#This Row],[stress_score]]&lt;=10, "Normal", IF(Table1[[#This Row],[stress_score]]&lt;=20, "Moderate", IF(Table1[[#This Row],[stress_score]]&lt;=30, "Severe", "Extremely Severe")))</f>
        <v>Moderate</v>
      </c>
      <c r="L304">
        <v>0.78414130000000004</v>
      </c>
      <c r="M304">
        <v>28</v>
      </c>
      <c r="N304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304">
        <v>1.5880875999999999</v>
      </c>
      <c r="P304">
        <v>22</v>
      </c>
      <c r="Q304">
        <f>ROUND(Table1[[#This Row],[dass21_raw_score]],0)</f>
        <v>22</v>
      </c>
      <c r="R304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304">
        <v>1.0560693000000001</v>
      </c>
      <c r="T304">
        <v>2.150979</v>
      </c>
      <c r="U304">
        <v>5000</v>
      </c>
      <c r="V304" s="1">
        <f>ROUND(Table1[[#This Row],[fmpce]],0)</f>
        <v>5000</v>
      </c>
      <c r="W304">
        <v>68.023319999999998</v>
      </c>
      <c r="X304" s="4">
        <f>Table1[[#This Row],[mpce]]*89</f>
        <v>6054.0754799999995</v>
      </c>
      <c r="Y304" s="2" t="s">
        <v>28</v>
      </c>
      <c r="Z304" s="3">
        <f>VLOOKUP(Y304, rmpce_reference!$B$1:$D$7,3,FALSE) * 89</f>
        <v>6230</v>
      </c>
      <c r="AA304" s="1" t="str">
        <f>IF(Table1[rmpce_inr]&lt;=rmpce_reference!$F$2, "Low Income", IF(Table1[rmpce_inr]&lt;=rmpce_reference!$F$3, "Middle Income", "High Income"))</f>
        <v>Middle Income</v>
      </c>
    </row>
    <row r="305" spans="1:27" x14ac:dyDescent="0.25">
      <c r="A305">
        <v>2048</v>
      </c>
      <c r="B305" t="s">
        <v>39</v>
      </c>
      <c r="C305" t="s">
        <v>29</v>
      </c>
      <c r="D305">
        <v>32</v>
      </c>
      <c r="E305" t="s">
        <v>22</v>
      </c>
      <c r="F305" t="s">
        <v>30</v>
      </c>
      <c r="G305">
        <v>24</v>
      </c>
      <c r="H305" s="1" t="str">
        <f>IF(Table1[[#This Row],[anxiety_score]]&lt;=10, "Normal", IF(Table1[[#This Row],[anxiety_score]]&lt;=20, "Moderate", IF(Table1[[#This Row],[anxiety_score]]&lt;=30, "Severe", "Extremely Severe")))</f>
        <v>Severe</v>
      </c>
      <c r="I305">
        <v>1.3991127999999999</v>
      </c>
      <c r="J305">
        <v>24</v>
      </c>
      <c r="K305" s="1" t="str">
        <f>IF(Table1[[#This Row],[stress_score]]&lt;=10, "Normal", IF(Table1[[#This Row],[stress_score]]&lt;=20, "Moderate", IF(Table1[[#This Row],[stress_score]]&lt;=30, "Severe", "Extremely Severe")))</f>
        <v>Severe</v>
      </c>
      <c r="L305">
        <v>1.1734637999999999</v>
      </c>
      <c r="M305">
        <v>16</v>
      </c>
      <c r="N305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305">
        <v>0.43226320000000001</v>
      </c>
      <c r="P305">
        <v>21.333334000000001</v>
      </c>
      <c r="Q305">
        <f>ROUND(Table1[[#This Row],[dass21_raw_score]],0)</f>
        <v>21</v>
      </c>
      <c r="R305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305">
        <v>1.0016133</v>
      </c>
      <c r="T305">
        <v>2.0965232999999999</v>
      </c>
      <c r="U305">
        <v>5000</v>
      </c>
      <c r="V305" s="1">
        <f>ROUND(Table1[[#This Row],[fmpce]],0)</f>
        <v>5000</v>
      </c>
      <c r="W305">
        <v>68.023319999999998</v>
      </c>
      <c r="X305" s="4">
        <f>Table1[[#This Row],[mpce]]*89</f>
        <v>6054.0754799999995</v>
      </c>
      <c r="Y305" s="2" t="s">
        <v>28</v>
      </c>
      <c r="Z305" s="3">
        <f>VLOOKUP(Y305, rmpce_reference!$B$1:$D$7,3,FALSE) * 89</f>
        <v>6230</v>
      </c>
      <c r="AA305" s="1" t="str">
        <f>IF(Table1[rmpce_inr]&lt;=rmpce_reference!$F$2, "Low Income", IF(Table1[rmpce_inr]&lt;=rmpce_reference!$F$3, "Middle Income", "High Income"))</f>
        <v>Middle Income</v>
      </c>
    </row>
    <row r="306" spans="1:27" x14ac:dyDescent="0.25">
      <c r="A306">
        <v>2049</v>
      </c>
      <c r="B306" t="s">
        <v>39</v>
      </c>
      <c r="C306" t="s">
        <v>29</v>
      </c>
      <c r="D306">
        <v>36</v>
      </c>
      <c r="E306" t="s">
        <v>22</v>
      </c>
      <c r="F306" t="s">
        <v>30</v>
      </c>
      <c r="G306">
        <v>18</v>
      </c>
      <c r="H306" s="1" t="str">
        <f>IF(Table1[[#This Row],[anxiety_score]]&lt;=10, "Normal", IF(Table1[[#This Row],[anxiety_score]]&lt;=20, "Moderate", IF(Table1[[#This Row],[anxiety_score]]&lt;=30, "Severe", "Extremely Severe")))</f>
        <v>Moderate</v>
      </c>
      <c r="I306">
        <v>0.79597896000000001</v>
      </c>
      <c r="J306">
        <v>22</v>
      </c>
      <c r="K306" s="1" t="str">
        <f>IF(Table1[[#This Row],[stress_score]]&lt;=10, "Normal", IF(Table1[[#This Row],[stress_score]]&lt;=20, "Moderate", IF(Table1[[#This Row],[stress_score]]&lt;=30, "Severe", "Extremely Severe")))</f>
        <v>Severe</v>
      </c>
      <c r="L306">
        <v>0.97880255999999999</v>
      </c>
      <c r="M306">
        <v>18</v>
      </c>
      <c r="N306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306">
        <v>0.62490060000000003</v>
      </c>
      <c r="P306">
        <v>19.333334000000001</v>
      </c>
      <c r="Q306">
        <f>ROUND(Table1[[#This Row],[dass21_raw_score]],0)</f>
        <v>19</v>
      </c>
      <c r="R306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306">
        <v>0.79989403000000003</v>
      </c>
      <c r="T306">
        <v>1.8948039999999999</v>
      </c>
      <c r="U306">
        <v>3714.2856000000002</v>
      </c>
      <c r="V306" s="1">
        <f>ROUND(Table1[[#This Row],[fmpce]],0)</f>
        <v>3714</v>
      </c>
      <c r="W306">
        <v>50.531612000000003</v>
      </c>
      <c r="X306" s="4">
        <f>Table1[[#This Row],[mpce]]*89</f>
        <v>4497.3134680000003</v>
      </c>
      <c r="Y306" s="2" t="s">
        <v>32</v>
      </c>
      <c r="Z306" s="3">
        <f>VLOOKUP(Y306, rmpce_reference!$B$1:$D$7,3,FALSE) * 89</f>
        <v>4450</v>
      </c>
      <c r="AA306" s="1" t="str">
        <f>IF(Table1[rmpce_inr]&lt;=rmpce_reference!$F$2, "Low Income", IF(Table1[rmpce_inr]&lt;=rmpce_reference!$F$3, "Middle Income", "High Income"))</f>
        <v>Low Income</v>
      </c>
    </row>
    <row r="307" spans="1:27" x14ac:dyDescent="0.25">
      <c r="A307">
        <v>2050</v>
      </c>
      <c r="B307" t="s">
        <v>39</v>
      </c>
      <c r="C307" t="s">
        <v>36</v>
      </c>
      <c r="D307">
        <v>52</v>
      </c>
      <c r="E307" t="s">
        <v>22</v>
      </c>
      <c r="F307" t="s">
        <v>30</v>
      </c>
      <c r="G307">
        <v>20</v>
      </c>
      <c r="H307" s="1" t="str">
        <f>IF(Table1[[#This Row],[anxiety_score]]&lt;=10, "Normal", IF(Table1[[#This Row],[anxiety_score]]&lt;=20, "Moderate", IF(Table1[[#This Row],[anxiety_score]]&lt;=30, "Severe", "Extremely Severe")))</f>
        <v>Moderate</v>
      </c>
      <c r="I307">
        <v>0.99702360000000001</v>
      </c>
      <c r="J307">
        <v>28</v>
      </c>
      <c r="K307" s="1" t="str">
        <f>IF(Table1[[#This Row],[stress_score]]&lt;=10, "Normal", IF(Table1[[#This Row],[stress_score]]&lt;=20, "Moderate", IF(Table1[[#This Row],[stress_score]]&lt;=30, "Severe", "Extremely Severe")))</f>
        <v>Severe</v>
      </c>
      <c r="L307">
        <v>1.5627863</v>
      </c>
      <c r="M307">
        <v>20</v>
      </c>
      <c r="N307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307">
        <v>0.81753799999999999</v>
      </c>
      <c r="P307">
        <v>22.666665999999999</v>
      </c>
      <c r="Q307">
        <f>ROUND(Table1[[#This Row],[dass21_raw_score]],0)</f>
        <v>23</v>
      </c>
      <c r="R307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307">
        <v>1.1257826</v>
      </c>
      <c r="T307">
        <v>2.2206926</v>
      </c>
      <c r="U307">
        <v>5000</v>
      </c>
      <c r="V307" s="1">
        <f>ROUND(Table1[[#This Row],[fmpce]],0)</f>
        <v>5000</v>
      </c>
      <c r="W307">
        <v>68.023319999999998</v>
      </c>
      <c r="X307" s="4">
        <f>Table1[[#This Row],[mpce]]*89</f>
        <v>6054.0754799999995</v>
      </c>
      <c r="Y307" s="2" t="s">
        <v>28</v>
      </c>
      <c r="Z307" s="3">
        <f>VLOOKUP(Y307, rmpce_reference!$B$1:$D$7,3,FALSE) * 89</f>
        <v>6230</v>
      </c>
      <c r="AA307" s="1" t="str">
        <f>IF(Table1[rmpce_inr]&lt;=rmpce_reference!$F$2, "Low Income", IF(Table1[rmpce_inr]&lt;=rmpce_reference!$F$3, "Middle Income", "High Income"))</f>
        <v>Middle Income</v>
      </c>
    </row>
    <row r="308" spans="1:27" x14ac:dyDescent="0.25">
      <c r="A308">
        <v>2051</v>
      </c>
      <c r="B308" t="s">
        <v>39</v>
      </c>
      <c r="C308" t="s">
        <v>29</v>
      </c>
      <c r="D308">
        <v>40</v>
      </c>
      <c r="E308" t="s">
        <v>22</v>
      </c>
      <c r="F308" t="s">
        <v>30</v>
      </c>
      <c r="G308">
        <v>20</v>
      </c>
      <c r="H308" s="1" t="str">
        <f>IF(Table1[[#This Row],[anxiety_score]]&lt;=10, "Normal", IF(Table1[[#This Row],[anxiety_score]]&lt;=20, "Moderate", IF(Table1[[#This Row],[anxiety_score]]&lt;=30, "Severe", "Extremely Severe")))</f>
        <v>Moderate</v>
      </c>
      <c r="I308">
        <v>0.99702360000000001</v>
      </c>
      <c r="J308">
        <v>22</v>
      </c>
      <c r="K308" s="1" t="str">
        <f>IF(Table1[[#This Row],[stress_score]]&lt;=10, "Normal", IF(Table1[[#This Row],[stress_score]]&lt;=20, "Moderate", IF(Table1[[#This Row],[stress_score]]&lt;=30, "Severe", "Extremely Severe")))</f>
        <v>Severe</v>
      </c>
      <c r="L308">
        <v>0.97880255999999999</v>
      </c>
      <c r="M308">
        <v>20</v>
      </c>
      <c r="N308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308">
        <v>0.81753799999999999</v>
      </c>
      <c r="P308">
        <v>20.666665999999999</v>
      </c>
      <c r="Q308">
        <f>ROUND(Table1[[#This Row],[dass21_raw_score]],0)</f>
        <v>21</v>
      </c>
      <c r="R308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308">
        <v>0.93112139999999999</v>
      </c>
      <c r="T308">
        <v>2.0260313000000001</v>
      </c>
      <c r="U308">
        <v>5000</v>
      </c>
      <c r="V308" s="1">
        <f>ROUND(Table1[[#This Row],[fmpce]],0)</f>
        <v>5000</v>
      </c>
      <c r="W308">
        <v>68.023319999999998</v>
      </c>
      <c r="X308" s="4">
        <f>Table1[[#This Row],[mpce]]*89</f>
        <v>6054.0754799999995</v>
      </c>
      <c r="Y308" s="2" t="s">
        <v>28</v>
      </c>
      <c r="Z308" s="3">
        <f>VLOOKUP(Y308, rmpce_reference!$B$1:$D$7,3,FALSE) * 89</f>
        <v>6230</v>
      </c>
      <c r="AA308" s="1" t="str">
        <f>IF(Table1[rmpce_inr]&lt;=rmpce_reference!$F$2, "Low Income", IF(Table1[rmpce_inr]&lt;=rmpce_reference!$F$3, "Middle Income", "High Income"))</f>
        <v>Middle Income</v>
      </c>
    </row>
    <row r="309" spans="1:27" x14ac:dyDescent="0.25">
      <c r="A309">
        <v>2052</v>
      </c>
      <c r="B309" t="s">
        <v>39</v>
      </c>
      <c r="C309" t="s">
        <v>36</v>
      </c>
      <c r="D309">
        <v>53</v>
      </c>
      <c r="E309" t="s">
        <v>22</v>
      </c>
      <c r="F309" t="s">
        <v>30</v>
      </c>
      <c r="G309">
        <v>20</v>
      </c>
      <c r="H309" s="1" t="str">
        <f>IF(Table1[[#This Row],[anxiety_score]]&lt;=10, "Normal", IF(Table1[[#This Row],[anxiety_score]]&lt;=20, "Moderate", IF(Table1[[#This Row],[anxiety_score]]&lt;=30, "Severe", "Extremely Severe")))</f>
        <v>Moderate</v>
      </c>
      <c r="I309">
        <v>0.99702360000000001</v>
      </c>
      <c r="J309">
        <v>18</v>
      </c>
      <c r="K309" s="1" t="str">
        <f>IF(Table1[[#This Row],[stress_score]]&lt;=10, "Normal", IF(Table1[[#This Row],[stress_score]]&lt;=20, "Moderate", IF(Table1[[#This Row],[stress_score]]&lt;=30, "Severe", "Extremely Severe")))</f>
        <v>Moderate</v>
      </c>
      <c r="L309">
        <v>0.58948003999999998</v>
      </c>
      <c r="M309">
        <v>24</v>
      </c>
      <c r="N309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309">
        <v>1.2028128</v>
      </c>
      <c r="P309">
        <v>20.666665999999999</v>
      </c>
      <c r="Q309">
        <f>ROUND(Table1[[#This Row],[dass21_raw_score]],0)</f>
        <v>21</v>
      </c>
      <c r="R309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309">
        <v>0.92977213999999997</v>
      </c>
      <c r="T309">
        <v>2.0246819999999999</v>
      </c>
      <c r="U309">
        <v>4000</v>
      </c>
      <c r="V309" s="1">
        <f>ROUND(Table1[[#This Row],[fmpce]],0)</f>
        <v>4000</v>
      </c>
      <c r="W309">
        <v>54.418660000000003</v>
      </c>
      <c r="X309" s="4">
        <f>Table1[[#This Row],[mpce]]*89</f>
        <v>4843.2607400000006</v>
      </c>
      <c r="Y309" s="2" t="s">
        <v>32</v>
      </c>
      <c r="Z309" s="3">
        <f>VLOOKUP(Y309, rmpce_reference!$B$1:$D$7,3,FALSE) * 89</f>
        <v>4450</v>
      </c>
      <c r="AA309" s="1" t="str">
        <f>IF(Table1[rmpce_inr]&lt;=rmpce_reference!$F$2, "Low Income", IF(Table1[rmpce_inr]&lt;=rmpce_reference!$F$3, "Middle Income", "High Income"))</f>
        <v>Low Income</v>
      </c>
    </row>
    <row r="310" spans="1:27" x14ac:dyDescent="0.25">
      <c r="A310">
        <v>2053</v>
      </c>
      <c r="B310" t="s">
        <v>39</v>
      </c>
      <c r="C310" t="s">
        <v>36</v>
      </c>
      <c r="D310">
        <v>52</v>
      </c>
      <c r="E310" t="s">
        <v>22</v>
      </c>
      <c r="F310" t="s">
        <v>30</v>
      </c>
      <c r="G310">
        <v>20</v>
      </c>
      <c r="H310" s="1" t="str">
        <f>IF(Table1[[#This Row],[anxiety_score]]&lt;=10, "Normal", IF(Table1[[#This Row],[anxiety_score]]&lt;=20, "Moderate", IF(Table1[[#This Row],[anxiety_score]]&lt;=30, "Severe", "Extremely Severe")))</f>
        <v>Moderate</v>
      </c>
      <c r="I310">
        <v>0.99702360000000001</v>
      </c>
      <c r="J310">
        <v>30</v>
      </c>
      <c r="K310" s="1" t="str">
        <f>IF(Table1[[#This Row],[stress_score]]&lt;=10, "Normal", IF(Table1[[#This Row],[stress_score]]&lt;=20, "Moderate", IF(Table1[[#This Row],[stress_score]]&lt;=30, "Severe", "Extremely Severe")))</f>
        <v>Severe</v>
      </c>
      <c r="L310">
        <v>1.7574476000000001</v>
      </c>
      <c r="M310">
        <v>24</v>
      </c>
      <c r="N310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310">
        <v>1.2028128</v>
      </c>
      <c r="P310">
        <v>24.666665999999999</v>
      </c>
      <c r="Q310">
        <f>ROUND(Table1[[#This Row],[dass21_raw_score]],0)</f>
        <v>25</v>
      </c>
      <c r="R310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310">
        <v>1.3190947</v>
      </c>
      <c r="T310">
        <v>2.4140046000000002</v>
      </c>
      <c r="U310">
        <v>6250</v>
      </c>
      <c r="V310" s="1">
        <f>ROUND(Table1[[#This Row],[fmpce]],0)</f>
        <v>6250</v>
      </c>
      <c r="W310">
        <v>85.029150000000001</v>
      </c>
      <c r="X310" s="4">
        <f>Table1[[#This Row],[mpce]]*89</f>
        <v>7567.5943500000003</v>
      </c>
      <c r="Y310" s="2" t="s">
        <v>31</v>
      </c>
      <c r="Z310" s="3">
        <f>VLOOKUP(Y310, rmpce_reference!$B$1:$D$7,3,FALSE) * 89</f>
        <v>8010</v>
      </c>
      <c r="AA310" s="1" t="str">
        <f>IF(Table1[rmpce_inr]&lt;=rmpce_reference!$F$2, "Low Income", IF(Table1[rmpce_inr]&lt;=rmpce_reference!$F$3, "Middle Income", "High Income"))</f>
        <v>High Income</v>
      </c>
    </row>
    <row r="311" spans="1:27" x14ac:dyDescent="0.25">
      <c r="A311">
        <v>2054</v>
      </c>
      <c r="B311" t="s">
        <v>39</v>
      </c>
      <c r="C311" t="s">
        <v>29</v>
      </c>
      <c r="D311">
        <v>36</v>
      </c>
      <c r="E311" t="s">
        <v>22</v>
      </c>
      <c r="F311" t="s">
        <v>37</v>
      </c>
      <c r="G311">
        <v>30</v>
      </c>
      <c r="H311" s="1" t="str">
        <f>IF(Table1[[#This Row],[anxiety_score]]&lt;=10, "Normal", IF(Table1[[#This Row],[anxiety_score]]&lt;=20, "Moderate", IF(Table1[[#This Row],[anxiety_score]]&lt;=30, "Severe", "Extremely Severe")))</f>
        <v>Severe</v>
      </c>
      <c r="I311">
        <v>2.0022465999999999</v>
      </c>
      <c r="J311">
        <v>28</v>
      </c>
      <c r="K311" s="1" t="str">
        <f>IF(Table1[[#This Row],[stress_score]]&lt;=10, "Normal", IF(Table1[[#This Row],[stress_score]]&lt;=20, "Moderate", IF(Table1[[#This Row],[stress_score]]&lt;=30, "Severe", "Extremely Severe")))</f>
        <v>Severe</v>
      </c>
      <c r="L311">
        <v>1.5627863</v>
      </c>
      <c r="M311">
        <v>28</v>
      </c>
      <c r="N311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311">
        <v>1.5880875999999999</v>
      </c>
      <c r="P311">
        <v>28.666665999999999</v>
      </c>
      <c r="Q311">
        <f>ROUND(Table1[[#This Row],[dass21_raw_score]],0)</f>
        <v>29</v>
      </c>
      <c r="R311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311">
        <v>1.7177068</v>
      </c>
      <c r="T311">
        <v>2.8126167999999998</v>
      </c>
      <c r="U311">
        <v>4750</v>
      </c>
      <c r="V311" s="1">
        <f>ROUND(Table1[[#This Row],[fmpce]],0)</f>
        <v>4750</v>
      </c>
      <c r="W311">
        <v>64.622153999999995</v>
      </c>
      <c r="X311" s="4">
        <f>Table1[[#This Row],[mpce]]*89</f>
        <v>5751.3717059999999</v>
      </c>
      <c r="Y311" s="2" t="s">
        <v>28</v>
      </c>
      <c r="Z311" s="3">
        <f>VLOOKUP(Y311, rmpce_reference!$B$1:$D$7,3,FALSE) * 89</f>
        <v>6230</v>
      </c>
      <c r="AA311" s="1" t="str">
        <f>IF(Table1[rmpce_inr]&lt;=rmpce_reference!$F$2, "Low Income", IF(Table1[rmpce_inr]&lt;=rmpce_reference!$F$3, "Middle Income", "High Income"))</f>
        <v>Middle Income</v>
      </c>
    </row>
    <row r="312" spans="1:27" x14ac:dyDescent="0.25">
      <c r="A312">
        <v>2055</v>
      </c>
      <c r="B312" t="s">
        <v>39</v>
      </c>
      <c r="C312" t="s">
        <v>21</v>
      </c>
      <c r="D312">
        <v>50</v>
      </c>
      <c r="E312" t="s">
        <v>22</v>
      </c>
      <c r="F312" t="s">
        <v>23</v>
      </c>
      <c r="G312">
        <v>20</v>
      </c>
      <c r="H312" s="1" t="str">
        <f>IF(Table1[[#This Row],[anxiety_score]]&lt;=10, "Normal", IF(Table1[[#This Row],[anxiety_score]]&lt;=20, "Moderate", IF(Table1[[#This Row],[anxiety_score]]&lt;=30, "Severe", "Extremely Severe")))</f>
        <v>Moderate</v>
      </c>
      <c r="I312">
        <v>0.99702360000000001</v>
      </c>
      <c r="J312">
        <v>26</v>
      </c>
      <c r="K312" s="1" t="str">
        <f>IF(Table1[[#This Row],[stress_score]]&lt;=10, "Normal", IF(Table1[[#This Row],[stress_score]]&lt;=20, "Moderate", IF(Table1[[#This Row],[stress_score]]&lt;=30, "Severe", "Extremely Severe")))</f>
        <v>Severe</v>
      </c>
      <c r="L312">
        <v>1.3681251000000001</v>
      </c>
      <c r="M312">
        <v>16</v>
      </c>
      <c r="N312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312">
        <v>0.43226320000000001</v>
      </c>
      <c r="P312">
        <v>20.666665999999999</v>
      </c>
      <c r="Q312">
        <f>ROUND(Table1[[#This Row],[dass21_raw_score]],0)</f>
        <v>21</v>
      </c>
      <c r="R312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312">
        <v>0.93247060000000004</v>
      </c>
      <c r="T312">
        <v>2.0273805</v>
      </c>
      <c r="U312">
        <v>7000</v>
      </c>
      <c r="V312" s="1">
        <f>ROUND(Table1[[#This Row],[fmpce]],0)</f>
        <v>7000</v>
      </c>
      <c r="W312">
        <v>95.232650000000007</v>
      </c>
      <c r="X312" s="4">
        <f>Table1[[#This Row],[mpce]]*89</f>
        <v>8475.7058500000003</v>
      </c>
      <c r="Y312" s="2" t="s">
        <v>31</v>
      </c>
      <c r="Z312" s="3">
        <f>VLOOKUP(Y312, rmpce_reference!$B$1:$D$7,3,FALSE) * 89</f>
        <v>8010</v>
      </c>
      <c r="AA312" s="1" t="str">
        <f>IF(Table1[rmpce_inr]&lt;=rmpce_reference!$F$2, "Low Income", IF(Table1[rmpce_inr]&lt;=rmpce_reference!$F$3, "Middle Income", "High Income"))</f>
        <v>High Income</v>
      </c>
    </row>
    <row r="313" spans="1:27" x14ac:dyDescent="0.25">
      <c r="A313">
        <v>2056</v>
      </c>
      <c r="B313" t="s">
        <v>39</v>
      </c>
      <c r="C313" t="s">
        <v>21</v>
      </c>
      <c r="D313">
        <v>49</v>
      </c>
      <c r="E313" t="s">
        <v>22</v>
      </c>
      <c r="F313" t="s">
        <v>30</v>
      </c>
      <c r="G313">
        <v>26</v>
      </c>
      <c r="H313" s="1" t="str">
        <f>IF(Table1[[#This Row],[anxiety_score]]&lt;=10, "Normal", IF(Table1[[#This Row],[anxiety_score]]&lt;=20, "Moderate", IF(Table1[[#This Row],[anxiety_score]]&lt;=30, "Severe", "Extremely Severe")))</f>
        <v>Severe</v>
      </c>
      <c r="I313">
        <v>1.6001574999999999</v>
      </c>
      <c r="J313">
        <v>30</v>
      </c>
      <c r="K313" s="1" t="str">
        <f>IF(Table1[[#This Row],[stress_score]]&lt;=10, "Normal", IF(Table1[[#This Row],[stress_score]]&lt;=20, "Moderate", IF(Table1[[#This Row],[stress_score]]&lt;=30, "Severe", "Extremely Severe")))</f>
        <v>Severe</v>
      </c>
      <c r="L313">
        <v>1.7574476000000001</v>
      </c>
      <c r="M313">
        <v>32</v>
      </c>
      <c r="N313" s="1" t="str">
        <f>IF(Table1[[#This Row],[depression_score]]&lt;=10, "Normal", IF(Table1[[#This Row],[depression_score]]&lt;=20, "Moderate", IF(Table1[[#This Row],[depression_score]]&lt;=30, "Severe", "Extremely Severe")))</f>
        <v>Extremely Severe</v>
      </c>
      <c r="O313">
        <v>1.9733623</v>
      </c>
      <c r="P313">
        <v>29.333334000000001</v>
      </c>
      <c r="Q313">
        <f>ROUND(Table1[[#This Row],[dass21_raw_score]],0)</f>
        <v>29</v>
      </c>
      <c r="R313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313">
        <v>1.7769891</v>
      </c>
      <c r="T313">
        <v>2.8718990999999998</v>
      </c>
      <c r="U313">
        <v>10000</v>
      </c>
      <c r="V313" s="1">
        <f>ROUND(Table1[[#This Row],[fmpce]],0)</f>
        <v>10000</v>
      </c>
      <c r="W313">
        <v>136.04665</v>
      </c>
      <c r="X313" s="4">
        <f>Table1[[#This Row],[mpce]]*89</f>
        <v>12108.15185</v>
      </c>
      <c r="Y313" s="2" t="s">
        <v>35</v>
      </c>
      <c r="Z313" s="3">
        <f>VLOOKUP(Y313, rmpce_reference!$B$1:$D$7,3,FALSE) * 89</f>
        <v>9790</v>
      </c>
      <c r="AA313" s="1" t="str">
        <f>IF(Table1[rmpce_inr]&lt;=rmpce_reference!$F$2, "Low Income", IF(Table1[rmpce_inr]&lt;=rmpce_reference!$F$3, "Middle Income", "High Income"))</f>
        <v>High Income</v>
      </c>
    </row>
    <row r="314" spans="1:27" x14ac:dyDescent="0.25">
      <c r="A314">
        <v>2057</v>
      </c>
      <c r="B314" t="s">
        <v>39</v>
      </c>
      <c r="C314" t="s">
        <v>36</v>
      </c>
      <c r="D314">
        <v>57</v>
      </c>
      <c r="E314" t="s">
        <v>22</v>
      </c>
      <c r="F314" t="s">
        <v>30</v>
      </c>
      <c r="G314">
        <v>26</v>
      </c>
      <c r="H314" s="1" t="str">
        <f>IF(Table1[[#This Row],[anxiety_score]]&lt;=10, "Normal", IF(Table1[[#This Row],[anxiety_score]]&lt;=20, "Moderate", IF(Table1[[#This Row],[anxiety_score]]&lt;=30, "Severe", "Extremely Severe")))</f>
        <v>Severe</v>
      </c>
      <c r="I314">
        <v>1.6001574999999999</v>
      </c>
      <c r="J314">
        <v>30</v>
      </c>
      <c r="K314" s="1" t="str">
        <f>IF(Table1[[#This Row],[stress_score]]&lt;=10, "Normal", IF(Table1[[#This Row],[stress_score]]&lt;=20, "Moderate", IF(Table1[[#This Row],[stress_score]]&lt;=30, "Severe", "Extremely Severe")))</f>
        <v>Severe</v>
      </c>
      <c r="L314">
        <v>1.7574476000000001</v>
      </c>
      <c r="M314">
        <v>30</v>
      </c>
      <c r="N314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314">
        <v>1.7807249999999999</v>
      </c>
      <c r="P314">
        <v>28.666665999999999</v>
      </c>
      <c r="Q314">
        <f>ROUND(Table1[[#This Row],[dass21_raw_score]],0)</f>
        <v>29</v>
      </c>
      <c r="R314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314">
        <v>1.7127767</v>
      </c>
      <c r="T314">
        <v>2.8076865999999998</v>
      </c>
      <c r="U314">
        <v>6333.3334999999997</v>
      </c>
      <c r="V314" s="1">
        <f>ROUND(Table1[[#This Row],[fmpce]],0)</f>
        <v>6333</v>
      </c>
      <c r="W314">
        <v>86.162880000000001</v>
      </c>
      <c r="X314" s="4">
        <f>Table1[[#This Row],[mpce]]*89</f>
        <v>7668.4963200000002</v>
      </c>
      <c r="Y314" s="2" t="s">
        <v>31</v>
      </c>
      <c r="Z314" s="3">
        <f>VLOOKUP(Y314, rmpce_reference!$B$1:$D$7,3,FALSE) * 89</f>
        <v>8010</v>
      </c>
      <c r="AA314" s="1" t="str">
        <f>IF(Table1[rmpce_inr]&lt;=rmpce_reference!$F$2, "Low Income", IF(Table1[rmpce_inr]&lt;=rmpce_reference!$F$3, "Middle Income", "High Income"))</f>
        <v>High Income</v>
      </c>
    </row>
    <row r="315" spans="1:27" x14ac:dyDescent="0.25">
      <c r="A315">
        <v>2058</v>
      </c>
      <c r="B315" t="s">
        <v>39</v>
      </c>
      <c r="C315" t="s">
        <v>21</v>
      </c>
      <c r="D315">
        <v>48</v>
      </c>
      <c r="E315" t="s">
        <v>22</v>
      </c>
      <c r="F315" t="s">
        <v>30</v>
      </c>
      <c r="G315">
        <v>26</v>
      </c>
      <c r="H315" s="1" t="str">
        <f>IF(Table1[[#This Row],[anxiety_score]]&lt;=10, "Normal", IF(Table1[[#This Row],[anxiety_score]]&lt;=20, "Moderate", IF(Table1[[#This Row],[anxiety_score]]&lt;=30, "Severe", "Extremely Severe")))</f>
        <v>Severe</v>
      </c>
      <c r="I315">
        <v>1.6001574999999999</v>
      </c>
      <c r="J315">
        <v>30</v>
      </c>
      <c r="K315" s="1" t="str">
        <f>IF(Table1[[#This Row],[stress_score]]&lt;=10, "Normal", IF(Table1[[#This Row],[stress_score]]&lt;=20, "Moderate", IF(Table1[[#This Row],[stress_score]]&lt;=30, "Severe", "Extremely Severe")))</f>
        <v>Severe</v>
      </c>
      <c r="L315">
        <v>1.7574476000000001</v>
      </c>
      <c r="M315">
        <v>28</v>
      </c>
      <c r="N315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315">
        <v>1.5880875999999999</v>
      </c>
      <c r="P315">
        <v>28</v>
      </c>
      <c r="Q315">
        <f>ROUND(Table1[[#This Row],[dass21_raw_score]],0)</f>
        <v>28</v>
      </c>
      <c r="R315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315">
        <v>1.6485642</v>
      </c>
      <c r="T315">
        <v>2.743474</v>
      </c>
      <c r="U315">
        <v>5000</v>
      </c>
      <c r="V315" s="1">
        <f>ROUND(Table1[[#This Row],[fmpce]],0)</f>
        <v>5000</v>
      </c>
      <c r="W315">
        <v>68.023319999999998</v>
      </c>
      <c r="X315" s="4">
        <f>Table1[[#This Row],[mpce]]*89</f>
        <v>6054.0754799999995</v>
      </c>
      <c r="Y315" s="2" t="s">
        <v>28</v>
      </c>
      <c r="Z315" s="3">
        <f>VLOOKUP(Y315, rmpce_reference!$B$1:$D$7,3,FALSE) * 89</f>
        <v>6230</v>
      </c>
      <c r="AA315" s="1" t="str">
        <f>IF(Table1[rmpce_inr]&lt;=rmpce_reference!$F$2, "Low Income", IF(Table1[rmpce_inr]&lt;=rmpce_reference!$F$3, "Middle Income", "High Income"))</f>
        <v>Middle Income</v>
      </c>
    </row>
    <row r="316" spans="1:27" x14ac:dyDescent="0.25">
      <c r="A316">
        <v>2059</v>
      </c>
      <c r="B316" t="s">
        <v>39</v>
      </c>
      <c r="C316" t="s">
        <v>36</v>
      </c>
      <c r="D316">
        <v>54</v>
      </c>
      <c r="E316" t="s">
        <v>22</v>
      </c>
      <c r="F316" t="s">
        <v>30</v>
      </c>
      <c r="G316">
        <v>22</v>
      </c>
      <c r="H316" s="1" t="str">
        <f>IF(Table1[[#This Row],[anxiety_score]]&lt;=10, "Normal", IF(Table1[[#This Row],[anxiety_score]]&lt;=20, "Moderate", IF(Table1[[#This Row],[anxiety_score]]&lt;=30, "Severe", "Extremely Severe")))</f>
        <v>Severe</v>
      </c>
      <c r="I316">
        <v>1.1980683000000001</v>
      </c>
      <c r="J316">
        <v>22</v>
      </c>
      <c r="K316" s="1" t="str">
        <f>IF(Table1[[#This Row],[stress_score]]&lt;=10, "Normal", IF(Table1[[#This Row],[stress_score]]&lt;=20, "Moderate", IF(Table1[[#This Row],[stress_score]]&lt;=30, "Severe", "Extremely Severe")))</f>
        <v>Severe</v>
      </c>
      <c r="L316">
        <v>0.97880255999999999</v>
      </c>
      <c r="M316">
        <v>28</v>
      </c>
      <c r="N316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316">
        <v>1.5880875999999999</v>
      </c>
      <c r="P316">
        <v>24</v>
      </c>
      <c r="Q316">
        <f>ROUND(Table1[[#This Row],[dass21_raw_score]],0)</f>
        <v>24</v>
      </c>
      <c r="R316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316">
        <v>1.2549862000000001</v>
      </c>
      <c r="T316">
        <v>2.3498960000000002</v>
      </c>
      <c r="U316">
        <v>4400</v>
      </c>
      <c r="V316" s="1">
        <f>ROUND(Table1[[#This Row],[fmpce]],0)</f>
        <v>4400</v>
      </c>
      <c r="W316">
        <v>59.860523000000001</v>
      </c>
      <c r="X316" s="4">
        <f>Table1[[#This Row],[mpce]]*89</f>
        <v>5327.5865469999999</v>
      </c>
      <c r="Y316" s="2" t="s">
        <v>32</v>
      </c>
      <c r="Z316" s="3">
        <f>VLOOKUP(Y316, rmpce_reference!$B$1:$D$7,3,FALSE) * 89</f>
        <v>4450</v>
      </c>
      <c r="AA316" s="1" t="str">
        <f>IF(Table1[rmpce_inr]&lt;=rmpce_reference!$F$2, "Low Income", IF(Table1[rmpce_inr]&lt;=rmpce_reference!$F$3, "Middle Income", "High Income"))</f>
        <v>Low Income</v>
      </c>
    </row>
    <row r="317" spans="1:27" x14ac:dyDescent="0.25">
      <c r="A317">
        <v>2060</v>
      </c>
      <c r="B317" t="s">
        <v>39</v>
      </c>
      <c r="C317" t="s">
        <v>36</v>
      </c>
      <c r="D317">
        <v>58</v>
      </c>
      <c r="E317" t="s">
        <v>22</v>
      </c>
      <c r="F317" t="s">
        <v>30</v>
      </c>
      <c r="G317">
        <v>12</v>
      </c>
      <c r="H317" s="1" t="str">
        <f>IF(Table1[[#This Row],[anxiety_score]]&lt;=10, "Normal", IF(Table1[[#This Row],[anxiety_score]]&lt;=20, "Moderate", IF(Table1[[#This Row],[anxiety_score]]&lt;=30, "Severe", "Extremely Severe")))</f>
        <v>Moderate</v>
      </c>
      <c r="I317">
        <v>0.19284514999999999</v>
      </c>
      <c r="J317">
        <v>16</v>
      </c>
      <c r="K317" s="1" t="str">
        <f>IF(Table1[[#This Row],[stress_score]]&lt;=10, "Normal", IF(Table1[[#This Row],[stress_score]]&lt;=20, "Moderate", IF(Table1[[#This Row],[stress_score]]&lt;=30, "Severe", "Extremely Severe")))</f>
        <v>Moderate</v>
      </c>
      <c r="L317">
        <v>0.39481880000000003</v>
      </c>
      <c r="M317">
        <v>16</v>
      </c>
      <c r="N317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317">
        <v>0.43226320000000001</v>
      </c>
      <c r="P317">
        <v>14.666667</v>
      </c>
      <c r="Q317">
        <f>ROUND(Table1[[#This Row],[dass21_raw_score]],0)</f>
        <v>15</v>
      </c>
      <c r="R317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317">
        <v>0.33997569999999999</v>
      </c>
      <c r="T317">
        <v>1.4348856000000001</v>
      </c>
      <c r="U317">
        <v>7000</v>
      </c>
      <c r="V317" s="1">
        <f>ROUND(Table1[[#This Row],[fmpce]],0)</f>
        <v>7000</v>
      </c>
      <c r="W317">
        <v>95.232650000000007</v>
      </c>
      <c r="X317" s="4">
        <f>Table1[[#This Row],[mpce]]*89</f>
        <v>8475.7058500000003</v>
      </c>
      <c r="Y317" s="2" t="s">
        <v>31</v>
      </c>
      <c r="Z317" s="3">
        <f>VLOOKUP(Y317, rmpce_reference!$B$1:$D$7,3,FALSE) * 89</f>
        <v>8010</v>
      </c>
      <c r="AA317" s="1" t="str">
        <f>IF(Table1[rmpce_inr]&lt;=rmpce_reference!$F$2, "Low Income", IF(Table1[rmpce_inr]&lt;=rmpce_reference!$F$3, "Middle Income", "High Income"))</f>
        <v>High Income</v>
      </c>
    </row>
    <row r="318" spans="1:27" x14ac:dyDescent="0.25">
      <c r="A318">
        <v>2061</v>
      </c>
      <c r="B318" t="s">
        <v>39</v>
      </c>
      <c r="C318" t="s">
        <v>21</v>
      </c>
      <c r="D318">
        <v>45</v>
      </c>
      <c r="E318" t="s">
        <v>25</v>
      </c>
      <c r="F318" t="s">
        <v>27</v>
      </c>
      <c r="G318">
        <v>4</v>
      </c>
      <c r="H318" s="1" t="str">
        <f>IF(Table1[[#This Row],[anxiety_score]]&lt;=10, "Normal", IF(Table1[[#This Row],[anxiety_score]]&lt;=20, "Moderate", IF(Table1[[#This Row],[anxiety_score]]&lt;=30, "Severe", "Extremely Severe")))</f>
        <v>Normal</v>
      </c>
      <c r="I318">
        <v>-0.61133329999999997</v>
      </c>
      <c r="J318">
        <v>8</v>
      </c>
      <c r="K318" s="1" t="str">
        <f>IF(Table1[[#This Row],[stress_score]]&lt;=10, "Normal", IF(Table1[[#This Row],[stress_score]]&lt;=20, "Moderate", IF(Table1[[#This Row],[stress_score]]&lt;=30, "Severe", "Extremely Severe")))</f>
        <v>Normal</v>
      </c>
      <c r="L318">
        <v>-0.38382620000000001</v>
      </c>
      <c r="M318">
        <v>12</v>
      </c>
      <c r="N318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318">
        <v>4.6988415999999998E-2</v>
      </c>
      <c r="P318">
        <v>8</v>
      </c>
      <c r="Q318">
        <f>ROUND(Table1[[#This Row],[dass21_raw_score]],0)</f>
        <v>8</v>
      </c>
      <c r="R318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318">
        <v>-0.31605703000000002</v>
      </c>
      <c r="T318">
        <v>0.77885289999999996</v>
      </c>
      <c r="U318">
        <v>2500</v>
      </c>
      <c r="V318" s="1">
        <f>ROUND(Table1[[#This Row],[fmpce]],0)</f>
        <v>2500</v>
      </c>
      <c r="W318">
        <v>34.011659999999999</v>
      </c>
      <c r="X318" s="4">
        <f>Table1[[#This Row],[mpce]]*89</f>
        <v>3027.0377399999998</v>
      </c>
      <c r="Y318" s="2" t="s">
        <v>34</v>
      </c>
      <c r="Z318" s="3">
        <f>VLOOKUP(Y318, rmpce_reference!$B$1:$D$7,3,FALSE) * 89</f>
        <v>2848</v>
      </c>
      <c r="AA318" s="1" t="str">
        <f>IF(Table1[rmpce_inr]&lt;=rmpce_reference!$F$2, "Low Income", IF(Table1[rmpce_inr]&lt;=rmpce_reference!$F$3, "Middle Income", "High Income"))</f>
        <v>Low Income</v>
      </c>
    </row>
    <row r="319" spans="1:27" x14ac:dyDescent="0.25">
      <c r="A319">
        <v>2062</v>
      </c>
      <c r="B319" t="s">
        <v>39</v>
      </c>
      <c r="C319" t="s">
        <v>29</v>
      </c>
      <c r="D319">
        <v>35</v>
      </c>
      <c r="E319" t="s">
        <v>25</v>
      </c>
      <c r="F319" t="s">
        <v>27</v>
      </c>
      <c r="G319">
        <v>6</v>
      </c>
      <c r="H319" s="1" t="str">
        <f>IF(Table1[[#This Row],[anxiety_score]]&lt;=10, "Normal", IF(Table1[[#This Row],[anxiety_score]]&lt;=20, "Moderate", IF(Table1[[#This Row],[anxiety_score]]&lt;=30, "Severe", "Extremely Severe")))</f>
        <v>Normal</v>
      </c>
      <c r="I319">
        <v>-0.41028870000000001</v>
      </c>
      <c r="J319">
        <v>8</v>
      </c>
      <c r="K319" s="1" t="str">
        <f>IF(Table1[[#This Row],[stress_score]]&lt;=10, "Normal", IF(Table1[[#This Row],[stress_score]]&lt;=20, "Moderate", IF(Table1[[#This Row],[stress_score]]&lt;=30, "Severe", "Extremely Severe")))</f>
        <v>Normal</v>
      </c>
      <c r="L319">
        <v>-0.38382620000000001</v>
      </c>
      <c r="M319">
        <v>16</v>
      </c>
      <c r="N319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319">
        <v>0.43226320000000001</v>
      </c>
      <c r="P319">
        <v>10</v>
      </c>
      <c r="Q319">
        <f>ROUND(Table1[[#This Row],[dass21_raw_score]],0)</f>
        <v>10</v>
      </c>
      <c r="R319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319">
        <v>-0.12061723000000001</v>
      </c>
      <c r="T319">
        <v>0.97429270000000001</v>
      </c>
      <c r="U319">
        <v>2500</v>
      </c>
      <c r="V319" s="1">
        <f>ROUND(Table1[[#This Row],[fmpce]],0)</f>
        <v>2500</v>
      </c>
      <c r="W319">
        <v>34.011659999999999</v>
      </c>
      <c r="X319" s="4">
        <f>Table1[[#This Row],[mpce]]*89</f>
        <v>3027.0377399999998</v>
      </c>
      <c r="Y319" s="2" t="s">
        <v>34</v>
      </c>
      <c r="Z319" s="3">
        <f>VLOOKUP(Y319, rmpce_reference!$B$1:$D$7,3,FALSE) * 89</f>
        <v>2848</v>
      </c>
      <c r="AA319" s="1" t="str">
        <f>IF(Table1[rmpce_inr]&lt;=rmpce_reference!$F$2, "Low Income", IF(Table1[rmpce_inr]&lt;=rmpce_reference!$F$3, "Middle Income", "High Income"))</f>
        <v>Low Income</v>
      </c>
    </row>
    <row r="320" spans="1:27" x14ac:dyDescent="0.25">
      <c r="A320">
        <v>2063</v>
      </c>
      <c r="B320" t="s">
        <v>39</v>
      </c>
      <c r="C320" t="s">
        <v>33</v>
      </c>
      <c r="D320">
        <v>28</v>
      </c>
      <c r="E320" t="s">
        <v>25</v>
      </c>
      <c r="F320" t="s">
        <v>26</v>
      </c>
      <c r="G320">
        <v>6</v>
      </c>
      <c r="H320" s="1" t="str">
        <f>IF(Table1[[#This Row],[anxiety_score]]&lt;=10, "Normal", IF(Table1[[#This Row],[anxiety_score]]&lt;=20, "Moderate", IF(Table1[[#This Row],[anxiety_score]]&lt;=30, "Severe", "Extremely Severe")))</f>
        <v>Normal</v>
      </c>
      <c r="I320">
        <v>-0.41028870000000001</v>
      </c>
      <c r="J320">
        <v>10</v>
      </c>
      <c r="K320" s="1" t="str">
        <f>IF(Table1[[#This Row],[stress_score]]&lt;=10, "Normal", IF(Table1[[#This Row],[stress_score]]&lt;=20, "Moderate", IF(Table1[[#This Row],[stress_score]]&lt;=30, "Severe", "Extremely Severe")))</f>
        <v>Normal</v>
      </c>
      <c r="L320">
        <v>-0.18916494</v>
      </c>
      <c r="M320">
        <v>14</v>
      </c>
      <c r="N320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320">
        <v>0.23962580999999999</v>
      </c>
      <c r="P320">
        <v>10</v>
      </c>
      <c r="Q320">
        <f>ROUND(Table1[[#This Row],[dass21_raw_score]],0)</f>
        <v>10</v>
      </c>
      <c r="R320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320">
        <v>-0.11994260499999999</v>
      </c>
      <c r="T320">
        <v>0.97496729999999998</v>
      </c>
      <c r="U320">
        <v>3000</v>
      </c>
      <c r="V320" s="1">
        <f>ROUND(Table1[[#This Row],[fmpce]],0)</f>
        <v>3000</v>
      </c>
      <c r="W320">
        <v>40.813994999999998</v>
      </c>
      <c r="X320" s="4">
        <f>Table1[[#This Row],[mpce]]*89</f>
        <v>3632.4455549999998</v>
      </c>
      <c r="Y320" s="2" t="s">
        <v>32</v>
      </c>
      <c r="Z320" s="3">
        <f>VLOOKUP(Y320, rmpce_reference!$B$1:$D$7,3,FALSE) * 89</f>
        <v>4450</v>
      </c>
      <c r="AA320" s="1" t="str">
        <f>IF(Table1[rmpce_inr]&lt;=rmpce_reference!$F$2, "Low Income", IF(Table1[rmpce_inr]&lt;=rmpce_reference!$F$3, "Middle Income", "High Income"))</f>
        <v>Low Income</v>
      </c>
    </row>
    <row r="321" spans="1:27" x14ac:dyDescent="0.25">
      <c r="A321">
        <v>2064</v>
      </c>
      <c r="B321" t="s">
        <v>39</v>
      </c>
      <c r="C321" t="s">
        <v>21</v>
      </c>
      <c r="D321">
        <v>45</v>
      </c>
      <c r="E321" t="s">
        <v>25</v>
      </c>
      <c r="F321" t="s">
        <v>27</v>
      </c>
      <c r="G321">
        <v>4</v>
      </c>
      <c r="H321" s="1" t="str">
        <f>IF(Table1[[#This Row],[anxiety_score]]&lt;=10, "Normal", IF(Table1[[#This Row],[anxiety_score]]&lt;=20, "Moderate", IF(Table1[[#This Row],[anxiety_score]]&lt;=30, "Severe", "Extremely Severe")))</f>
        <v>Normal</v>
      </c>
      <c r="I321">
        <v>-0.61133329999999997</v>
      </c>
      <c r="J321">
        <v>12</v>
      </c>
      <c r="K321" s="1" t="str">
        <f>IF(Table1[[#This Row],[stress_score]]&lt;=10, "Normal", IF(Table1[[#This Row],[stress_score]]&lt;=20, "Moderate", IF(Table1[[#This Row],[stress_score]]&lt;=30, "Severe", "Extremely Severe")))</f>
        <v>Moderate</v>
      </c>
      <c r="L321">
        <v>5.496318E-3</v>
      </c>
      <c r="M321">
        <v>14</v>
      </c>
      <c r="N321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321">
        <v>0.23962580999999999</v>
      </c>
      <c r="P321">
        <v>10</v>
      </c>
      <c r="Q321">
        <f>ROUND(Table1[[#This Row],[dass21_raw_score]],0)</f>
        <v>10</v>
      </c>
      <c r="R321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321">
        <v>-0.122070394</v>
      </c>
      <c r="T321">
        <v>0.97283953000000001</v>
      </c>
      <c r="U321">
        <v>2666.6667000000002</v>
      </c>
      <c r="V321" s="1">
        <f>ROUND(Table1[[#This Row],[fmpce]],0)</f>
        <v>2667</v>
      </c>
      <c r="W321">
        <v>36.279105999999999</v>
      </c>
      <c r="X321" s="4">
        <f>Table1[[#This Row],[mpce]]*89</f>
        <v>3228.8404339999997</v>
      </c>
      <c r="Y321" s="2" t="s">
        <v>34</v>
      </c>
      <c r="Z321" s="3">
        <f>VLOOKUP(Y321, rmpce_reference!$B$1:$D$7,3,FALSE) * 89</f>
        <v>2848</v>
      </c>
      <c r="AA321" s="1" t="str">
        <f>IF(Table1[rmpce_inr]&lt;=rmpce_reference!$F$2, "Low Income", IF(Table1[rmpce_inr]&lt;=rmpce_reference!$F$3, "Middle Income", "High Income"))</f>
        <v>Low Income</v>
      </c>
    </row>
    <row r="322" spans="1:27" x14ac:dyDescent="0.25">
      <c r="A322">
        <v>2065</v>
      </c>
      <c r="B322" t="s">
        <v>39</v>
      </c>
      <c r="C322" t="s">
        <v>33</v>
      </c>
      <c r="D322">
        <v>27</v>
      </c>
      <c r="E322" t="s">
        <v>25</v>
      </c>
      <c r="F322" t="s">
        <v>30</v>
      </c>
      <c r="G322">
        <v>4</v>
      </c>
      <c r="H322" s="1" t="str">
        <f>IF(Table1[[#This Row],[anxiety_score]]&lt;=10, "Normal", IF(Table1[[#This Row],[anxiety_score]]&lt;=20, "Moderate", IF(Table1[[#This Row],[anxiety_score]]&lt;=30, "Severe", "Extremely Severe")))</f>
        <v>Normal</v>
      </c>
      <c r="I322">
        <v>-0.61133329999999997</v>
      </c>
      <c r="J322">
        <v>10</v>
      </c>
      <c r="K322" s="1" t="str">
        <f>IF(Table1[[#This Row],[stress_score]]&lt;=10, "Normal", IF(Table1[[#This Row],[stress_score]]&lt;=20, "Moderate", IF(Table1[[#This Row],[stress_score]]&lt;=30, "Severe", "Extremely Severe")))</f>
        <v>Normal</v>
      </c>
      <c r="L322">
        <v>-0.18916494</v>
      </c>
      <c r="M322">
        <v>14</v>
      </c>
      <c r="N322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322">
        <v>0.23962580999999999</v>
      </c>
      <c r="P322">
        <v>9.3333329999999997</v>
      </c>
      <c r="Q322">
        <f>ROUND(Table1[[#This Row],[dass21_raw_score]],0)</f>
        <v>9</v>
      </c>
      <c r="R322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322">
        <v>-0.18695748000000001</v>
      </c>
      <c r="T322">
        <v>0.90795239999999999</v>
      </c>
      <c r="U322">
        <v>2500</v>
      </c>
      <c r="V322" s="1">
        <f>ROUND(Table1[[#This Row],[fmpce]],0)</f>
        <v>2500</v>
      </c>
      <c r="W322">
        <v>34.011659999999999</v>
      </c>
      <c r="X322" s="4">
        <f>Table1[[#This Row],[mpce]]*89</f>
        <v>3027.0377399999998</v>
      </c>
      <c r="Y322" s="2" t="s">
        <v>34</v>
      </c>
      <c r="Z322" s="3">
        <f>VLOOKUP(Y322, rmpce_reference!$B$1:$D$7,3,FALSE) * 89</f>
        <v>2848</v>
      </c>
      <c r="AA322" s="1" t="str">
        <f>IF(Table1[rmpce_inr]&lt;=rmpce_reference!$F$2, "Low Income", IF(Table1[rmpce_inr]&lt;=rmpce_reference!$F$3, "Middle Income", "High Income"))</f>
        <v>Low Income</v>
      </c>
    </row>
    <row r="323" spans="1:27" x14ac:dyDescent="0.25">
      <c r="A323">
        <v>2066</v>
      </c>
      <c r="B323" t="s">
        <v>39</v>
      </c>
      <c r="C323" t="s">
        <v>29</v>
      </c>
      <c r="D323">
        <v>39</v>
      </c>
      <c r="E323" t="s">
        <v>25</v>
      </c>
      <c r="F323" t="s">
        <v>26</v>
      </c>
      <c r="G323">
        <v>6</v>
      </c>
      <c r="H323" s="1" t="str">
        <f>IF(Table1[[#This Row],[anxiety_score]]&lt;=10, "Normal", IF(Table1[[#This Row],[anxiety_score]]&lt;=20, "Moderate", IF(Table1[[#This Row],[anxiety_score]]&lt;=30, "Severe", "Extremely Severe")))</f>
        <v>Normal</v>
      </c>
      <c r="I323">
        <v>-0.41028870000000001</v>
      </c>
      <c r="J323">
        <v>14</v>
      </c>
      <c r="K323" s="1" t="str">
        <f>IF(Table1[[#This Row],[stress_score]]&lt;=10, "Normal", IF(Table1[[#This Row],[stress_score]]&lt;=20, "Moderate", IF(Table1[[#This Row],[stress_score]]&lt;=30, "Severe", "Extremely Severe")))</f>
        <v>Moderate</v>
      </c>
      <c r="L323">
        <v>0.20015757000000001</v>
      </c>
      <c r="M323">
        <v>12</v>
      </c>
      <c r="N323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323">
        <v>4.6988415999999998E-2</v>
      </c>
      <c r="P323">
        <v>10.666667</v>
      </c>
      <c r="Q323">
        <f>ROUND(Table1[[#This Row],[dass21_raw_score]],0)</f>
        <v>11</v>
      </c>
      <c r="R323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323">
        <v>-5.4380900000000003E-2</v>
      </c>
      <c r="T323">
        <v>1.040529</v>
      </c>
      <c r="U323">
        <v>2000</v>
      </c>
      <c r="V323" s="1">
        <f>ROUND(Table1[[#This Row],[fmpce]],0)</f>
        <v>2000</v>
      </c>
      <c r="W323">
        <v>27.209330000000001</v>
      </c>
      <c r="X323" s="4">
        <f>Table1[[#This Row],[mpce]]*89</f>
        <v>2421.6303700000003</v>
      </c>
      <c r="Y323" s="2" t="s">
        <v>34</v>
      </c>
      <c r="Z323" s="3">
        <f>VLOOKUP(Y323, rmpce_reference!$B$1:$D$7,3,FALSE) * 89</f>
        <v>2848</v>
      </c>
      <c r="AA323" s="1" t="str">
        <f>IF(Table1[rmpce_inr]&lt;=rmpce_reference!$F$2, "Low Income", IF(Table1[rmpce_inr]&lt;=rmpce_reference!$F$3, "Middle Income", "High Income"))</f>
        <v>Low Income</v>
      </c>
    </row>
    <row r="324" spans="1:27" x14ac:dyDescent="0.25">
      <c r="A324">
        <v>2067</v>
      </c>
      <c r="B324" t="s">
        <v>39</v>
      </c>
      <c r="C324" t="s">
        <v>36</v>
      </c>
      <c r="D324">
        <v>54</v>
      </c>
      <c r="E324" t="s">
        <v>25</v>
      </c>
      <c r="F324" t="s">
        <v>26</v>
      </c>
      <c r="G324">
        <v>4</v>
      </c>
      <c r="H324" s="1" t="str">
        <f>IF(Table1[[#This Row],[anxiety_score]]&lt;=10, "Normal", IF(Table1[[#This Row],[anxiety_score]]&lt;=20, "Moderate", IF(Table1[[#This Row],[anxiety_score]]&lt;=30, "Severe", "Extremely Severe")))</f>
        <v>Normal</v>
      </c>
      <c r="I324">
        <v>-0.61133329999999997</v>
      </c>
      <c r="J324">
        <v>10</v>
      </c>
      <c r="K324" s="1" t="str">
        <f>IF(Table1[[#This Row],[stress_score]]&lt;=10, "Normal", IF(Table1[[#This Row],[stress_score]]&lt;=20, "Moderate", IF(Table1[[#This Row],[stress_score]]&lt;=30, "Severe", "Extremely Severe")))</f>
        <v>Normal</v>
      </c>
      <c r="L324">
        <v>-0.18916494</v>
      </c>
      <c r="M324">
        <v>14</v>
      </c>
      <c r="N324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324">
        <v>0.23962580999999999</v>
      </c>
      <c r="P324">
        <v>9.3333329999999997</v>
      </c>
      <c r="Q324">
        <f>ROUND(Table1[[#This Row],[dass21_raw_score]],0)</f>
        <v>9</v>
      </c>
      <c r="R324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324">
        <v>-0.18695748000000001</v>
      </c>
      <c r="T324">
        <v>0.90795239999999999</v>
      </c>
      <c r="U324">
        <v>5000</v>
      </c>
      <c r="V324" s="1">
        <f>ROUND(Table1[[#This Row],[fmpce]],0)</f>
        <v>5000</v>
      </c>
      <c r="W324">
        <v>68.023319999999998</v>
      </c>
      <c r="X324" s="4">
        <f>Table1[[#This Row],[mpce]]*89</f>
        <v>6054.0754799999995</v>
      </c>
      <c r="Y324" s="2" t="s">
        <v>28</v>
      </c>
      <c r="Z324" s="3">
        <f>VLOOKUP(Y324, rmpce_reference!$B$1:$D$7,3,FALSE) * 89</f>
        <v>6230</v>
      </c>
      <c r="AA324" s="1" t="str">
        <f>IF(Table1[rmpce_inr]&lt;=rmpce_reference!$F$2, "Low Income", IF(Table1[rmpce_inr]&lt;=rmpce_reference!$F$3, "Middle Income", "High Income"))</f>
        <v>Middle Income</v>
      </c>
    </row>
    <row r="325" spans="1:27" x14ac:dyDescent="0.25">
      <c r="A325">
        <v>2068</v>
      </c>
      <c r="B325" t="s">
        <v>39</v>
      </c>
      <c r="C325" t="s">
        <v>29</v>
      </c>
      <c r="D325">
        <v>38</v>
      </c>
      <c r="E325" t="s">
        <v>25</v>
      </c>
      <c r="F325" t="s">
        <v>23</v>
      </c>
      <c r="G325">
        <v>4</v>
      </c>
      <c r="H325" s="1" t="str">
        <f>IF(Table1[[#This Row],[anxiety_score]]&lt;=10, "Normal", IF(Table1[[#This Row],[anxiety_score]]&lt;=20, "Moderate", IF(Table1[[#This Row],[anxiety_score]]&lt;=30, "Severe", "Extremely Severe")))</f>
        <v>Normal</v>
      </c>
      <c r="I325">
        <v>-0.61133329999999997</v>
      </c>
      <c r="J325">
        <v>4</v>
      </c>
      <c r="K325" s="1" t="str">
        <f>IF(Table1[[#This Row],[stress_score]]&lt;=10, "Normal", IF(Table1[[#This Row],[stress_score]]&lt;=20, "Moderate", IF(Table1[[#This Row],[stress_score]]&lt;=30, "Severe", "Extremely Severe")))</f>
        <v>Normal</v>
      </c>
      <c r="L325">
        <v>-0.77314866000000004</v>
      </c>
      <c r="M325">
        <v>4</v>
      </c>
      <c r="N325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325">
        <v>-0.72356116999999998</v>
      </c>
      <c r="P325">
        <v>4</v>
      </c>
      <c r="Q325">
        <f>ROUND(Table1[[#This Row],[dass21_raw_score]],0)</f>
        <v>4</v>
      </c>
      <c r="R325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325">
        <v>-0.70268105999999997</v>
      </c>
      <c r="T325">
        <v>0.39222884000000002</v>
      </c>
      <c r="U325">
        <v>3333.3332999999998</v>
      </c>
      <c r="V325" s="1">
        <f>ROUND(Table1[[#This Row],[fmpce]],0)</f>
        <v>3333</v>
      </c>
      <c r="W325">
        <v>45.348880000000001</v>
      </c>
      <c r="X325" s="4">
        <f>Table1[[#This Row],[mpce]]*89</f>
        <v>4036.0503200000003</v>
      </c>
      <c r="Y325" s="2" t="s">
        <v>32</v>
      </c>
      <c r="Z325" s="3">
        <f>VLOOKUP(Y325, rmpce_reference!$B$1:$D$7,3,FALSE) * 89</f>
        <v>4450</v>
      </c>
      <c r="AA325" s="1" t="str">
        <f>IF(Table1[rmpce_inr]&lt;=rmpce_reference!$F$2, "Low Income", IF(Table1[rmpce_inr]&lt;=rmpce_reference!$F$3, "Middle Income", "High Income"))</f>
        <v>Low Income</v>
      </c>
    </row>
    <row r="326" spans="1:27" x14ac:dyDescent="0.25">
      <c r="A326">
        <v>2069</v>
      </c>
      <c r="B326" t="s">
        <v>39</v>
      </c>
      <c r="C326" t="s">
        <v>21</v>
      </c>
      <c r="D326">
        <v>43</v>
      </c>
      <c r="E326" t="s">
        <v>25</v>
      </c>
      <c r="F326" t="s">
        <v>23</v>
      </c>
      <c r="G326">
        <v>6</v>
      </c>
      <c r="H326" s="1" t="str">
        <f>IF(Table1[[#This Row],[anxiety_score]]&lt;=10, "Normal", IF(Table1[[#This Row],[anxiety_score]]&lt;=20, "Moderate", IF(Table1[[#This Row],[anxiety_score]]&lt;=30, "Severe", "Extremely Severe")))</f>
        <v>Normal</v>
      </c>
      <c r="I326">
        <v>-0.41028870000000001</v>
      </c>
      <c r="J326">
        <v>12</v>
      </c>
      <c r="K326" s="1" t="str">
        <f>IF(Table1[[#This Row],[stress_score]]&lt;=10, "Normal", IF(Table1[[#This Row],[stress_score]]&lt;=20, "Moderate", IF(Table1[[#This Row],[stress_score]]&lt;=30, "Severe", "Extremely Severe")))</f>
        <v>Moderate</v>
      </c>
      <c r="L326">
        <v>5.496318E-3</v>
      </c>
      <c r="M326">
        <v>16</v>
      </c>
      <c r="N326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326">
        <v>0.43226320000000001</v>
      </c>
      <c r="P326">
        <v>11.333333</v>
      </c>
      <c r="Q326">
        <f>ROUND(Table1[[#This Row],[dass21_raw_score]],0)</f>
        <v>11</v>
      </c>
      <c r="R326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326">
        <v>9.156941E-3</v>
      </c>
      <c r="T326">
        <v>1.1040668</v>
      </c>
      <c r="U326">
        <v>3500</v>
      </c>
      <c r="V326" s="1">
        <f>ROUND(Table1[[#This Row],[fmpce]],0)</f>
        <v>3500</v>
      </c>
      <c r="W326">
        <v>47.616325000000003</v>
      </c>
      <c r="X326" s="4">
        <f>Table1[[#This Row],[mpce]]*89</f>
        <v>4237.8529250000001</v>
      </c>
      <c r="Y326" s="2" t="s">
        <v>32</v>
      </c>
      <c r="Z326" s="3">
        <f>VLOOKUP(Y326, rmpce_reference!$B$1:$D$7,3,FALSE) * 89</f>
        <v>4450</v>
      </c>
      <c r="AA326" s="1" t="str">
        <f>IF(Table1[rmpce_inr]&lt;=rmpce_reference!$F$2, "Low Income", IF(Table1[rmpce_inr]&lt;=rmpce_reference!$F$3, "Middle Income", "High Income"))</f>
        <v>Low Income</v>
      </c>
    </row>
    <row r="327" spans="1:27" x14ac:dyDescent="0.25">
      <c r="A327">
        <v>2070</v>
      </c>
      <c r="B327" t="s">
        <v>39</v>
      </c>
      <c r="C327" t="s">
        <v>33</v>
      </c>
      <c r="D327">
        <v>26</v>
      </c>
      <c r="E327" t="s">
        <v>25</v>
      </c>
      <c r="F327" t="s">
        <v>26</v>
      </c>
      <c r="G327">
        <v>4</v>
      </c>
      <c r="H327" s="1" t="str">
        <f>IF(Table1[[#This Row],[anxiety_score]]&lt;=10, "Normal", IF(Table1[[#This Row],[anxiety_score]]&lt;=20, "Moderate", IF(Table1[[#This Row],[anxiety_score]]&lt;=30, "Severe", "Extremely Severe")))</f>
        <v>Normal</v>
      </c>
      <c r="I327">
        <v>-0.61133329999999997</v>
      </c>
      <c r="J327">
        <v>12</v>
      </c>
      <c r="K327" s="1" t="str">
        <f>IF(Table1[[#This Row],[stress_score]]&lt;=10, "Normal", IF(Table1[[#This Row],[stress_score]]&lt;=20, "Moderate", IF(Table1[[#This Row],[stress_score]]&lt;=30, "Severe", "Extremely Severe")))</f>
        <v>Moderate</v>
      </c>
      <c r="L327">
        <v>5.496318E-3</v>
      </c>
      <c r="M327">
        <v>14</v>
      </c>
      <c r="N327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327">
        <v>0.23962580999999999</v>
      </c>
      <c r="P327">
        <v>10</v>
      </c>
      <c r="Q327">
        <f>ROUND(Table1[[#This Row],[dass21_raw_score]],0)</f>
        <v>10</v>
      </c>
      <c r="R327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327">
        <v>-0.122070394</v>
      </c>
      <c r="T327">
        <v>0.97283953000000001</v>
      </c>
      <c r="U327">
        <v>3333.3332999999998</v>
      </c>
      <c r="V327" s="1">
        <f>ROUND(Table1[[#This Row],[fmpce]],0)</f>
        <v>3333</v>
      </c>
      <c r="W327">
        <v>45.348880000000001</v>
      </c>
      <c r="X327" s="4">
        <f>Table1[[#This Row],[mpce]]*89</f>
        <v>4036.0503200000003</v>
      </c>
      <c r="Y327" s="2" t="s">
        <v>32</v>
      </c>
      <c r="Z327" s="3">
        <f>VLOOKUP(Y327, rmpce_reference!$B$1:$D$7,3,FALSE) * 89</f>
        <v>4450</v>
      </c>
      <c r="AA327" s="1" t="str">
        <f>IF(Table1[rmpce_inr]&lt;=rmpce_reference!$F$2, "Low Income", IF(Table1[rmpce_inr]&lt;=rmpce_reference!$F$3, "Middle Income", "High Income"))</f>
        <v>Low Income</v>
      </c>
    </row>
    <row r="328" spans="1:27" x14ac:dyDescent="0.25">
      <c r="A328">
        <v>2071</v>
      </c>
      <c r="B328" t="s">
        <v>39</v>
      </c>
      <c r="C328" t="s">
        <v>29</v>
      </c>
      <c r="D328">
        <v>38</v>
      </c>
      <c r="E328" t="s">
        <v>25</v>
      </c>
      <c r="F328" t="s">
        <v>30</v>
      </c>
      <c r="G328">
        <v>18</v>
      </c>
      <c r="H328" s="1" t="str">
        <f>IF(Table1[[#This Row],[anxiety_score]]&lt;=10, "Normal", IF(Table1[[#This Row],[anxiety_score]]&lt;=20, "Moderate", IF(Table1[[#This Row],[anxiety_score]]&lt;=30, "Severe", "Extremely Severe")))</f>
        <v>Moderate</v>
      </c>
      <c r="I328">
        <v>0.79597896000000001</v>
      </c>
      <c r="J328">
        <v>16</v>
      </c>
      <c r="K328" s="1" t="str">
        <f>IF(Table1[[#This Row],[stress_score]]&lt;=10, "Normal", IF(Table1[[#This Row],[stress_score]]&lt;=20, "Moderate", IF(Table1[[#This Row],[stress_score]]&lt;=30, "Severe", "Extremely Severe")))</f>
        <v>Moderate</v>
      </c>
      <c r="L328">
        <v>0.39481880000000003</v>
      </c>
      <c r="M328">
        <v>20</v>
      </c>
      <c r="N328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328">
        <v>0.81753799999999999</v>
      </c>
      <c r="P328">
        <v>18</v>
      </c>
      <c r="Q328">
        <f>ROUND(Table1[[#This Row],[dass21_raw_score]],0)</f>
        <v>18</v>
      </c>
      <c r="R328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328">
        <v>0.66944530000000002</v>
      </c>
      <c r="T328">
        <v>1.7643552</v>
      </c>
      <c r="U328">
        <v>1666.6666</v>
      </c>
      <c r="V328" s="1">
        <f>ROUND(Table1[[#This Row],[fmpce]],0)</f>
        <v>1667</v>
      </c>
      <c r="W328">
        <v>22.674440000000001</v>
      </c>
      <c r="X328" s="4">
        <f>Table1[[#This Row],[mpce]]*89</f>
        <v>2018.0251600000001</v>
      </c>
      <c r="Y328" s="2" t="s">
        <v>24</v>
      </c>
      <c r="Z328" s="3">
        <f>VLOOKUP(Y328, rmpce_reference!$B$1:$D$7,3,FALSE) * 89</f>
        <v>2225</v>
      </c>
      <c r="AA328" s="1" t="str">
        <f>IF(Table1[rmpce_inr]&lt;=rmpce_reference!$F$2, "Low Income", IF(Table1[rmpce_inr]&lt;=rmpce_reference!$F$3, "Middle Income", "High Income"))</f>
        <v>Low Income</v>
      </c>
    </row>
    <row r="329" spans="1:27" x14ac:dyDescent="0.25">
      <c r="A329">
        <v>2072</v>
      </c>
      <c r="B329" t="s">
        <v>39</v>
      </c>
      <c r="C329" t="s">
        <v>29</v>
      </c>
      <c r="D329">
        <v>38</v>
      </c>
      <c r="E329" t="s">
        <v>25</v>
      </c>
      <c r="F329" t="s">
        <v>26</v>
      </c>
      <c r="G329">
        <v>30</v>
      </c>
      <c r="H329" s="1" t="str">
        <f>IF(Table1[[#This Row],[anxiety_score]]&lt;=10, "Normal", IF(Table1[[#This Row],[anxiety_score]]&lt;=20, "Moderate", IF(Table1[[#This Row],[anxiety_score]]&lt;=30, "Severe", "Extremely Severe")))</f>
        <v>Severe</v>
      </c>
      <c r="I329">
        <v>2.0022465999999999</v>
      </c>
      <c r="J329">
        <v>34</v>
      </c>
      <c r="K329" s="1" t="str">
        <f>IF(Table1[[#This Row],[stress_score]]&lt;=10, "Normal", IF(Table1[[#This Row],[stress_score]]&lt;=20, "Moderate", IF(Table1[[#This Row],[stress_score]]&lt;=30, "Severe", "Extremely Severe")))</f>
        <v>Extremely Severe</v>
      </c>
      <c r="L329">
        <v>2.1467700000000001</v>
      </c>
      <c r="M329">
        <v>28</v>
      </c>
      <c r="N329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329">
        <v>1.5880875999999999</v>
      </c>
      <c r="P329">
        <v>30.666665999999999</v>
      </c>
      <c r="Q329">
        <f>ROUND(Table1[[#This Row],[dass21_raw_score]],0)</f>
        <v>31</v>
      </c>
      <c r="R329" s="1" t="str">
        <f>IF(Table1[[#This Row],[round_dass21_raw_score]]&lt;=10, "Normal", IF(Table1[[#This Row],[round_dass21_raw_score]]&lt;=20, "Moderate", IF(Table1[[#This Row],[round_dass21_raw_score]]&lt;=30, "Severe", "Extremely Severe")))</f>
        <v>Extremely Severe</v>
      </c>
      <c r="S329">
        <v>1.9123680000000001</v>
      </c>
      <c r="T329">
        <v>3.0072779999999999</v>
      </c>
      <c r="U329">
        <v>1500</v>
      </c>
      <c r="V329" s="1">
        <f>ROUND(Table1[[#This Row],[fmpce]],0)</f>
        <v>1500</v>
      </c>
      <c r="W329">
        <v>20.406998000000002</v>
      </c>
      <c r="X329" s="4">
        <f>Table1[[#This Row],[mpce]]*89</f>
        <v>1816.2228220000002</v>
      </c>
      <c r="Y329" s="2" t="s">
        <v>24</v>
      </c>
      <c r="Z329" s="3">
        <f>VLOOKUP(Y329, rmpce_reference!$B$1:$D$7,3,FALSE) * 89</f>
        <v>2225</v>
      </c>
      <c r="AA329" s="1" t="str">
        <f>IF(Table1[rmpce_inr]&lt;=rmpce_reference!$F$2, "Low Income", IF(Table1[rmpce_inr]&lt;=rmpce_reference!$F$3, "Middle Income", "High Income"))</f>
        <v>Low Income</v>
      </c>
    </row>
    <row r="330" spans="1:27" x14ac:dyDescent="0.25">
      <c r="A330">
        <v>2073</v>
      </c>
      <c r="B330" t="s">
        <v>39</v>
      </c>
      <c r="C330" t="s">
        <v>36</v>
      </c>
      <c r="D330">
        <v>52</v>
      </c>
      <c r="E330" t="s">
        <v>25</v>
      </c>
      <c r="F330" t="s">
        <v>26</v>
      </c>
      <c r="G330">
        <v>20</v>
      </c>
      <c r="H330" s="1" t="str">
        <f>IF(Table1[[#This Row],[anxiety_score]]&lt;=10, "Normal", IF(Table1[[#This Row],[anxiety_score]]&lt;=20, "Moderate", IF(Table1[[#This Row],[anxiety_score]]&lt;=30, "Severe", "Extremely Severe")))</f>
        <v>Moderate</v>
      </c>
      <c r="I330">
        <v>0.99702360000000001</v>
      </c>
      <c r="J330">
        <v>20</v>
      </c>
      <c r="K330" s="1" t="str">
        <f>IF(Table1[[#This Row],[stress_score]]&lt;=10, "Normal", IF(Table1[[#This Row],[stress_score]]&lt;=20, "Moderate", IF(Table1[[#This Row],[stress_score]]&lt;=30, "Severe", "Extremely Severe")))</f>
        <v>Moderate</v>
      </c>
      <c r="L330">
        <v>0.78414130000000004</v>
      </c>
      <c r="M330">
        <v>20</v>
      </c>
      <c r="N330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330">
        <v>0.81753799999999999</v>
      </c>
      <c r="P330">
        <v>20</v>
      </c>
      <c r="Q330">
        <f>ROUND(Table1[[#This Row],[dass21_raw_score]],0)</f>
        <v>20</v>
      </c>
      <c r="R330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330">
        <v>0.86623430000000001</v>
      </c>
      <c r="T330">
        <v>1.9611441999999999</v>
      </c>
      <c r="U330">
        <v>3750</v>
      </c>
      <c r="V330" s="1">
        <f>ROUND(Table1[[#This Row],[fmpce]],0)</f>
        <v>3750</v>
      </c>
      <c r="W330">
        <v>51.017493999999999</v>
      </c>
      <c r="X330" s="4">
        <f>Table1[[#This Row],[mpce]]*89</f>
        <v>4540.5569660000001</v>
      </c>
      <c r="Y330" s="2" t="s">
        <v>32</v>
      </c>
      <c r="Z330" s="3">
        <f>VLOOKUP(Y330, rmpce_reference!$B$1:$D$7,3,FALSE) * 89</f>
        <v>4450</v>
      </c>
      <c r="AA330" s="1" t="str">
        <f>IF(Table1[rmpce_inr]&lt;=rmpce_reference!$F$2, "Low Income", IF(Table1[rmpce_inr]&lt;=rmpce_reference!$F$3, "Middle Income", "High Income"))</f>
        <v>Low Income</v>
      </c>
    </row>
    <row r="331" spans="1:27" x14ac:dyDescent="0.25">
      <c r="A331">
        <v>2074</v>
      </c>
      <c r="B331" t="s">
        <v>39</v>
      </c>
      <c r="C331" t="s">
        <v>36</v>
      </c>
      <c r="D331">
        <v>56</v>
      </c>
      <c r="E331" t="s">
        <v>25</v>
      </c>
      <c r="F331" t="s">
        <v>26</v>
      </c>
      <c r="G331">
        <v>20</v>
      </c>
      <c r="H331" s="1" t="str">
        <f>IF(Table1[[#This Row],[anxiety_score]]&lt;=10, "Normal", IF(Table1[[#This Row],[anxiety_score]]&lt;=20, "Moderate", IF(Table1[[#This Row],[anxiety_score]]&lt;=30, "Severe", "Extremely Severe")))</f>
        <v>Moderate</v>
      </c>
      <c r="I331">
        <v>0.99702360000000001</v>
      </c>
      <c r="J331">
        <v>16</v>
      </c>
      <c r="K331" s="1" t="str">
        <f>IF(Table1[[#This Row],[stress_score]]&lt;=10, "Normal", IF(Table1[[#This Row],[stress_score]]&lt;=20, "Moderate", IF(Table1[[#This Row],[stress_score]]&lt;=30, "Severe", "Extremely Severe")))</f>
        <v>Moderate</v>
      </c>
      <c r="L331">
        <v>0.39481880000000003</v>
      </c>
      <c r="M331">
        <v>12</v>
      </c>
      <c r="N331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331">
        <v>4.6988415999999998E-2</v>
      </c>
      <c r="P331">
        <v>16</v>
      </c>
      <c r="Q331">
        <f>ROUND(Table1[[#This Row],[dass21_raw_score]],0)</f>
        <v>16</v>
      </c>
      <c r="R331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331">
        <v>0.47961026000000001</v>
      </c>
      <c r="T331">
        <v>1.5745201</v>
      </c>
      <c r="U331">
        <v>5000</v>
      </c>
      <c r="V331" s="1">
        <f>ROUND(Table1[[#This Row],[fmpce]],0)</f>
        <v>5000</v>
      </c>
      <c r="W331">
        <v>68.023319999999998</v>
      </c>
      <c r="X331" s="4">
        <f>Table1[[#This Row],[mpce]]*89</f>
        <v>6054.0754799999995</v>
      </c>
      <c r="Y331" s="2" t="s">
        <v>28</v>
      </c>
      <c r="Z331" s="3">
        <f>VLOOKUP(Y331, rmpce_reference!$B$1:$D$7,3,FALSE) * 89</f>
        <v>6230</v>
      </c>
      <c r="AA331" s="1" t="str">
        <f>IF(Table1[rmpce_inr]&lt;=rmpce_reference!$F$2, "Low Income", IF(Table1[rmpce_inr]&lt;=rmpce_reference!$F$3, "Middle Income", "High Income"))</f>
        <v>Middle Income</v>
      </c>
    </row>
    <row r="332" spans="1:27" x14ac:dyDescent="0.25">
      <c r="A332">
        <v>2075</v>
      </c>
      <c r="B332" t="s">
        <v>39</v>
      </c>
      <c r="C332" t="s">
        <v>29</v>
      </c>
      <c r="D332">
        <v>38</v>
      </c>
      <c r="E332" t="s">
        <v>25</v>
      </c>
      <c r="F332" t="s">
        <v>26</v>
      </c>
      <c r="G332">
        <v>4</v>
      </c>
      <c r="H332" s="1" t="str">
        <f>IF(Table1[[#This Row],[anxiety_score]]&lt;=10, "Normal", IF(Table1[[#This Row],[anxiety_score]]&lt;=20, "Moderate", IF(Table1[[#This Row],[anxiety_score]]&lt;=30, "Severe", "Extremely Severe")))</f>
        <v>Normal</v>
      </c>
      <c r="I332">
        <v>-0.61133329999999997</v>
      </c>
      <c r="J332">
        <v>6</v>
      </c>
      <c r="K332" s="1" t="str">
        <f>IF(Table1[[#This Row],[stress_score]]&lt;=10, "Normal", IF(Table1[[#This Row],[stress_score]]&lt;=20, "Moderate", IF(Table1[[#This Row],[stress_score]]&lt;=30, "Severe", "Extremely Severe")))</f>
        <v>Normal</v>
      </c>
      <c r="L332">
        <v>-0.57848745999999995</v>
      </c>
      <c r="M332">
        <v>18</v>
      </c>
      <c r="N332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332">
        <v>0.62490060000000003</v>
      </c>
      <c r="P332">
        <v>9.3333329999999997</v>
      </c>
      <c r="Q332">
        <f>ROUND(Table1[[#This Row],[dass21_raw_score]],0)</f>
        <v>9</v>
      </c>
      <c r="R332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332">
        <v>-0.18830673000000001</v>
      </c>
      <c r="T332">
        <v>0.90660315999999996</v>
      </c>
      <c r="U332">
        <v>3750</v>
      </c>
      <c r="V332" s="1">
        <f>ROUND(Table1[[#This Row],[fmpce]],0)</f>
        <v>3750</v>
      </c>
      <c r="W332">
        <v>51.017493999999999</v>
      </c>
      <c r="X332" s="4">
        <f>Table1[[#This Row],[mpce]]*89</f>
        <v>4540.5569660000001</v>
      </c>
      <c r="Y332" s="2" t="s">
        <v>32</v>
      </c>
      <c r="Z332" s="3">
        <f>VLOOKUP(Y332, rmpce_reference!$B$1:$D$7,3,FALSE) * 89</f>
        <v>4450</v>
      </c>
      <c r="AA332" s="1" t="str">
        <f>IF(Table1[rmpce_inr]&lt;=rmpce_reference!$F$2, "Low Income", IF(Table1[rmpce_inr]&lt;=rmpce_reference!$F$3, "Middle Income", "High Income"))</f>
        <v>Low Income</v>
      </c>
    </row>
    <row r="333" spans="1:27" x14ac:dyDescent="0.25">
      <c r="A333">
        <v>2076</v>
      </c>
      <c r="B333" t="s">
        <v>39</v>
      </c>
      <c r="C333" t="s">
        <v>29</v>
      </c>
      <c r="D333">
        <v>34</v>
      </c>
      <c r="E333" t="s">
        <v>25</v>
      </c>
      <c r="F333" t="s">
        <v>27</v>
      </c>
      <c r="G333">
        <v>6</v>
      </c>
      <c r="H333" s="1" t="str">
        <f>IF(Table1[[#This Row],[anxiety_score]]&lt;=10, "Normal", IF(Table1[[#This Row],[anxiety_score]]&lt;=20, "Moderate", IF(Table1[[#This Row],[anxiety_score]]&lt;=30, "Severe", "Extremely Severe")))</f>
        <v>Normal</v>
      </c>
      <c r="I333">
        <v>-0.41028870000000001</v>
      </c>
      <c r="J333">
        <v>10</v>
      </c>
      <c r="K333" s="1" t="str">
        <f>IF(Table1[[#This Row],[stress_score]]&lt;=10, "Normal", IF(Table1[[#This Row],[stress_score]]&lt;=20, "Moderate", IF(Table1[[#This Row],[stress_score]]&lt;=30, "Severe", "Extremely Severe")))</f>
        <v>Normal</v>
      </c>
      <c r="L333">
        <v>-0.18916494</v>
      </c>
      <c r="M333">
        <v>14</v>
      </c>
      <c r="N333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333">
        <v>0.23962580999999999</v>
      </c>
      <c r="P333">
        <v>10</v>
      </c>
      <c r="Q333">
        <f>ROUND(Table1[[#This Row],[dass21_raw_score]],0)</f>
        <v>10</v>
      </c>
      <c r="R333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333">
        <v>-0.11994260499999999</v>
      </c>
      <c r="T333">
        <v>0.97496729999999998</v>
      </c>
      <c r="U333">
        <v>2500</v>
      </c>
      <c r="V333" s="1">
        <f>ROUND(Table1[[#This Row],[fmpce]],0)</f>
        <v>2500</v>
      </c>
      <c r="W333">
        <v>34.011659999999999</v>
      </c>
      <c r="X333" s="4">
        <f>Table1[[#This Row],[mpce]]*89</f>
        <v>3027.0377399999998</v>
      </c>
      <c r="Y333" s="2" t="s">
        <v>34</v>
      </c>
      <c r="Z333" s="3">
        <f>VLOOKUP(Y333, rmpce_reference!$B$1:$D$7,3,FALSE) * 89</f>
        <v>2848</v>
      </c>
      <c r="AA333" s="1" t="str">
        <f>IF(Table1[rmpce_inr]&lt;=rmpce_reference!$F$2, "Low Income", IF(Table1[rmpce_inr]&lt;=rmpce_reference!$F$3, "Middle Income", "High Income"))</f>
        <v>Low Income</v>
      </c>
    </row>
    <row r="334" spans="1:27" x14ac:dyDescent="0.25">
      <c r="A334">
        <v>2077</v>
      </c>
      <c r="B334" t="s">
        <v>39</v>
      </c>
      <c r="C334" t="s">
        <v>21</v>
      </c>
      <c r="D334">
        <v>48</v>
      </c>
      <c r="E334" t="s">
        <v>25</v>
      </c>
      <c r="F334" t="s">
        <v>30</v>
      </c>
      <c r="G334">
        <v>6</v>
      </c>
      <c r="H334" s="1" t="str">
        <f>IF(Table1[[#This Row],[anxiety_score]]&lt;=10, "Normal", IF(Table1[[#This Row],[anxiety_score]]&lt;=20, "Moderate", IF(Table1[[#This Row],[anxiety_score]]&lt;=30, "Severe", "Extremely Severe")))</f>
        <v>Normal</v>
      </c>
      <c r="I334">
        <v>-0.41028870000000001</v>
      </c>
      <c r="J334">
        <v>6</v>
      </c>
      <c r="K334" s="1" t="str">
        <f>IF(Table1[[#This Row],[stress_score]]&lt;=10, "Normal", IF(Table1[[#This Row],[stress_score]]&lt;=20, "Moderate", IF(Table1[[#This Row],[stress_score]]&lt;=30, "Severe", "Extremely Severe")))</f>
        <v>Normal</v>
      </c>
      <c r="L334">
        <v>-0.57848745999999995</v>
      </c>
      <c r="M334">
        <v>16</v>
      </c>
      <c r="N334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334">
        <v>0.43226320000000001</v>
      </c>
      <c r="P334">
        <v>9.3333329999999997</v>
      </c>
      <c r="Q334">
        <f>ROUND(Table1[[#This Row],[dass21_raw_score]],0)</f>
        <v>9</v>
      </c>
      <c r="R334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334">
        <v>-0.18550432</v>
      </c>
      <c r="T334">
        <v>0.90940560000000004</v>
      </c>
      <c r="U334">
        <v>2666.6667000000002</v>
      </c>
      <c r="V334" s="1">
        <f>ROUND(Table1[[#This Row],[fmpce]],0)</f>
        <v>2667</v>
      </c>
      <c r="W334">
        <v>36.279105999999999</v>
      </c>
      <c r="X334" s="4">
        <f>Table1[[#This Row],[mpce]]*89</f>
        <v>3228.8404339999997</v>
      </c>
      <c r="Y334" s="2" t="s">
        <v>34</v>
      </c>
      <c r="Z334" s="3">
        <f>VLOOKUP(Y334, rmpce_reference!$B$1:$D$7,3,FALSE) * 89</f>
        <v>2848</v>
      </c>
      <c r="AA334" s="1" t="str">
        <f>IF(Table1[rmpce_inr]&lt;=rmpce_reference!$F$2, "Low Income", IF(Table1[rmpce_inr]&lt;=rmpce_reference!$F$3, "Middle Income", "High Income"))</f>
        <v>Low Income</v>
      </c>
    </row>
    <row r="335" spans="1:27" x14ac:dyDescent="0.25">
      <c r="A335">
        <v>2078</v>
      </c>
      <c r="B335" t="s">
        <v>39</v>
      </c>
      <c r="C335" t="s">
        <v>29</v>
      </c>
      <c r="D335">
        <v>35</v>
      </c>
      <c r="E335" t="s">
        <v>25</v>
      </c>
      <c r="F335" t="s">
        <v>27</v>
      </c>
      <c r="G335">
        <v>6</v>
      </c>
      <c r="H335" s="1" t="str">
        <f>IF(Table1[[#This Row],[anxiety_score]]&lt;=10, "Normal", IF(Table1[[#This Row],[anxiety_score]]&lt;=20, "Moderate", IF(Table1[[#This Row],[anxiety_score]]&lt;=30, "Severe", "Extremely Severe")))</f>
        <v>Normal</v>
      </c>
      <c r="I335">
        <v>-0.41028870000000001</v>
      </c>
      <c r="J335">
        <v>10</v>
      </c>
      <c r="K335" s="1" t="str">
        <f>IF(Table1[[#This Row],[stress_score]]&lt;=10, "Normal", IF(Table1[[#This Row],[stress_score]]&lt;=20, "Moderate", IF(Table1[[#This Row],[stress_score]]&lt;=30, "Severe", "Extremely Severe")))</f>
        <v>Normal</v>
      </c>
      <c r="L335">
        <v>-0.18916494</v>
      </c>
      <c r="M335">
        <v>14</v>
      </c>
      <c r="N335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335">
        <v>0.23962580999999999</v>
      </c>
      <c r="P335">
        <v>10</v>
      </c>
      <c r="Q335">
        <f>ROUND(Table1[[#This Row],[dass21_raw_score]],0)</f>
        <v>10</v>
      </c>
      <c r="R335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335">
        <v>-0.11994260499999999</v>
      </c>
      <c r="T335">
        <v>0.97496729999999998</v>
      </c>
      <c r="U335">
        <v>3750</v>
      </c>
      <c r="V335" s="1">
        <f>ROUND(Table1[[#This Row],[fmpce]],0)</f>
        <v>3750</v>
      </c>
      <c r="W335">
        <v>51.017493999999999</v>
      </c>
      <c r="X335" s="4">
        <f>Table1[[#This Row],[mpce]]*89</f>
        <v>4540.5569660000001</v>
      </c>
      <c r="Y335" s="2" t="s">
        <v>32</v>
      </c>
      <c r="Z335" s="3">
        <f>VLOOKUP(Y335, rmpce_reference!$B$1:$D$7,3,FALSE) * 89</f>
        <v>4450</v>
      </c>
      <c r="AA335" s="1" t="str">
        <f>IF(Table1[rmpce_inr]&lt;=rmpce_reference!$F$2, "Low Income", IF(Table1[rmpce_inr]&lt;=rmpce_reference!$F$3, "Middle Income", "High Income"))</f>
        <v>Low Income</v>
      </c>
    </row>
    <row r="336" spans="1:27" x14ac:dyDescent="0.25">
      <c r="A336">
        <v>2079</v>
      </c>
      <c r="B336" t="s">
        <v>39</v>
      </c>
      <c r="C336" t="s">
        <v>36</v>
      </c>
      <c r="D336">
        <v>52</v>
      </c>
      <c r="E336" t="s">
        <v>25</v>
      </c>
      <c r="F336" t="s">
        <v>23</v>
      </c>
      <c r="G336">
        <v>8</v>
      </c>
      <c r="H336" s="1" t="str">
        <f>IF(Table1[[#This Row],[anxiety_score]]&lt;=10, "Normal", IF(Table1[[#This Row],[anxiety_score]]&lt;=20, "Moderate", IF(Table1[[#This Row],[anxiety_score]]&lt;=30, "Severe", "Extremely Severe")))</f>
        <v>Normal</v>
      </c>
      <c r="I336">
        <v>-0.20924408999999999</v>
      </c>
      <c r="J336">
        <v>10</v>
      </c>
      <c r="K336" s="1" t="str">
        <f>IF(Table1[[#This Row],[stress_score]]&lt;=10, "Normal", IF(Table1[[#This Row],[stress_score]]&lt;=20, "Moderate", IF(Table1[[#This Row],[stress_score]]&lt;=30, "Severe", "Extremely Severe")))</f>
        <v>Normal</v>
      </c>
      <c r="L336">
        <v>-0.18916494</v>
      </c>
      <c r="M336">
        <v>12</v>
      </c>
      <c r="N336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336">
        <v>4.6988415999999998E-2</v>
      </c>
      <c r="P336">
        <v>10</v>
      </c>
      <c r="Q336">
        <f>ROUND(Table1[[#This Row],[dass21_raw_score]],0)</f>
        <v>10</v>
      </c>
      <c r="R336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336">
        <v>-0.1171402</v>
      </c>
      <c r="T336">
        <v>0.97776973</v>
      </c>
      <c r="U336">
        <v>5000</v>
      </c>
      <c r="V336" s="1">
        <f>ROUND(Table1[[#This Row],[fmpce]],0)</f>
        <v>5000</v>
      </c>
      <c r="W336">
        <v>68.023319999999998</v>
      </c>
      <c r="X336" s="4">
        <f>Table1[[#This Row],[mpce]]*89</f>
        <v>6054.0754799999995</v>
      </c>
      <c r="Y336" s="2" t="s">
        <v>28</v>
      </c>
      <c r="Z336" s="3">
        <f>VLOOKUP(Y336, rmpce_reference!$B$1:$D$7,3,FALSE) * 89</f>
        <v>6230</v>
      </c>
      <c r="AA336" s="1" t="str">
        <f>IF(Table1[rmpce_inr]&lt;=rmpce_reference!$F$2, "Low Income", IF(Table1[rmpce_inr]&lt;=rmpce_reference!$F$3, "Middle Income", "High Income"))</f>
        <v>Middle Income</v>
      </c>
    </row>
    <row r="337" spans="1:27" x14ac:dyDescent="0.25">
      <c r="A337">
        <v>2080</v>
      </c>
      <c r="B337" t="s">
        <v>39</v>
      </c>
      <c r="C337" t="s">
        <v>29</v>
      </c>
      <c r="D337">
        <v>37</v>
      </c>
      <c r="E337" t="s">
        <v>25</v>
      </c>
      <c r="F337" t="s">
        <v>26</v>
      </c>
      <c r="G337">
        <v>4</v>
      </c>
      <c r="H337" s="1" t="str">
        <f>IF(Table1[[#This Row],[anxiety_score]]&lt;=10, "Normal", IF(Table1[[#This Row],[anxiety_score]]&lt;=20, "Moderate", IF(Table1[[#This Row],[anxiety_score]]&lt;=30, "Severe", "Extremely Severe")))</f>
        <v>Normal</v>
      </c>
      <c r="I337">
        <v>-0.61133329999999997</v>
      </c>
      <c r="J337">
        <v>10</v>
      </c>
      <c r="K337" s="1" t="str">
        <f>IF(Table1[[#This Row],[stress_score]]&lt;=10, "Normal", IF(Table1[[#This Row],[stress_score]]&lt;=20, "Moderate", IF(Table1[[#This Row],[stress_score]]&lt;=30, "Severe", "Extremely Severe")))</f>
        <v>Normal</v>
      </c>
      <c r="L337">
        <v>-0.18916494</v>
      </c>
      <c r="M337">
        <v>16</v>
      </c>
      <c r="N337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337">
        <v>0.43226320000000001</v>
      </c>
      <c r="P337">
        <v>10</v>
      </c>
      <c r="Q337">
        <f>ROUND(Table1[[#This Row],[dass21_raw_score]],0)</f>
        <v>10</v>
      </c>
      <c r="R337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337">
        <v>-0.122745015</v>
      </c>
      <c r="T337">
        <v>0.97216486999999996</v>
      </c>
      <c r="U337">
        <v>2000</v>
      </c>
      <c r="V337" s="1">
        <f>ROUND(Table1[[#This Row],[fmpce]],0)</f>
        <v>2000</v>
      </c>
      <c r="W337">
        <v>27.209330000000001</v>
      </c>
      <c r="X337" s="4">
        <f>Table1[[#This Row],[mpce]]*89</f>
        <v>2421.6303700000003</v>
      </c>
      <c r="Y337" s="2" t="s">
        <v>34</v>
      </c>
      <c r="Z337" s="3">
        <f>VLOOKUP(Y337, rmpce_reference!$B$1:$D$7,3,FALSE) * 89</f>
        <v>2848</v>
      </c>
      <c r="AA337" s="1" t="str">
        <f>IF(Table1[rmpce_inr]&lt;=rmpce_reference!$F$2, "Low Income", IF(Table1[rmpce_inr]&lt;=rmpce_reference!$F$3, "Middle Income", "High Income"))</f>
        <v>Low Income</v>
      </c>
    </row>
    <row r="338" spans="1:27" x14ac:dyDescent="0.25">
      <c r="A338">
        <v>2081</v>
      </c>
      <c r="B338" t="s">
        <v>39</v>
      </c>
      <c r="C338" t="s">
        <v>29</v>
      </c>
      <c r="D338">
        <v>38</v>
      </c>
      <c r="E338" t="s">
        <v>25</v>
      </c>
      <c r="F338" t="s">
        <v>26</v>
      </c>
      <c r="G338">
        <v>6</v>
      </c>
      <c r="H338" s="1" t="str">
        <f>IF(Table1[[#This Row],[anxiety_score]]&lt;=10, "Normal", IF(Table1[[#This Row],[anxiety_score]]&lt;=20, "Moderate", IF(Table1[[#This Row],[anxiety_score]]&lt;=30, "Severe", "Extremely Severe")))</f>
        <v>Normal</v>
      </c>
      <c r="I338">
        <v>-0.41028870000000001</v>
      </c>
      <c r="J338">
        <v>8</v>
      </c>
      <c r="K338" s="1" t="str">
        <f>IF(Table1[[#This Row],[stress_score]]&lt;=10, "Normal", IF(Table1[[#This Row],[stress_score]]&lt;=20, "Moderate", IF(Table1[[#This Row],[stress_score]]&lt;=30, "Severe", "Extremely Severe")))</f>
        <v>Normal</v>
      </c>
      <c r="L338">
        <v>-0.38382620000000001</v>
      </c>
      <c r="M338">
        <v>8</v>
      </c>
      <c r="N338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338">
        <v>-0.33828637</v>
      </c>
      <c r="P338">
        <v>7.3333335000000002</v>
      </c>
      <c r="Q338">
        <f>ROUND(Table1[[#This Row],[dass21_raw_score]],0)</f>
        <v>7</v>
      </c>
      <c r="R338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338">
        <v>-0.3774671</v>
      </c>
      <c r="T338">
        <v>0.71744280000000005</v>
      </c>
      <c r="U338">
        <v>1600</v>
      </c>
      <c r="V338" s="1">
        <f>ROUND(Table1[[#This Row],[fmpce]],0)</f>
        <v>1600</v>
      </c>
      <c r="W338">
        <v>21.767464</v>
      </c>
      <c r="X338" s="4">
        <f>Table1[[#This Row],[mpce]]*89</f>
        <v>1937.304296</v>
      </c>
      <c r="Y338" s="2" t="s">
        <v>24</v>
      </c>
      <c r="Z338" s="3">
        <f>VLOOKUP(Y338, rmpce_reference!$B$1:$D$7,3,FALSE) * 89</f>
        <v>2225</v>
      </c>
      <c r="AA338" s="1" t="str">
        <f>IF(Table1[rmpce_inr]&lt;=rmpce_reference!$F$2, "Low Income", IF(Table1[rmpce_inr]&lt;=rmpce_reference!$F$3, "Middle Income", "High Income"))</f>
        <v>Low Income</v>
      </c>
    </row>
    <row r="339" spans="1:27" x14ac:dyDescent="0.25">
      <c r="A339">
        <v>2082</v>
      </c>
      <c r="B339" t="s">
        <v>39</v>
      </c>
      <c r="C339" t="s">
        <v>33</v>
      </c>
      <c r="D339">
        <v>30</v>
      </c>
      <c r="E339" t="s">
        <v>25</v>
      </c>
      <c r="F339" t="s">
        <v>23</v>
      </c>
      <c r="G339">
        <v>16</v>
      </c>
      <c r="H339" s="1" t="str">
        <f>IF(Table1[[#This Row],[anxiety_score]]&lt;=10, "Normal", IF(Table1[[#This Row],[anxiety_score]]&lt;=20, "Moderate", IF(Table1[[#This Row],[anxiety_score]]&lt;=30, "Severe", "Extremely Severe")))</f>
        <v>Moderate</v>
      </c>
      <c r="I339">
        <v>0.59493434000000001</v>
      </c>
      <c r="J339">
        <v>16</v>
      </c>
      <c r="K339" s="1" t="str">
        <f>IF(Table1[[#This Row],[stress_score]]&lt;=10, "Normal", IF(Table1[[#This Row],[stress_score]]&lt;=20, "Moderate", IF(Table1[[#This Row],[stress_score]]&lt;=30, "Severe", "Extremely Severe")))</f>
        <v>Moderate</v>
      </c>
      <c r="L339">
        <v>0.39481880000000003</v>
      </c>
      <c r="M339">
        <v>14</v>
      </c>
      <c r="N339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339">
        <v>0.23962580999999999</v>
      </c>
      <c r="P339">
        <v>15.333333</v>
      </c>
      <c r="Q339">
        <f>ROUND(Table1[[#This Row],[dass21_raw_score]],0)</f>
        <v>15</v>
      </c>
      <c r="R339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339">
        <v>0.40979300000000002</v>
      </c>
      <c r="T339">
        <v>1.5047029000000001</v>
      </c>
      <c r="U339">
        <v>5000</v>
      </c>
      <c r="V339" s="1">
        <f>ROUND(Table1[[#This Row],[fmpce]],0)</f>
        <v>5000</v>
      </c>
      <c r="W339">
        <v>68.023319999999998</v>
      </c>
      <c r="X339" s="4">
        <f>Table1[[#This Row],[mpce]]*89</f>
        <v>6054.0754799999995</v>
      </c>
      <c r="Y339" s="2" t="s">
        <v>28</v>
      </c>
      <c r="Z339" s="3">
        <f>VLOOKUP(Y339, rmpce_reference!$B$1:$D$7,3,FALSE) * 89</f>
        <v>6230</v>
      </c>
      <c r="AA339" s="1" t="str">
        <f>IF(Table1[rmpce_inr]&lt;=rmpce_reference!$F$2, "Low Income", IF(Table1[rmpce_inr]&lt;=rmpce_reference!$F$3, "Middle Income", "High Income"))</f>
        <v>Middle Income</v>
      </c>
    </row>
    <row r="340" spans="1:27" x14ac:dyDescent="0.25">
      <c r="A340">
        <v>2083</v>
      </c>
      <c r="B340" t="s">
        <v>39</v>
      </c>
      <c r="C340" t="s">
        <v>29</v>
      </c>
      <c r="D340">
        <v>33</v>
      </c>
      <c r="E340" t="s">
        <v>25</v>
      </c>
      <c r="F340" t="s">
        <v>30</v>
      </c>
      <c r="G340">
        <v>18</v>
      </c>
      <c r="H340" s="1" t="str">
        <f>IF(Table1[[#This Row],[anxiety_score]]&lt;=10, "Normal", IF(Table1[[#This Row],[anxiety_score]]&lt;=20, "Moderate", IF(Table1[[#This Row],[anxiety_score]]&lt;=30, "Severe", "Extremely Severe")))</f>
        <v>Moderate</v>
      </c>
      <c r="I340">
        <v>0.79597896000000001</v>
      </c>
      <c r="J340">
        <v>18</v>
      </c>
      <c r="K340" s="1" t="str">
        <f>IF(Table1[[#This Row],[stress_score]]&lt;=10, "Normal", IF(Table1[[#This Row],[stress_score]]&lt;=20, "Moderate", IF(Table1[[#This Row],[stress_score]]&lt;=30, "Severe", "Extremely Severe")))</f>
        <v>Moderate</v>
      </c>
      <c r="L340">
        <v>0.58948003999999998</v>
      </c>
      <c r="M340">
        <v>16</v>
      </c>
      <c r="N340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340">
        <v>0.43226320000000001</v>
      </c>
      <c r="P340">
        <v>17.333334000000001</v>
      </c>
      <c r="Q340">
        <f>ROUND(Table1[[#This Row],[dass21_raw_score]],0)</f>
        <v>17</v>
      </c>
      <c r="R340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340">
        <v>0.60590739999999998</v>
      </c>
      <c r="T340">
        <v>1.7008173</v>
      </c>
      <c r="U340">
        <v>5000</v>
      </c>
      <c r="V340" s="1">
        <f>ROUND(Table1[[#This Row],[fmpce]],0)</f>
        <v>5000</v>
      </c>
      <c r="W340">
        <v>68.023319999999998</v>
      </c>
      <c r="X340" s="4">
        <f>Table1[[#This Row],[mpce]]*89</f>
        <v>6054.0754799999995</v>
      </c>
      <c r="Y340" s="2" t="s">
        <v>28</v>
      </c>
      <c r="Z340" s="3">
        <f>VLOOKUP(Y340, rmpce_reference!$B$1:$D$7,3,FALSE) * 89</f>
        <v>6230</v>
      </c>
      <c r="AA340" s="1" t="str">
        <f>IF(Table1[rmpce_inr]&lt;=rmpce_reference!$F$2, "Low Income", IF(Table1[rmpce_inr]&lt;=rmpce_reference!$F$3, "Middle Income", "High Income"))</f>
        <v>Middle Income</v>
      </c>
    </row>
    <row r="341" spans="1:27" x14ac:dyDescent="0.25">
      <c r="A341">
        <v>2084</v>
      </c>
      <c r="B341" t="s">
        <v>39</v>
      </c>
      <c r="C341" t="s">
        <v>33</v>
      </c>
      <c r="D341">
        <v>25</v>
      </c>
      <c r="E341" t="s">
        <v>25</v>
      </c>
      <c r="F341" t="s">
        <v>23</v>
      </c>
      <c r="G341">
        <v>30</v>
      </c>
      <c r="H341" s="1" t="str">
        <f>IF(Table1[[#This Row],[anxiety_score]]&lt;=10, "Normal", IF(Table1[[#This Row],[anxiety_score]]&lt;=20, "Moderate", IF(Table1[[#This Row],[anxiety_score]]&lt;=30, "Severe", "Extremely Severe")))</f>
        <v>Severe</v>
      </c>
      <c r="I341">
        <v>2.0022465999999999</v>
      </c>
      <c r="J341">
        <v>28</v>
      </c>
      <c r="K341" s="1" t="str">
        <f>IF(Table1[[#This Row],[stress_score]]&lt;=10, "Normal", IF(Table1[[#This Row],[stress_score]]&lt;=20, "Moderate", IF(Table1[[#This Row],[stress_score]]&lt;=30, "Severe", "Extremely Severe")))</f>
        <v>Severe</v>
      </c>
      <c r="L341">
        <v>1.5627863</v>
      </c>
      <c r="M341">
        <v>26</v>
      </c>
      <c r="N341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341">
        <v>1.3954502</v>
      </c>
      <c r="P341">
        <v>28</v>
      </c>
      <c r="Q341">
        <f>ROUND(Table1[[#This Row],[dass21_raw_score]],0)</f>
        <v>28</v>
      </c>
      <c r="R341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341">
        <v>1.6534944</v>
      </c>
      <c r="T341">
        <v>2.7484042999999998</v>
      </c>
      <c r="U341">
        <v>5000</v>
      </c>
      <c r="V341" s="1">
        <f>ROUND(Table1[[#This Row],[fmpce]],0)</f>
        <v>5000</v>
      </c>
      <c r="W341">
        <v>68.023319999999998</v>
      </c>
      <c r="X341" s="4">
        <f>Table1[[#This Row],[mpce]]*89</f>
        <v>6054.0754799999995</v>
      </c>
      <c r="Y341" s="2" t="s">
        <v>28</v>
      </c>
      <c r="Z341" s="3">
        <f>VLOOKUP(Y341, rmpce_reference!$B$1:$D$7,3,FALSE) * 89</f>
        <v>6230</v>
      </c>
      <c r="AA341" s="1" t="str">
        <f>IF(Table1[rmpce_inr]&lt;=rmpce_reference!$F$2, "Low Income", IF(Table1[rmpce_inr]&lt;=rmpce_reference!$F$3, "Middle Income", "High Income"))</f>
        <v>Middle Income</v>
      </c>
    </row>
    <row r="342" spans="1:27" x14ac:dyDescent="0.25">
      <c r="A342">
        <v>2085</v>
      </c>
      <c r="B342" t="s">
        <v>39</v>
      </c>
      <c r="C342" t="s">
        <v>29</v>
      </c>
      <c r="D342">
        <v>40</v>
      </c>
      <c r="E342" t="s">
        <v>25</v>
      </c>
      <c r="F342" t="s">
        <v>26</v>
      </c>
      <c r="G342">
        <v>24</v>
      </c>
      <c r="H342" s="1" t="str">
        <f>IF(Table1[[#This Row],[anxiety_score]]&lt;=10, "Normal", IF(Table1[[#This Row],[anxiety_score]]&lt;=20, "Moderate", IF(Table1[[#This Row],[anxiety_score]]&lt;=30, "Severe", "Extremely Severe")))</f>
        <v>Severe</v>
      </c>
      <c r="I342">
        <v>1.3991127999999999</v>
      </c>
      <c r="J342">
        <v>26</v>
      </c>
      <c r="K342" s="1" t="str">
        <f>IF(Table1[[#This Row],[stress_score]]&lt;=10, "Normal", IF(Table1[[#This Row],[stress_score]]&lt;=20, "Moderate", IF(Table1[[#This Row],[stress_score]]&lt;=30, "Severe", "Extremely Severe")))</f>
        <v>Severe</v>
      </c>
      <c r="L342">
        <v>1.3681251000000001</v>
      </c>
      <c r="M342">
        <v>24</v>
      </c>
      <c r="N342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342">
        <v>1.2028128</v>
      </c>
      <c r="P342">
        <v>24.666665999999999</v>
      </c>
      <c r="Q342">
        <f>ROUND(Table1[[#This Row],[dass21_raw_score]],0)</f>
        <v>25</v>
      </c>
      <c r="R342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342">
        <v>1.3233501999999999</v>
      </c>
      <c r="T342">
        <v>2.4182600000000001</v>
      </c>
      <c r="U342">
        <v>5000</v>
      </c>
      <c r="V342" s="1">
        <f>ROUND(Table1[[#This Row],[fmpce]],0)</f>
        <v>5000</v>
      </c>
      <c r="W342">
        <v>68.023319999999998</v>
      </c>
      <c r="X342" s="4">
        <f>Table1[[#This Row],[mpce]]*89</f>
        <v>6054.0754799999995</v>
      </c>
      <c r="Y342" s="2" t="s">
        <v>28</v>
      </c>
      <c r="Z342" s="3">
        <f>VLOOKUP(Y342, rmpce_reference!$B$1:$D$7,3,FALSE) * 89</f>
        <v>6230</v>
      </c>
      <c r="AA342" s="1" t="str">
        <f>IF(Table1[rmpce_inr]&lt;=rmpce_reference!$F$2, "Low Income", IF(Table1[rmpce_inr]&lt;=rmpce_reference!$F$3, "Middle Income", "High Income"))</f>
        <v>Middle Income</v>
      </c>
    </row>
    <row r="343" spans="1:27" x14ac:dyDescent="0.25">
      <c r="A343">
        <v>2086</v>
      </c>
      <c r="B343" t="s">
        <v>39</v>
      </c>
      <c r="C343" t="s">
        <v>21</v>
      </c>
      <c r="D343">
        <v>45</v>
      </c>
      <c r="E343" t="s">
        <v>25</v>
      </c>
      <c r="F343" t="s">
        <v>26</v>
      </c>
      <c r="G343">
        <v>22</v>
      </c>
      <c r="H343" s="1" t="str">
        <f>IF(Table1[[#This Row],[anxiety_score]]&lt;=10, "Normal", IF(Table1[[#This Row],[anxiety_score]]&lt;=20, "Moderate", IF(Table1[[#This Row],[anxiety_score]]&lt;=30, "Severe", "Extremely Severe")))</f>
        <v>Severe</v>
      </c>
      <c r="I343">
        <v>1.1980683000000001</v>
      </c>
      <c r="J343">
        <v>30</v>
      </c>
      <c r="K343" s="1" t="str">
        <f>IF(Table1[[#This Row],[stress_score]]&lt;=10, "Normal", IF(Table1[[#This Row],[stress_score]]&lt;=20, "Moderate", IF(Table1[[#This Row],[stress_score]]&lt;=30, "Severe", "Extremely Severe")))</f>
        <v>Severe</v>
      </c>
      <c r="L343">
        <v>1.7574476000000001</v>
      </c>
      <c r="M343">
        <v>28</v>
      </c>
      <c r="N343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343">
        <v>1.5880875999999999</v>
      </c>
      <c r="P343">
        <v>26.666665999999999</v>
      </c>
      <c r="Q343">
        <f>ROUND(Table1[[#This Row],[dass21_raw_score]],0)</f>
        <v>27</v>
      </c>
      <c r="R343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343">
        <v>1.5145344999999999</v>
      </c>
      <c r="T343">
        <v>2.6094444000000001</v>
      </c>
      <c r="U343">
        <v>5750</v>
      </c>
      <c r="V343" s="1">
        <f>ROUND(Table1[[#This Row],[fmpce]],0)</f>
        <v>5750</v>
      </c>
      <c r="W343">
        <v>78.226820000000004</v>
      </c>
      <c r="X343" s="4">
        <f>Table1[[#This Row],[mpce]]*89</f>
        <v>6962.1869800000004</v>
      </c>
      <c r="Y343" s="2" t="s">
        <v>28</v>
      </c>
      <c r="Z343" s="3">
        <f>VLOOKUP(Y343, rmpce_reference!$B$1:$D$7,3,FALSE) * 89</f>
        <v>6230</v>
      </c>
      <c r="AA343" s="1" t="str">
        <f>IF(Table1[rmpce_inr]&lt;=rmpce_reference!$F$2, "Low Income", IF(Table1[rmpce_inr]&lt;=rmpce_reference!$F$3, "Middle Income", "High Income"))</f>
        <v>Middle Income</v>
      </c>
    </row>
    <row r="344" spans="1:27" x14ac:dyDescent="0.25">
      <c r="A344">
        <v>2087</v>
      </c>
      <c r="B344" t="s">
        <v>39</v>
      </c>
      <c r="C344" t="s">
        <v>21</v>
      </c>
      <c r="D344">
        <v>50</v>
      </c>
      <c r="E344" t="s">
        <v>25</v>
      </c>
      <c r="F344" t="s">
        <v>26</v>
      </c>
      <c r="G344">
        <v>24</v>
      </c>
      <c r="H344" s="1" t="str">
        <f>IF(Table1[[#This Row],[anxiety_score]]&lt;=10, "Normal", IF(Table1[[#This Row],[anxiety_score]]&lt;=20, "Moderate", IF(Table1[[#This Row],[anxiety_score]]&lt;=30, "Severe", "Extremely Severe")))</f>
        <v>Severe</v>
      </c>
      <c r="I344">
        <v>1.3991127999999999</v>
      </c>
      <c r="J344">
        <v>24</v>
      </c>
      <c r="K344" s="1" t="str">
        <f>IF(Table1[[#This Row],[stress_score]]&lt;=10, "Normal", IF(Table1[[#This Row],[stress_score]]&lt;=20, "Moderate", IF(Table1[[#This Row],[stress_score]]&lt;=30, "Severe", "Extremely Severe")))</f>
        <v>Severe</v>
      </c>
      <c r="L344">
        <v>1.1734637999999999</v>
      </c>
      <c r="M344">
        <v>28</v>
      </c>
      <c r="N344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344">
        <v>1.5880875999999999</v>
      </c>
      <c r="P344">
        <v>25.333334000000001</v>
      </c>
      <c r="Q344">
        <f>ROUND(Table1[[#This Row],[dass21_raw_score]],0)</f>
        <v>25</v>
      </c>
      <c r="R344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344">
        <v>1.3868879999999999</v>
      </c>
      <c r="T344">
        <v>2.4817979999999999</v>
      </c>
      <c r="U344">
        <v>4400</v>
      </c>
      <c r="V344" s="1">
        <f>ROUND(Table1[[#This Row],[fmpce]],0)</f>
        <v>4400</v>
      </c>
      <c r="W344">
        <v>59.860523000000001</v>
      </c>
      <c r="X344" s="4">
        <f>Table1[[#This Row],[mpce]]*89</f>
        <v>5327.5865469999999</v>
      </c>
      <c r="Y344" s="2" t="s">
        <v>32</v>
      </c>
      <c r="Z344" s="3">
        <f>VLOOKUP(Y344, rmpce_reference!$B$1:$D$7,3,FALSE) * 89</f>
        <v>4450</v>
      </c>
      <c r="AA344" s="1" t="str">
        <f>IF(Table1[rmpce_inr]&lt;=rmpce_reference!$F$2, "Low Income", IF(Table1[rmpce_inr]&lt;=rmpce_reference!$F$3, "Middle Income", "High Income"))</f>
        <v>Low Income</v>
      </c>
    </row>
    <row r="345" spans="1:27" x14ac:dyDescent="0.25">
      <c r="A345">
        <v>2088</v>
      </c>
      <c r="B345" t="s">
        <v>39</v>
      </c>
      <c r="C345" t="s">
        <v>29</v>
      </c>
      <c r="D345">
        <v>35</v>
      </c>
      <c r="E345" t="s">
        <v>25</v>
      </c>
      <c r="F345" t="s">
        <v>23</v>
      </c>
      <c r="G345">
        <v>16</v>
      </c>
      <c r="H345" s="1" t="str">
        <f>IF(Table1[[#This Row],[anxiety_score]]&lt;=10, "Normal", IF(Table1[[#This Row],[anxiety_score]]&lt;=20, "Moderate", IF(Table1[[#This Row],[anxiety_score]]&lt;=30, "Severe", "Extremely Severe")))</f>
        <v>Moderate</v>
      </c>
      <c r="I345">
        <v>0.59493434000000001</v>
      </c>
      <c r="J345">
        <v>24</v>
      </c>
      <c r="K345" s="1" t="str">
        <f>IF(Table1[[#This Row],[stress_score]]&lt;=10, "Normal", IF(Table1[[#This Row],[stress_score]]&lt;=20, "Moderate", IF(Table1[[#This Row],[stress_score]]&lt;=30, "Severe", "Extremely Severe")))</f>
        <v>Severe</v>
      </c>
      <c r="L345">
        <v>1.1734637999999999</v>
      </c>
      <c r="M345">
        <v>18</v>
      </c>
      <c r="N345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345">
        <v>0.62490060000000003</v>
      </c>
      <c r="P345">
        <v>19.333334000000001</v>
      </c>
      <c r="Q345">
        <f>ROUND(Table1[[#This Row],[dass21_raw_score]],0)</f>
        <v>19</v>
      </c>
      <c r="R345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345">
        <v>0.79776627</v>
      </c>
      <c r="T345">
        <v>1.8926761000000001</v>
      </c>
      <c r="U345">
        <v>5500</v>
      </c>
      <c r="V345" s="1">
        <f>ROUND(Table1[[#This Row],[fmpce]],0)</f>
        <v>5500</v>
      </c>
      <c r="W345">
        <v>74.825649999999996</v>
      </c>
      <c r="X345" s="4">
        <f>Table1[[#This Row],[mpce]]*89</f>
        <v>6659.4828499999994</v>
      </c>
      <c r="Y345" s="2" t="s">
        <v>28</v>
      </c>
      <c r="Z345" s="3">
        <f>VLOOKUP(Y345, rmpce_reference!$B$1:$D$7,3,FALSE) * 89</f>
        <v>6230</v>
      </c>
      <c r="AA345" s="1" t="str">
        <f>IF(Table1[rmpce_inr]&lt;=rmpce_reference!$F$2, "Low Income", IF(Table1[rmpce_inr]&lt;=rmpce_reference!$F$3, "Middle Income", "High Income"))</f>
        <v>Middle Income</v>
      </c>
    </row>
    <row r="346" spans="1:27" x14ac:dyDescent="0.25">
      <c r="A346">
        <v>2089</v>
      </c>
      <c r="B346" t="s">
        <v>39</v>
      </c>
      <c r="C346" t="s">
        <v>36</v>
      </c>
      <c r="D346">
        <v>54</v>
      </c>
      <c r="E346" t="s">
        <v>25</v>
      </c>
      <c r="F346" t="s">
        <v>26</v>
      </c>
      <c r="G346">
        <v>24</v>
      </c>
      <c r="H346" s="1" t="str">
        <f>IF(Table1[[#This Row],[anxiety_score]]&lt;=10, "Normal", IF(Table1[[#This Row],[anxiety_score]]&lt;=20, "Moderate", IF(Table1[[#This Row],[anxiety_score]]&lt;=30, "Severe", "Extremely Severe")))</f>
        <v>Severe</v>
      </c>
      <c r="I346">
        <v>1.3991127999999999</v>
      </c>
      <c r="J346">
        <v>26</v>
      </c>
      <c r="K346" s="1" t="str">
        <f>IF(Table1[[#This Row],[stress_score]]&lt;=10, "Normal", IF(Table1[[#This Row],[stress_score]]&lt;=20, "Moderate", IF(Table1[[#This Row],[stress_score]]&lt;=30, "Severe", "Extremely Severe")))</f>
        <v>Severe</v>
      </c>
      <c r="L346">
        <v>1.3681251000000001</v>
      </c>
      <c r="M346">
        <v>24</v>
      </c>
      <c r="N346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346">
        <v>1.2028128</v>
      </c>
      <c r="P346">
        <v>24.666665999999999</v>
      </c>
      <c r="Q346">
        <f>ROUND(Table1[[#This Row],[dass21_raw_score]],0)</f>
        <v>25</v>
      </c>
      <c r="R346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346">
        <v>1.3233501999999999</v>
      </c>
      <c r="T346">
        <v>2.4182600000000001</v>
      </c>
      <c r="U346">
        <v>8333.3330000000005</v>
      </c>
      <c r="V346" s="1">
        <f>ROUND(Table1[[#This Row],[fmpce]],0)</f>
        <v>8333</v>
      </c>
      <c r="W346">
        <v>113.37220000000001</v>
      </c>
      <c r="X346" s="4">
        <f>Table1[[#This Row],[mpce]]*89</f>
        <v>10090.1258</v>
      </c>
      <c r="Y346" s="2" t="s">
        <v>35</v>
      </c>
      <c r="Z346" s="3">
        <f>VLOOKUP(Y346, rmpce_reference!$B$1:$D$7,3,FALSE) * 89</f>
        <v>9790</v>
      </c>
      <c r="AA346" s="1" t="str">
        <f>IF(Table1[rmpce_inr]&lt;=rmpce_reference!$F$2, "Low Income", IF(Table1[rmpce_inr]&lt;=rmpce_reference!$F$3, "Middle Income", "High Income"))</f>
        <v>High Income</v>
      </c>
    </row>
    <row r="347" spans="1:27" x14ac:dyDescent="0.25">
      <c r="A347">
        <v>2090</v>
      </c>
      <c r="B347" t="s">
        <v>39</v>
      </c>
      <c r="C347" t="s">
        <v>21</v>
      </c>
      <c r="D347">
        <v>45</v>
      </c>
      <c r="E347" t="s">
        <v>25</v>
      </c>
      <c r="F347" t="s">
        <v>26</v>
      </c>
      <c r="G347">
        <v>32</v>
      </c>
      <c r="H347" s="1" t="str">
        <f>IF(Table1[[#This Row],[anxiety_score]]&lt;=10, "Normal", IF(Table1[[#This Row],[anxiety_score]]&lt;=20, "Moderate", IF(Table1[[#This Row],[anxiety_score]]&lt;=30, "Severe", "Extremely Severe")))</f>
        <v>Extremely Severe</v>
      </c>
      <c r="I347">
        <v>2.2032911999999998</v>
      </c>
      <c r="J347">
        <v>36</v>
      </c>
      <c r="K347" s="1" t="str">
        <f>IF(Table1[[#This Row],[stress_score]]&lt;=10, "Normal", IF(Table1[[#This Row],[stress_score]]&lt;=20, "Moderate", IF(Table1[[#This Row],[stress_score]]&lt;=30, "Severe", "Extremely Severe")))</f>
        <v>Extremely Severe</v>
      </c>
      <c r="L347">
        <v>2.3414313999999998</v>
      </c>
      <c r="M347">
        <v>30</v>
      </c>
      <c r="N347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347">
        <v>1.7807249999999999</v>
      </c>
      <c r="P347">
        <v>32.666668000000001</v>
      </c>
      <c r="Q347">
        <f>ROUND(Table1[[#This Row],[dass21_raw_score]],0)</f>
        <v>33</v>
      </c>
      <c r="R347" s="1" t="str">
        <f>IF(Table1[[#This Row],[round_dass21_raw_score]]&lt;=10, "Normal", IF(Table1[[#This Row],[round_dass21_raw_score]]&lt;=20, "Moderate", IF(Table1[[#This Row],[round_dass21_raw_score]]&lt;=30, "Severe", "Extremely Severe")))</f>
        <v>Extremely Severe</v>
      </c>
      <c r="S347">
        <v>2.1084825999999999</v>
      </c>
      <c r="T347">
        <v>3.2033925000000001</v>
      </c>
      <c r="U347">
        <v>6000</v>
      </c>
      <c r="V347" s="1">
        <f>ROUND(Table1[[#This Row],[fmpce]],0)</f>
        <v>6000</v>
      </c>
      <c r="W347">
        <v>81.627989999999997</v>
      </c>
      <c r="X347" s="4">
        <f>Table1[[#This Row],[mpce]]*89</f>
        <v>7264.8911099999996</v>
      </c>
      <c r="Y347" s="2" t="s">
        <v>31</v>
      </c>
      <c r="Z347" s="3">
        <f>VLOOKUP(Y347, rmpce_reference!$B$1:$D$7,3,FALSE) * 89</f>
        <v>8010</v>
      </c>
      <c r="AA347" s="1" t="str">
        <f>IF(Table1[rmpce_inr]&lt;=rmpce_reference!$F$2, "Low Income", IF(Table1[rmpce_inr]&lt;=rmpce_reference!$F$3, "Middle Income", "High Income"))</f>
        <v>High Income</v>
      </c>
    </row>
    <row r="348" spans="1:27" x14ac:dyDescent="0.25">
      <c r="A348">
        <v>2091</v>
      </c>
      <c r="B348" t="s">
        <v>39</v>
      </c>
      <c r="C348" t="s">
        <v>29</v>
      </c>
      <c r="D348">
        <v>40</v>
      </c>
      <c r="E348" t="s">
        <v>25</v>
      </c>
      <c r="F348" t="s">
        <v>26</v>
      </c>
      <c r="G348">
        <v>4</v>
      </c>
      <c r="H348" s="1" t="str">
        <f>IF(Table1[[#This Row],[anxiety_score]]&lt;=10, "Normal", IF(Table1[[#This Row],[anxiety_score]]&lt;=20, "Moderate", IF(Table1[[#This Row],[anxiety_score]]&lt;=30, "Severe", "Extremely Severe")))</f>
        <v>Normal</v>
      </c>
      <c r="I348">
        <v>-0.61133329999999997</v>
      </c>
      <c r="J348">
        <v>10</v>
      </c>
      <c r="K348" s="1" t="str">
        <f>IF(Table1[[#This Row],[stress_score]]&lt;=10, "Normal", IF(Table1[[#This Row],[stress_score]]&lt;=20, "Moderate", IF(Table1[[#This Row],[stress_score]]&lt;=30, "Severe", "Extremely Severe")))</f>
        <v>Normal</v>
      </c>
      <c r="L348">
        <v>-0.18916494</v>
      </c>
      <c r="M348">
        <v>14</v>
      </c>
      <c r="N348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348">
        <v>0.23962580999999999</v>
      </c>
      <c r="P348">
        <v>9.3333329999999997</v>
      </c>
      <c r="Q348">
        <f>ROUND(Table1[[#This Row],[dass21_raw_score]],0)</f>
        <v>9</v>
      </c>
      <c r="R348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348">
        <v>-0.18695748000000001</v>
      </c>
      <c r="T348">
        <v>0.90795239999999999</v>
      </c>
      <c r="U348">
        <v>5000</v>
      </c>
      <c r="V348" s="1">
        <f>ROUND(Table1[[#This Row],[fmpce]],0)</f>
        <v>5000</v>
      </c>
      <c r="W348">
        <v>68.023319999999998</v>
      </c>
      <c r="X348" s="4">
        <f>Table1[[#This Row],[mpce]]*89</f>
        <v>6054.0754799999995</v>
      </c>
      <c r="Y348" s="2" t="s">
        <v>28</v>
      </c>
      <c r="Z348" s="3">
        <f>VLOOKUP(Y348, rmpce_reference!$B$1:$D$7,3,FALSE) * 89</f>
        <v>6230</v>
      </c>
      <c r="AA348" s="1" t="str">
        <f>IF(Table1[rmpce_inr]&lt;=rmpce_reference!$F$2, "Low Income", IF(Table1[rmpce_inr]&lt;=rmpce_reference!$F$3, "Middle Income", "High Income"))</f>
        <v>Middle Income</v>
      </c>
    </row>
    <row r="349" spans="1:27" x14ac:dyDescent="0.25">
      <c r="A349">
        <v>2092</v>
      </c>
      <c r="B349" t="s">
        <v>39</v>
      </c>
      <c r="C349" t="s">
        <v>29</v>
      </c>
      <c r="D349">
        <v>40</v>
      </c>
      <c r="E349" t="s">
        <v>25</v>
      </c>
      <c r="F349" t="s">
        <v>23</v>
      </c>
      <c r="G349">
        <v>2</v>
      </c>
      <c r="H349" s="1" t="str">
        <f>IF(Table1[[#This Row],[anxiety_score]]&lt;=10, "Normal", IF(Table1[[#This Row],[anxiety_score]]&lt;=20, "Moderate", IF(Table1[[#This Row],[anxiety_score]]&lt;=30, "Severe", "Extremely Severe")))</f>
        <v>Normal</v>
      </c>
      <c r="I349">
        <v>-0.81237789999999999</v>
      </c>
      <c r="J349">
        <v>10</v>
      </c>
      <c r="K349" s="1" t="str">
        <f>IF(Table1[[#This Row],[stress_score]]&lt;=10, "Normal", IF(Table1[[#This Row],[stress_score]]&lt;=20, "Moderate", IF(Table1[[#This Row],[stress_score]]&lt;=30, "Severe", "Extremely Severe")))</f>
        <v>Normal</v>
      </c>
      <c r="L349">
        <v>-0.18916494</v>
      </c>
      <c r="M349">
        <v>14</v>
      </c>
      <c r="N349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349">
        <v>0.23962580999999999</v>
      </c>
      <c r="P349">
        <v>8.6666670000000003</v>
      </c>
      <c r="Q349">
        <f>ROUND(Table1[[#This Row],[dass21_raw_score]],0)</f>
        <v>9</v>
      </c>
      <c r="R349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349">
        <v>-0.25397235000000001</v>
      </c>
      <c r="T349">
        <v>0.84093755000000003</v>
      </c>
      <c r="U349">
        <v>6666.6665000000003</v>
      </c>
      <c r="V349" s="1">
        <f>ROUND(Table1[[#This Row],[fmpce]],0)</f>
        <v>6667</v>
      </c>
      <c r="W349">
        <v>90.697760000000002</v>
      </c>
      <c r="X349" s="4">
        <f>Table1[[#This Row],[mpce]]*89</f>
        <v>8072.1006400000006</v>
      </c>
      <c r="Y349" s="2" t="s">
        <v>31</v>
      </c>
      <c r="Z349" s="3">
        <f>VLOOKUP(Y349, rmpce_reference!$B$1:$D$7,3,FALSE) * 89</f>
        <v>8010</v>
      </c>
      <c r="AA349" s="1" t="str">
        <f>IF(Table1[rmpce_inr]&lt;=rmpce_reference!$F$2, "Low Income", IF(Table1[rmpce_inr]&lt;=rmpce_reference!$F$3, "Middle Income", "High Income"))</f>
        <v>High Income</v>
      </c>
    </row>
    <row r="350" spans="1:27" x14ac:dyDescent="0.25">
      <c r="A350">
        <v>2093</v>
      </c>
      <c r="B350" t="s">
        <v>39</v>
      </c>
      <c r="C350" t="s">
        <v>21</v>
      </c>
      <c r="D350">
        <v>48</v>
      </c>
      <c r="E350" t="s">
        <v>25</v>
      </c>
      <c r="F350" t="s">
        <v>26</v>
      </c>
      <c r="G350">
        <v>2</v>
      </c>
      <c r="H350" s="1" t="str">
        <f>IF(Table1[[#This Row],[anxiety_score]]&lt;=10, "Normal", IF(Table1[[#This Row],[anxiety_score]]&lt;=20, "Moderate", IF(Table1[[#This Row],[anxiety_score]]&lt;=30, "Severe", "Extremely Severe")))</f>
        <v>Normal</v>
      </c>
      <c r="I350">
        <v>-0.81237789999999999</v>
      </c>
      <c r="J350">
        <v>6</v>
      </c>
      <c r="K350" s="1" t="str">
        <f>IF(Table1[[#This Row],[stress_score]]&lt;=10, "Normal", IF(Table1[[#This Row],[stress_score]]&lt;=20, "Moderate", IF(Table1[[#This Row],[stress_score]]&lt;=30, "Severe", "Extremely Severe")))</f>
        <v>Normal</v>
      </c>
      <c r="L350">
        <v>-0.57848745999999995</v>
      </c>
      <c r="M350">
        <v>6</v>
      </c>
      <c r="N350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350">
        <v>-0.53092379999999995</v>
      </c>
      <c r="P350">
        <v>4.6666664999999998</v>
      </c>
      <c r="Q350">
        <f>ROUND(Table1[[#This Row],[dass21_raw_score]],0)</f>
        <v>5</v>
      </c>
      <c r="R350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350">
        <v>-0.64059639999999995</v>
      </c>
      <c r="T350">
        <v>0.45431352000000003</v>
      </c>
      <c r="U350">
        <v>2333.3332999999998</v>
      </c>
      <c r="V350" s="1">
        <f>ROUND(Table1[[#This Row],[fmpce]],0)</f>
        <v>2333</v>
      </c>
      <c r="W350">
        <v>31.744216999999999</v>
      </c>
      <c r="X350" s="4">
        <f>Table1[[#This Row],[mpce]]*89</f>
        <v>2825.2353130000001</v>
      </c>
      <c r="Y350" s="2" t="s">
        <v>34</v>
      </c>
      <c r="Z350" s="3">
        <f>VLOOKUP(Y350, rmpce_reference!$B$1:$D$7,3,FALSE) * 89</f>
        <v>2848</v>
      </c>
      <c r="AA350" s="1" t="str">
        <f>IF(Table1[rmpce_inr]&lt;=rmpce_reference!$F$2, "Low Income", IF(Table1[rmpce_inr]&lt;=rmpce_reference!$F$3, "Middle Income", "High Income"))</f>
        <v>Low Income</v>
      </c>
    </row>
    <row r="351" spans="1:27" x14ac:dyDescent="0.25">
      <c r="A351">
        <v>2094</v>
      </c>
      <c r="B351" t="s">
        <v>39</v>
      </c>
      <c r="C351" t="s">
        <v>29</v>
      </c>
      <c r="D351">
        <v>35</v>
      </c>
      <c r="E351" t="s">
        <v>25</v>
      </c>
      <c r="F351" t="s">
        <v>26</v>
      </c>
      <c r="G351">
        <v>6</v>
      </c>
      <c r="H351" s="1" t="str">
        <f>IF(Table1[[#This Row],[anxiety_score]]&lt;=10, "Normal", IF(Table1[[#This Row],[anxiety_score]]&lt;=20, "Moderate", IF(Table1[[#This Row],[anxiety_score]]&lt;=30, "Severe", "Extremely Severe")))</f>
        <v>Normal</v>
      </c>
      <c r="I351">
        <v>-0.41028870000000001</v>
      </c>
      <c r="J351">
        <v>10</v>
      </c>
      <c r="K351" s="1" t="str">
        <f>IF(Table1[[#This Row],[stress_score]]&lt;=10, "Normal", IF(Table1[[#This Row],[stress_score]]&lt;=20, "Moderate", IF(Table1[[#This Row],[stress_score]]&lt;=30, "Severe", "Extremely Severe")))</f>
        <v>Normal</v>
      </c>
      <c r="L351">
        <v>-0.18916494</v>
      </c>
      <c r="M351">
        <v>14</v>
      </c>
      <c r="N351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351">
        <v>0.23962580999999999</v>
      </c>
      <c r="P351">
        <v>10</v>
      </c>
      <c r="Q351">
        <f>ROUND(Table1[[#This Row],[dass21_raw_score]],0)</f>
        <v>10</v>
      </c>
      <c r="R351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351">
        <v>-0.11994260499999999</v>
      </c>
      <c r="T351">
        <v>0.97496729999999998</v>
      </c>
      <c r="U351">
        <v>2500</v>
      </c>
      <c r="V351" s="1">
        <f>ROUND(Table1[[#This Row],[fmpce]],0)</f>
        <v>2500</v>
      </c>
      <c r="W351">
        <v>34.011659999999999</v>
      </c>
      <c r="X351" s="4">
        <f>Table1[[#This Row],[mpce]]*89</f>
        <v>3027.0377399999998</v>
      </c>
      <c r="Y351" s="2" t="s">
        <v>34</v>
      </c>
      <c r="Z351" s="3">
        <f>VLOOKUP(Y351, rmpce_reference!$B$1:$D$7,3,FALSE) * 89</f>
        <v>2848</v>
      </c>
      <c r="AA351" s="1" t="str">
        <f>IF(Table1[rmpce_inr]&lt;=rmpce_reference!$F$2, "Low Income", IF(Table1[rmpce_inr]&lt;=rmpce_reference!$F$3, "Middle Income", "High Income"))</f>
        <v>Low Income</v>
      </c>
    </row>
    <row r="352" spans="1:27" x14ac:dyDescent="0.25">
      <c r="A352">
        <v>2095</v>
      </c>
      <c r="B352" t="s">
        <v>39</v>
      </c>
      <c r="C352" t="s">
        <v>29</v>
      </c>
      <c r="D352">
        <v>37</v>
      </c>
      <c r="E352" t="s">
        <v>25</v>
      </c>
      <c r="F352" t="s">
        <v>26</v>
      </c>
      <c r="G352">
        <v>4</v>
      </c>
      <c r="H352" s="1" t="str">
        <f>IF(Table1[[#This Row],[anxiety_score]]&lt;=10, "Normal", IF(Table1[[#This Row],[anxiety_score]]&lt;=20, "Moderate", IF(Table1[[#This Row],[anxiety_score]]&lt;=30, "Severe", "Extremely Severe")))</f>
        <v>Normal</v>
      </c>
      <c r="I352">
        <v>-0.61133329999999997</v>
      </c>
      <c r="J352">
        <v>10</v>
      </c>
      <c r="K352" s="1" t="str">
        <f>IF(Table1[[#This Row],[stress_score]]&lt;=10, "Normal", IF(Table1[[#This Row],[stress_score]]&lt;=20, "Moderate", IF(Table1[[#This Row],[stress_score]]&lt;=30, "Severe", "Extremely Severe")))</f>
        <v>Normal</v>
      </c>
      <c r="L352">
        <v>-0.18916494</v>
      </c>
      <c r="M352">
        <v>14</v>
      </c>
      <c r="N352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352">
        <v>0.23962580999999999</v>
      </c>
      <c r="P352">
        <v>9.3333329999999997</v>
      </c>
      <c r="Q352">
        <f>ROUND(Table1[[#This Row],[dass21_raw_score]],0)</f>
        <v>9</v>
      </c>
      <c r="R352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352">
        <v>-0.18695748000000001</v>
      </c>
      <c r="T352">
        <v>0.90795239999999999</v>
      </c>
      <c r="U352">
        <v>2500</v>
      </c>
      <c r="V352" s="1">
        <f>ROUND(Table1[[#This Row],[fmpce]],0)</f>
        <v>2500</v>
      </c>
      <c r="W352">
        <v>34.011659999999999</v>
      </c>
      <c r="X352" s="4">
        <f>Table1[[#This Row],[mpce]]*89</f>
        <v>3027.0377399999998</v>
      </c>
      <c r="Y352" s="2" t="s">
        <v>34</v>
      </c>
      <c r="Z352" s="3">
        <f>VLOOKUP(Y352, rmpce_reference!$B$1:$D$7,3,FALSE) * 89</f>
        <v>2848</v>
      </c>
      <c r="AA352" s="1" t="str">
        <f>IF(Table1[rmpce_inr]&lt;=rmpce_reference!$F$2, "Low Income", IF(Table1[rmpce_inr]&lt;=rmpce_reference!$F$3, "Middle Income", "High Income"))</f>
        <v>Low Income</v>
      </c>
    </row>
    <row r="353" spans="1:27" x14ac:dyDescent="0.25">
      <c r="A353">
        <v>2096</v>
      </c>
      <c r="B353" t="s">
        <v>39</v>
      </c>
      <c r="C353" t="s">
        <v>36</v>
      </c>
      <c r="D353">
        <v>56</v>
      </c>
      <c r="E353" t="s">
        <v>25</v>
      </c>
      <c r="F353" t="s">
        <v>26</v>
      </c>
      <c r="G353">
        <v>6</v>
      </c>
      <c r="H353" s="1" t="str">
        <f>IF(Table1[[#This Row],[anxiety_score]]&lt;=10, "Normal", IF(Table1[[#This Row],[anxiety_score]]&lt;=20, "Moderate", IF(Table1[[#This Row],[anxiety_score]]&lt;=30, "Severe", "Extremely Severe")))</f>
        <v>Normal</v>
      </c>
      <c r="I353">
        <v>-0.41028870000000001</v>
      </c>
      <c r="J353">
        <v>12</v>
      </c>
      <c r="K353" s="1" t="str">
        <f>IF(Table1[[#This Row],[stress_score]]&lt;=10, "Normal", IF(Table1[[#This Row],[stress_score]]&lt;=20, "Moderate", IF(Table1[[#This Row],[stress_score]]&lt;=30, "Severe", "Extremely Severe")))</f>
        <v>Moderate</v>
      </c>
      <c r="L353">
        <v>5.496318E-3</v>
      </c>
      <c r="M353">
        <v>14</v>
      </c>
      <c r="N353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353">
        <v>0.23962580999999999</v>
      </c>
      <c r="P353">
        <v>10.666667</v>
      </c>
      <c r="Q353">
        <f>ROUND(Table1[[#This Row],[dass21_raw_score]],0)</f>
        <v>11</v>
      </c>
      <c r="R353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353">
        <v>-5.5055519999999997E-2</v>
      </c>
      <c r="T353">
        <v>1.0398544000000001</v>
      </c>
      <c r="U353">
        <v>3750</v>
      </c>
      <c r="V353" s="1">
        <f>ROUND(Table1[[#This Row],[fmpce]],0)</f>
        <v>3750</v>
      </c>
      <c r="W353">
        <v>51.017493999999999</v>
      </c>
      <c r="X353" s="4">
        <f>Table1[[#This Row],[mpce]]*89</f>
        <v>4540.5569660000001</v>
      </c>
      <c r="Y353" s="2" t="s">
        <v>32</v>
      </c>
      <c r="Z353" s="3">
        <f>VLOOKUP(Y353, rmpce_reference!$B$1:$D$7,3,FALSE) * 89</f>
        <v>4450</v>
      </c>
      <c r="AA353" s="1" t="str">
        <f>IF(Table1[rmpce_inr]&lt;=rmpce_reference!$F$2, "Low Income", IF(Table1[rmpce_inr]&lt;=rmpce_reference!$F$3, "Middle Income", "High Income"))</f>
        <v>Low Income</v>
      </c>
    </row>
    <row r="354" spans="1:27" x14ac:dyDescent="0.25">
      <c r="A354">
        <v>2097</v>
      </c>
      <c r="B354" t="s">
        <v>39</v>
      </c>
      <c r="C354" t="s">
        <v>21</v>
      </c>
      <c r="D354">
        <v>42</v>
      </c>
      <c r="E354" t="s">
        <v>25</v>
      </c>
      <c r="F354" t="s">
        <v>26</v>
      </c>
      <c r="G354">
        <v>6</v>
      </c>
      <c r="H354" s="1" t="str">
        <f>IF(Table1[[#This Row],[anxiety_score]]&lt;=10, "Normal", IF(Table1[[#This Row],[anxiety_score]]&lt;=20, "Moderate", IF(Table1[[#This Row],[anxiety_score]]&lt;=30, "Severe", "Extremely Severe")))</f>
        <v>Normal</v>
      </c>
      <c r="I354">
        <v>-0.41028870000000001</v>
      </c>
      <c r="J354">
        <v>10</v>
      </c>
      <c r="K354" s="1" t="str">
        <f>IF(Table1[[#This Row],[stress_score]]&lt;=10, "Normal", IF(Table1[[#This Row],[stress_score]]&lt;=20, "Moderate", IF(Table1[[#This Row],[stress_score]]&lt;=30, "Severe", "Extremely Severe")))</f>
        <v>Normal</v>
      </c>
      <c r="L354">
        <v>-0.18916494</v>
      </c>
      <c r="M354">
        <v>12</v>
      </c>
      <c r="N354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354">
        <v>4.6988415999999998E-2</v>
      </c>
      <c r="P354">
        <v>9.3333329999999997</v>
      </c>
      <c r="Q354">
        <f>ROUND(Table1[[#This Row],[dass21_raw_score]],0)</f>
        <v>9</v>
      </c>
      <c r="R354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354">
        <v>-0.18415508</v>
      </c>
      <c r="T354">
        <v>0.91075479999999998</v>
      </c>
      <c r="U354">
        <v>2500</v>
      </c>
      <c r="V354" s="1">
        <f>ROUND(Table1[[#This Row],[fmpce]],0)</f>
        <v>2500</v>
      </c>
      <c r="W354">
        <v>34.011659999999999</v>
      </c>
      <c r="X354" s="4">
        <f>Table1[[#This Row],[mpce]]*89</f>
        <v>3027.0377399999998</v>
      </c>
      <c r="Y354" s="2" t="s">
        <v>34</v>
      </c>
      <c r="Z354" s="3">
        <f>VLOOKUP(Y354, rmpce_reference!$B$1:$D$7,3,FALSE) * 89</f>
        <v>2848</v>
      </c>
      <c r="AA354" s="1" t="str">
        <f>IF(Table1[rmpce_inr]&lt;=rmpce_reference!$F$2, "Low Income", IF(Table1[rmpce_inr]&lt;=rmpce_reference!$F$3, "Middle Income", "High Income"))</f>
        <v>Low Income</v>
      </c>
    </row>
    <row r="355" spans="1:27" x14ac:dyDescent="0.25">
      <c r="A355">
        <v>2098</v>
      </c>
      <c r="B355" t="s">
        <v>39</v>
      </c>
      <c r="C355" t="s">
        <v>36</v>
      </c>
      <c r="D355">
        <v>52</v>
      </c>
      <c r="E355" t="s">
        <v>25</v>
      </c>
      <c r="F355" t="s">
        <v>26</v>
      </c>
      <c r="G355">
        <v>6</v>
      </c>
      <c r="H355" s="1" t="str">
        <f>IF(Table1[[#This Row],[anxiety_score]]&lt;=10, "Normal", IF(Table1[[#This Row],[anxiety_score]]&lt;=20, "Moderate", IF(Table1[[#This Row],[anxiety_score]]&lt;=30, "Severe", "Extremely Severe")))</f>
        <v>Normal</v>
      </c>
      <c r="I355">
        <v>-0.41028870000000001</v>
      </c>
      <c r="J355">
        <v>8</v>
      </c>
      <c r="K355" s="1" t="str">
        <f>IF(Table1[[#This Row],[stress_score]]&lt;=10, "Normal", IF(Table1[[#This Row],[stress_score]]&lt;=20, "Moderate", IF(Table1[[#This Row],[stress_score]]&lt;=30, "Severe", "Extremely Severe")))</f>
        <v>Normal</v>
      </c>
      <c r="L355">
        <v>-0.38382620000000001</v>
      </c>
      <c r="M355">
        <v>14</v>
      </c>
      <c r="N355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355">
        <v>0.23962580999999999</v>
      </c>
      <c r="P355">
        <v>9.3333329999999997</v>
      </c>
      <c r="Q355">
        <f>ROUND(Table1[[#This Row],[dass21_raw_score]],0)</f>
        <v>9</v>
      </c>
      <c r="R355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355">
        <v>-0.18482970000000001</v>
      </c>
      <c r="T355">
        <v>0.91008020000000001</v>
      </c>
      <c r="U355">
        <v>3500</v>
      </c>
      <c r="V355" s="1">
        <f>ROUND(Table1[[#This Row],[fmpce]],0)</f>
        <v>3500</v>
      </c>
      <c r="W355">
        <v>47.616325000000003</v>
      </c>
      <c r="X355" s="4">
        <f>Table1[[#This Row],[mpce]]*89</f>
        <v>4237.8529250000001</v>
      </c>
      <c r="Y355" s="2" t="s">
        <v>32</v>
      </c>
      <c r="Z355" s="3">
        <f>VLOOKUP(Y355, rmpce_reference!$B$1:$D$7,3,FALSE) * 89</f>
        <v>4450</v>
      </c>
      <c r="AA355" s="1" t="str">
        <f>IF(Table1[rmpce_inr]&lt;=rmpce_reference!$F$2, "Low Income", IF(Table1[rmpce_inr]&lt;=rmpce_reference!$F$3, "Middle Income", "High Income"))</f>
        <v>Low Income</v>
      </c>
    </row>
    <row r="356" spans="1:27" x14ac:dyDescent="0.25">
      <c r="A356">
        <v>2099</v>
      </c>
      <c r="B356" t="s">
        <v>39</v>
      </c>
      <c r="C356" t="s">
        <v>36</v>
      </c>
      <c r="D356">
        <v>55</v>
      </c>
      <c r="E356" t="s">
        <v>25</v>
      </c>
      <c r="F356" t="s">
        <v>23</v>
      </c>
      <c r="G356">
        <v>6</v>
      </c>
      <c r="H356" s="1" t="str">
        <f>IF(Table1[[#This Row],[anxiety_score]]&lt;=10, "Normal", IF(Table1[[#This Row],[anxiety_score]]&lt;=20, "Moderate", IF(Table1[[#This Row],[anxiety_score]]&lt;=30, "Severe", "Extremely Severe")))</f>
        <v>Normal</v>
      </c>
      <c r="I356">
        <v>-0.41028870000000001</v>
      </c>
      <c r="J356">
        <v>12</v>
      </c>
      <c r="K356" s="1" t="str">
        <f>IF(Table1[[#This Row],[stress_score]]&lt;=10, "Normal", IF(Table1[[#This Row],[stress_score]]&lt;=20, "Moderate", IF(Table1[[#This Row],[stress_score]]&lt;=30, "Severe", "Extremely Severe")))</f>
        <v>Moderate</v>
      </c>
      <c r="L356">
        <v>5.496318E-3</v>
      </c>
      <c r="M356">
        <v>14</v>
      </c>
      <c r="N356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356">
        <v>0.23962580999999999</v>
      </c>
      <c r="P356">
        <v>10.666667</v>
      </c>
      <c r="Q356">
        <f>ROUND(Table1[[#This Row],[dass21_raw_score]],0)</f>
        <v>11</v>
      </c>
      <c r="R356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356">
        <v>-5.5055519999999997E-2</v>
      </c>
      <c r="T356">
        <v>1.0398544000000001</v>
      </c>
      <c r="U356">
        <v>1600</v>
      </c>
      <c r="V356" s="1">
        <f>ROUND(Table1[[#This Row],[fmpce]],0)</f>
        <v>1600</v>
      </c>
      <c r="W356">
        <v>21.767464</v>
      </c>
      <c r="X356" s="4">
        <f>Table1[[#This Row],[mpce]]*89</f>
        <v>1937.304296</v>
      </c>
      <c r="Y356" s="2" t="s">
        <v>24</v>
      </c>
      <c r="Z356" s="3">
        <f>VLOOKUP(Y356, rmpce_reference!$B$1:$D$7,3,FALSE) * 89</f>
        <v>2225</v>
      </c>
      <c r="AA356" s="1" t="str">
        <f>IF(Table1[rmpce_inr]&lt;=rmpce_reference!$F$2, "Low Income", IF(Table1[rmpce_inr]&lt;=rmpce_reference!$F$3, "Middle Income", "High Income"))</f>
        <v>Low Income</v>
      </c>
    </row>
    <row r="357" spans="1:27" x14ac:dyDescent="0.25">
      <c r="A357">
        <v>2100</v>
      </c>
      <c r="B357" t="s">
        <v>39</v>
      </c>
      <c r="C357" t="s">
        <v>33</v>
      </c>
      <c r="D357">
        <v>25</v>
      </c>
      <c r="E357" t="s">
        <v>25</v>
      </c>
      <c r="F357" t="s">
        <v>30</v>
      </c>
      <c r="G357">
        <v>6</v>
      </c>
      <c r="H357" s="1" t="str">
        <f>IF(Table1[[#This Row],[anxiety_score]]&lt;=10, "Normal", IF(Table1[[#This Row],[anxiety_score]]&lt;=20, "Moderate", IF(Table1[[#This Row],[anxiety_score]]&lt;=30, "Severe", "Extremely Severe")))</f>
        <v>Normal</v>
      </c>
      <c r="I357">
        <v>-0.41028870000000001</v>
      </c>
      <c r="J357">
        <v>10</v>
      </c>
      <c r="K357" s="1" t="str">
        <f>IF(Table1[[#This Row],[stress_score]]&lt;=10, "Normal", IF(Table1[[#This Row],[stress_score]]&lt;=20, "Moderate", IF(Table1[[#This Row],[stress_score]]&lt;=30, "Severe", "Extremely Severe")))</f>
        <v>Normal</v>
      </c>
      <c r="L357">
        <v>-0.18916494</v>
      </c>
      <c r="M357">
        <v>14</v>
      </c>
      <c r="N357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357">
        <v>0.23962580999999999</v>
      </c>
      <c r="P357">
        <v>10</v>
      </c>
      <c r="Q357">
        <f>ROUND(Table1[[#This Row],[dass21_raw_score]],0)</f>
        <v>10</v>
      </c>
      <c r="R357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357">
        <v>-0.11994260499999999</v>
      </c>
      <c r="T357">
        <v>0.97496729999999998</v>
      </c>
      <c r="U357">
        <v>7000</v>
      </c>
      <c r="V357" s="1">
        <f>ROUND(Table1[[#This Row],[fmpce]],0)</f>
        <v>7000</v>
      </c>
      <c r="W357">
        <v>95.232650000000007</v>
      </c>
      <c r="X357" s="4">
        <f>Table1[[#This Row],[mpce]]*89</f>
        <v>8475.7058500000003</v>
      </c>
      <c r="Y357" s="2" t="s">
        <v>31</v>
      </c>
      <c r="Z357" s="3">
        <f>VLOOKUP(Y357, rmpce_reference!$B$1:$D$7,3,FALSE) * 89</f>
        <v>8010</v>
      </c>
      <c r="AA357" s="1" t="str">
        <f>IF(Table1[rmpce_inr]&lt;=rmpce_reference!$F$2, "Low Income", IF(Table1[rmpce_inr]&lt;=rmpce_reference!$F$3, "Middle Income", "High Income"))</f>
        <v>High Income</v>
      </c>
    </row>
    <row r="358" spans="1:27" x14ac:dyDescent="0.25">
      <c r="A358">
        <v>2101</v>
      </c>
      <c r="B358" t="s">
        <v>39</v>
      </c>
      <c r="C358" t="s">
        <v>36</v>
      </c>
      <c r="D358">
        <v>55</v>
      </c>
      <c r="E358" t="s">
        <v>25</v>
      </c>
      <c r="F358" t="s">
        <v>26</v>
      </c>
      <c r="G358">
        <v>4</v>
      </c>
      <c r="H358" s="1" t="str">
        <f>IF(Table1[[#This Row],[anxiety_score]]&lt;=10, "Normal", IF(Table1[[#This Row],[anxiety_score]]&lt;=20, "Moderate", IF(Table1[[#This Row],[anxiety_score]]&lt;=30, "Severe", "Extremely Severe")))</f>
        <v>Normal</v>
      </c>
      <c r="I358">
        <v>-0.61133329999999997</v>
      </c>
      <c r="J358">
        <v>10</v>
      </c>
      <c r="K358" s="1" t="str">
        <f>IF(Table1[[#This Row],[stress_score]]&lt;=10, "Normal", IF(Table1[[#This Row],[stress_score]]&lt;=20, "Moderate", IF(Table1[[#This Row],[stress_score]]&lt;=30, "Severe", "Extremely Severe")))</f>
        <v>Normal</v>
      </c>
      <c r="L358">
        <v>-0.18916494</v>
      </c>
      <c r="M358">
        <v>2</v>
      </c>
      <c r="N358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358">
        <v>-0.91619854999999994</v>
      </c>
      <c r="P358">
        <v>5.3333335000000002</v>
      </c>
      <c r="Q358">
        <f>ROUND(Table1[[#This Row],[dass21_raw_score]],0)</f>
        <v>5</v>
      </c>
      <c r="R358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358">
        <v>-0.57223225</v>
      </c>
      <c r="T358">
        <v>0.52267766000000004</v>
      </c>
      <c r="U358">
        <v>2000</v>
      </c>
      <c r="V358" s="1">
        <f>ROUND(Table1[[#This Row],[fmpce]],0)</f>
        <v>2000</v>
      </c>
      <c r="W358">
        <v>27.209330000000001</v>
      </c>
      <c r="X358" s="4">
        <f>Table1[[#This Row],[mpce]]*89</f>
        <v>2421.6303700000003</v>
      </c>
      <c r="Y358" s="2" t="s">
        <v>34</v>
      </c>
      <c r="Z358" s="3">
        <f>VLOOKUP(Y358, rmpce_reference!$B$1:$D$7,3,FALSE) * 89</f>
        <v>2848</v>
      </c>
      <c r="AA358" s="1" t="str">
        <f>IF(Table1[rmpce_inr]&lt;=rmpce_reference!$F$2, "Low Income", IF(Table1[rmpce_inr]&lt;=rmpce_reference!$F$3, "Middle Income", "High Income"))</f>
        <v>Low Income</v>
      </c>
    </row>
    <row r="359" spans="1:27" x14ac:dyDescent="0.25">
      <c r="A359">
        <v>2102</v>
      </c>
      <c r="B359" t="s">
        <v>39</v>
      </c>
      <c r="C359" t="s">
        <v>33</v>
      </c>
      <c r="D359">
        <v>30</v>
      </c>
      <c r="E359" t="s">
        <v>25</v>
      </c>
      <c r="F359" t="s">
        <v>26</v>
      </c>
      <c r="G359">
        <v>4</v>
      </c>
      <c r="H359" s="1" t="str">
        <f>IF(Table1[[#This Row],[anxiety_score]]&lt;=10, "Normal", IF(Table1[[#This Row],[anxiety_score]]&lt;=20, "Moderate", IF(Table1[[#This Row],[anxiety_score]]&lt;=30, "Severe", "Extremely Severe")))</f>
        <v>Normal</v>
      </c>
      <c r="I359">
        <v>-0.61133329999999997</v>
      </c>
      <c r="J359">
        <v>12</v>
      </c>
      <c r="K359" s="1" t="str">
        <f>IF(Table1[[#This Row],[stress_score]]&lt;=10, "Normal", IF(Table1[[#This Row],[stress_score]]&lt;=20, "Moderate", IF(Table1[[#This Row],[stress_score]]&lt;=30, "Severe", "Extremely Severe")))</f>
        <v>Moderate</v>
      </c>
      <c r="L359">
        <v>5.496318E-3</v>
      </c>
      <c r="M359">
        <v>2</v>
      </c>
      <c r="N359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359">
        <v>-0.91619854999999994</v>
      </c>
      <c r="P359">
        <v>6</v>
      </c>
      <c r="Q359">
        <f>ROUND(Table1[[#This Row],[dass21_raw_score]],0)</f>
        <v>6</v>
      </c>
      <c r="R359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359">
        <v>-0.50734520000000005</v>
      </c>
      <c r="T359">
        <v>0.58756470000000005</v>
      </c>
      <c r="U359">
        <v>2000</v>
      </c>
      <c r="V359" s="1">
        <f>ROUND(Table1[[#This Row],[fmpce]],0)</f>
        <v>2000</v>
      </c>
      <c r="W359">
        <v>27.209330000000001</v>
      </c>
      <c r="X359" s="4">
        <f>Table1[[#This Row],[mpce]]*89</f>
        <v>2421.6303700000003</v>
      </c>
      <c r="Y359" s="2" t="s">
        <v>34</v>
      </c>
      <c r="Z359" s="3">
        <f>VLOOKUP(Y359, rmpce_reference!$B$1:$D$7,3,FALSE) * 89</f>
        <v>2848</v>
      </c>
      <c r="AA359" s="1" t="str">
        <f>IF(Table1[rmpce_inr]&lt;=rmpce_reference!$F$2, "Low Income", IF(Table1[rmpce_inr]&lt;=rmpce_reference!$F$3, "Middle Income", "High Income"))</f>
        <v>Low Income</v>
      </c>
    </row>
    <row r="360" spans="1:27" x14ac:dyDescent="0.25">
      <c r="A360">
        <v>2103</v>
      </c>
      <c r="B360" t="s">
        <v>39</v>
      </c>
      <c r="C360" t="s">
        <v>29</v>
      </c>
      <c r="D360">
        <v>36</v>
      </c>
      <c r="E360" t="s">
        <v>25</v>
      </c>
      <c r="F360" t="s">
        <v>26</v>
      </c>
      <c r="G360">
        <v>18</v>
      </c>
      <c r="H360" s="1" t="str">
        <f>IF(Table1[[#This Row],[anxiety_score]]&lt;=10, "Normal", IF(Table1[[#This Row],[anxiety_score]]&lt;=20, "Moderate", IF(Table1[[#This Row],[anxiety_score]]&lt;=30, "Severe", "Extremely Severe")))</f>
        <v>Moderate</v>
      </c>
      <c r="I360">
        <v>0.79597896000000001</v>
      </c>
      <c r="J360">
        <v>16</v>
      </c>
      <c r="K360" s="1" t="str">
        <f>IF(Table1[[#This Row],[stress_score]]&lt;=10, "Normal", IF(Table1[[#This Row],[stress_score]]&lt;=20, "Moderate", IF(Table1[[#This Row],[stress_score]]&lt;=30, "Severe", "Extremely Severe")))</f>
        <v>Moderate</v>
      </c>
      <c r="L360">
        <v>0.39481880000000003</v>
      </c>
      <c r="M360">
        <v>12</v>
      </c>
      <c r="N360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360">
        <v>4.6988415999999998E-2</v>
      </c>
      <c r="P360">
        <v>15.333333</v>
      </c>
      <c r="Q360">
        <f>ROUND(Table1[[#This Row],[dass21_raw_score]],0)</f>
        <v>15</v>
      </c>
      <c r="R360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360">
        <v>0.4125954</v>
      </c>
      <c r="T360">
        <v>1.5075053</v>
      </c>
      <c r="U360">
        <v>3333.3332999999998</v>
      </c>
      <c r="V360" s="1">
        <f>ROUND(Table1[[#This Row],[fmpce]],0)</f>
        <v>3333</v>
      </c>
      <c r="W360">
        <v>45.348880000000001</v>
      </c>
      <c r="X360" s="4">
        <f>Table1[[#This Row],[mpce]]*89</f>
        <v>4036.0503200000003</v>
      </c>
      <c r="Y360" s="2" t="s">
        <v>32</v>
      </c>
      <c r="Z360" s="3">
        <f>VLOOKUP(Y360, rmpce_reference!$B$1:$D$7,3,FALSE) * 89</f>
        <v>4450</v>
      </c>
      <c r="AA360" s="1" t="str">
        <f>IF(Table1[rmpce_inr]&lt;=rmpce_reference!$F$2, "Low Income", IF(Table1[rmpce_inr]&lt;=rmpce_reference!$F$3, "Middle Income", "High Income"))</f>
        <v>Low Income</v>
      </c>
    </row>
    <row r="361" spans="1:27" x14ac:dyDescent="0.25">
      <c r="A361">
        <v>2104</v>
      </c>
      <c r="B361" t="s">
        <v>39</v>
      </c>
      <c r="C361" t="s">
        <v>29</v>
      </c>
      <c r="D361">
        <v>35</v>
      </c>
      <c r="E361" t="s">
        <v>25</v>
      </c>
      <c r="F361" t="s">
        <v>26</v>
      </c>
      <c r="G361">
        <v>18</v>
      </c>
      <c r="H361" s="1" t="str">
        <f>IF(Table1[[#This Row],[anxiety_score]]&lt;=10, "Normal", IF(Table1[[#This Row],[anxiety_score]]&lt;=20, "Moderate", IF(Table1[[#This Row],[anxiety_score]]&lt;=30, "Severe", "Extremely Severe")))</f>
        <v>Moderate</v>
      </c>
      <c r="I361">
        <v>0.79597896000000001</v>
      </c>
      <c r="J361">
        <v>34</v>
      </c>
      <c r="K361" s="1" t="str">
        <f>IF(Table1[[#This Row],[stress_score]]&lt;=10, "Normal", IF(Table1[[#This Row],[stress_score]]&lt;=20, "Moderate", IF(Table1[[#This Row],[stress_score]]&lt;=30, "Severe", "Extremely Severe")))</f>
        <v>Extremely Severe</v>
      </c>
      <c r="L361">
        <v>2.1467700000000001</v>
      </c>
      <c r="M361">
        <v>24</v>
      </c>
      <c r="N361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361">
        <v>1.2028128</v>
      </c>
      <c r="P361">
        <v>25.333334000000001</v>
      </c>
      <c r="Q361">
        <f>ROUND(Table1[[#This Row],[dass21_raw_score]],0)</f>
        <v>25</v>
      </c>
      <c r="R361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361">
        <v>1.3818539000000001</v>
      </c>
      <c r="T361">
        <v>2.4767636999999998</v>
      </c>
      <c r="U361">
        <v>2000</v>
      </c>
      <c r="V361" s="1">
        <f>ROUND(Table1[[#This Row],[fmpce]],0)</f>
        <v>2000</v>
      </c>
      <c r="W361">
        <v>27.209330000000001</v>
      </c>
      <c r="X361" s="4">
        <f>Table1[[#This Row],[mpce]]*89</f>
        <v>2421.6303700000003</v>
      </c>
      <c r="Y361" s="2" t="s">
        <v>34</v>
      </c>
      <c r="Z361" s="3">
        <f>VLOOKUP(Y361, rmpce_reference!$B$1:$D$7,3,FALSE) * 89</f>
        <v>2848</v>
      </c>
      <c r="AA361" s="1" t="str">
        <f>IF(Table1[rmpce_inr]&lt;=rmpce_reference!$F$2, "Low Income", IF(Table1[rmpce_inr]&lt;=rmpce_reference!$F$3, "Middle Income", "High Income"))</f>
        <v>Low Income</v>
      </c>
    </row>
    <row r="362" spans="1:27" x14ac:dyDescent="0.25">
      <c r="A362">
        <v>2105</v>
      </c>
      <c r="B362" t="s">
        <v>39</v>
      </c>
      <c r="C362" t="s">
        <v>33</v>
      </c>
      <c r="D362">
        <v>27</v>
      </c>
      <c r="E362" t="s">
        <v>25</v>
      </c>
      <c r="F362" t="s">
        <v>26</v>
      </c>
      <c r="G362">
        <v>10</v>
      </c>
      <c r="H362" s="1" t="str">
        <f>IF(Table1[[#This Row],[anxiety_score]]&lt;=10, "Normal", IF(Table1[[#This Row],[anxiety_score]]&lt;=20, "Moderate", IF(Table1[[#This Row],[anxiety_score]]&lt;=30, "Severe", "Extremely Severe")))</f>
        <v>Normal</v>
      </c>
      <c r="I362">
        <v>-8.1994660000000007E-3</v>
      </c>
      <c r="J362">
        <v>10</v>
      </c>
      <c r="K362" s="1" t="str">
        <f>IF(Table1[[#This Row],[stress_score]]&lt;=10, "Normal", IF(Table1[[#This Row],[stress_score]]&lt;=20, "Moderate", IF(Table1[[#This Row],[stress_score]]&lt;=30, "Severe", "Extremely Severe")))</f>
        <v>Normal</v>
      </c>
      <c r="L362">
        <v>-0.18916494</v>
      </c>
      <c r="M362">
        <v>4</v>
      </c>
      <c r="N362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362">
        <v>-0.72356116999999998</v>
      </c>
      <c r="P362">
        <v>8</v>
      </c>
      <c r="Q362">
        <f>ROUND(Table1[[#This Row],[dass21_raw_score]],0)</f>
        <v>8</v>
      </c>
      <c r="R362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362">
        <v>-0.3069752</v>
      </c>
      <c r="T362">
        <v>0.78793469999999999</v>
      </c>
      <c r="U362">
        <v>1500</v>
      </c>
      <c r="V362" s="1">
        <f>ROUND(Table1[[#This Row],[fmpce]],0)</f>
        <v>1500</v>
      </c>
      <c r="W362">
        <v>20.406998000000002</v>
      </c>
      <c r="X362" s="4">
        <f>Table1[[#This Row],[mpce]]*89</f>
        <v>1816.2228220000002</v>
      </c>
      <c r="Y362" s="2" t="s">
        <v>24</v>
      </c>
      <c r="Z362" s="3">
        <f>VLOOKUP(Y362, rmpce_reference!$B$1:$D$7,3,FALSE) * 89</f>
        <v>2225</v>
      </c>
      <c r="AA362" s="1" t="str">
        <f>IF(Table1[rmpce_inr]&lt;=rmpce_reference!$F$2, "Low Income", IF(Table1[rmpce_inr]&lt;=rmpce_reference!$F$3, "Middle Income", "High Income"))</f>
        <v>Low Income</v>
      </c>
    </row>
    <row r="363" spans="1:27" x14ac:dyDescent="0.25">
      <c r="A363">
        <v>2106</v>
      </c>
      <c r="B363" t="s">
        <v>39</v>
      </c>
      <c r="C363" t="s">
        <v>29</v>
      </c>
      <c r="D363">
        <v>31</v>
      </c>
      <c r="E363" t="s">
        <v>25</v>
      </c>
      <c r="F363" t="s">
        <v>26</v>
      </c>
      <c r="G363">
        <v>38</v>
      </c>
      <c r="H363" s="1" t="str">
        <f>IF(Table1[[#This Row],[anxiety_score]]&lt;=10, "Normal", IF(Table1[[#This Row],[anxiety_score]]&lt;=20, "Moderate", IF(Table1[[#This Row],[anxiety_score]]&lt;=30, "Severe", "Extremely Severe")))</f>
        <v>Extremely Severe</v>
      </c>
      <c r="I363">
        <v>2.8064249999999999</v>
      </c>
      <c r="J363">
        <v>30</v>
      </c>
      <c r="K363" s="1" t="str">
        <f>IF(Table1[[#This Row],[stress_score]]&lt;=10, "Normal", IF(Table1[[#This Row],[stress_score]]&lt;=20, "Moderate", IF(Table1[[#This Row],[stress_score]]&lt;=30, "Severe", "Extremely Severe")))</f>
        <v>Severe</v>
      </c>
      <c r="L363">
        <v>1.7574476000000001</v>
      </c>
      <c r="M363">
        <v>36</v>
      </c>
      <c r="N363" s="1" t="str">
        <f>IF(Table1[[#This Row],[depression_score]]&lt;=10, "Normal", IF(Table1[[#This Row],[depression_score]]&lt;=20, "Moderate", IF(Table1[[#This Row],[depression_score]]&lt;=30, "Severe", "Extremely Severe")))</f>
        <v>Extremely Severe</v>
      </c>
      <c r="O363">
        <v>2.3586369999999999</v>
      </c>
      <c r="P363">
        <v>34.666668000000001</v>
      </c>
      <c r="Q363">
        <f>ROUND(Table1[[#This Row],[dass21_raw_score]],0)</f>
        <v>35</v>
      </c>
      <c r="R363" s="1" t="str">
        <f>IF(Table1[[#This Row],[round_dass21_raw_score]]&lt;=10, "Normal", IF(Table1[[#This Row],[round_dass21_raw_score]]&lt;=20, "Moderate", IF(Table1[[#This Row],[round_dass21_raw_score]]&lt;=30, "Severe", "Extremely Severe")))</f>
        <v>Extremely Severe</v>
      </c>
      <c r="S363">
        <v>2.3075032000000002</v>
      </c>
      <c r="T363">
        <v>3.4024131</v>
      </c>
      <c r="U363">
        <v>1250</v>
      </c>
      <c r="V363" s="1">
        <f>ROUND(Table1[[#This Row],[fmpce]],0)</f>
        <v>1250</v>
      </c>
      <c r="W363">
        <v>17.00583</v>
      </c>
      <c r="X363" s="4">
        <f>Table1[[#This Row],[mpce]]*89</f>
        <v>1513.5188699999999</v>
      </c>
      <c r="Y363" s="2" t="s">
        <v>24</v>
      </c>
      <c r="Z363" s="3">
        <f>VLOOKUP(Y363, rmpce_reference!$B$1:$D$7,3,FALSE) * 89</f>
        <v>2225</v>
      </c>
      <c r="AA363" s="1" t="str">
        <f>IF(Table1[rmpce_inr]&lt;=rmpce_reference!$F$2, "Low Income", IF(Table1[rmpce_inr]&lt;=rmpce_reference!$F$3, "Middle Income", "High Income"))</f>
        <v>Low Income</v>
      </c>
    </row>
    <row r="364" spans="1:27" x14ac:dyDescent="0.25">
      <c r="A364">
        <v>2107</v>
      </c>
      <c r="B364" t="s">
        <v>39</v>
      </c>
      <c r="C364" t="s">
        <v>29</v>
      </c>
      <c r="D364">
        <v>34</v>
      </c>
      <c r="E364" t="s">
        <v>25</v>
      </c>
      <c r="F364" t="s">
        <v>26</v>
      </c>
      <c r="G364">
        <v>8</v>
      </c>
      <c r="H364" s="1" t="str">
        <f>IF(Table1[[#This Row],[anxiety_score]]&lt;=10, "Normal", IF(Table1[[#This Row],[anxiety_score]]&lt;=20, "Moderate", IF(Table1[[#This Row],[anxiety_score]]&lt;=30, "Severe", "Extremely Severe")))</f>
        <v>Normal</v>
      </c>
      <c r="I364">
        <v>-0.20924408999999999</v>
      </c>
      <c r="J364">
        <v>24</v>
      </c>
      <c r="K364" s="1" t="str">
        <f>IF(Table1[[#This Row],[stress_score]]&lt;=10, "Normal", IF(Table1[[#This Row],[stress_score]]&lt;=20, "Moderate", IF(Table1[[#This Row],[stress_score]]&lt;=30, "Severe", "Extremely Severe")))</f>
        <v>Severe</v>
      </c>
      <c r="L364">
        <v>1.1734637999999999</v>
      </c>
      <c r="M364">
        <v>18</v>
      </c>
      <c r="N364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364">
        <v>0.62490060000000003</v>
      </c>
      <c r="P364">
        <v>16.666665999999999</v>
      </c>
      <c r="Q364">
        <f>ROUND(Table1[[#This Row],[dass21_raw_score]],0)</f>
        <v>17</v>
      </c>
      <c r="R364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364">
        <v>0.52970680000000003</v>
      </c>
      <c r="T364">
        <v>1.6246166</v>
      </c>
      <c r="U364">
        <v>1400</v>
      </c>
      <c r="V364" s="1">
        <f>ROUND(Table1[[#This Row],[fmpce]],0)</f>
        <v>1400</v>
      </c>
      <c r="W364">
        <v>19.046530000000001</v>
      </c>
      <c r="X364" s="4">
        <f>Table1[[#This Row],[mpce]]*89</f>
        <v>1695.1411700000001</v>
      </c>
      <c r="Y364" s="2" t="s">
        <v>24</v>
      </c>
      <c r="Z364" s="3">
        <f>VLOOKUP(Y364, rmpce_reference!$B$1:$D$7,3,FALSE) * 89</f>
        <v>2225</v>
      </c>
      <c r="AA364" s="1" t="str">
        <f>IF(Table1[rmpce_inr]&lt;=rmpce_reference!$F$2, "Low Income", IF(Table1[rmpce_inr]&lt;=rmpce_reference!$F$3, "Middle Income", "High Income"))</f>
        <v>Low Income</v>
      </c>
    </row>
    <row r="365" spans="1:27" x14ac:dyDescent="0.25">
      <c r="A365">
        <v>2108</v>
      </c>
      <c r="B365" t="s">
        <v>39</v>
      </c>
      <c r="C365" t="s">
        <v>21</v>
      </c>
      <c r="D365">
        <v>42</v>
      </c>
      <c r="E365" t="s">
        <v>25</v>
      </c>
      <c r="F365" t="s">
        <v>26</v>
      </c>
      <c r="G365">
        <v>8</v>
      </c>
      <c r="H365" s="1" t="str">
        <f>IF(Table1[[#This Row],[anxiety_score]]&lt;=10, "Normal", IF(Table1[[#This Row],[anxiety_score]]&lt;=20, "Moderate", IF(Table1[[#This Row],[anxiety_score]]&lt;=30, "Severe", "Extremely Severe")))</f>
        <v>Normal</v>
      </c>
      <c r="I365">
        <v>-0.20924408999999999</v>
      </c>
      <c r="J365">
        <v>14</v>
      </c>
      <c r="K365" s="1" t="str">
        <f>IF(Table1[[#This Row],[stress_score]]&lt;=10, "Normal", IF(Table1[[#This Row],[stress_score]]&lt;=20, "Moderate", IF(Table1[[#This Row],[stress_score]]&lt;=30, "Severe", "Extremely Severe")))</f>
        <v>Moderate</v>
      </c>
      <c r="L365">
        <v>0.20015757000000001</v>
      </c>
      <c r="M365">
        <v>10</v>
      </c>
      <c r="N365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365">
        <v>-0.14564899000000001</v>
      </c>
      <c r="P365">
        <v>10.666667</v>
      </c>
      <c r="Q365">
        <f>ROUND(Table1[[#This Row],[dass21_raw_score]],0)</f>
        <v>11</v>
      </c>
      <c r="R365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365">
        <v>-5.1578502999999998E-2</v>
      </c>
      <c r="T365">
        <v>1.0433314</v>
      </c>
      <c r="U365">
        <v>2000</v>
      </c>
      <c r="V365" s="1">
        <f>ROUND(Table1[[#This Row],[fmpce]],0)</f>
        <v>2000</v>
      </c>
      <c r="W365">
        <v>27.209330000000001</v>
      </c>
      <c r="X365" s="4">
        <f>Table1[[#This Row],[mpce]]*89</f>
        <v>2421.6303700000003</v>
      </c>
      <c r="Y365" s="2" t="s">
        <v>34</v>
      </c>
      <c r="Z365" s="3">
        <f>VLOOKUP(Y365, rmpce_reference!$B$1:$D$7,3,FALSE) * 89</f>
        <v>2848</v>
      </c>
      <c r="AA365" s="1" t="str">
        <f>IF(Table1[rmpce_inr]&lt;=rmpce_reference!$F$2, "Low Income", IF(Table1[rmpce_inr]&lt;=rmpce_reference!$F$3, "Middle Income", "High Income"))</f>
        <v>Low Income</v>
      </c>
    </row>
    <row r="366" spans="1:27" x14ac:dyDescent="0.25">
      <c r="A366">
        <v>2109</v>
      </c>
      <c r="B366" t="s">
        <v>39</v>
      </c>
      <c r="C366" t="s">
        <v>21</v>
      </c>
      <c r="D366">
        <v>46</v>
      </c>
      <c r="E366" t="s">
        <v>25</v>
      </c>
      <c r="F366" t="s">
        <v>26</v>
      </c>
      <c r="G366">
        <v>22</v>
      </c>
      <c r="H366" s="1" t="str">
        <f>IF(Table1[[#This Row],[anxiety_score]]&lt;=10, "Normal", IF(Table1[[#This Row],[anxiety_score]]&lt;=20, "Moderate", IF(Table1[[#This Row],[anxiety_score]]&lt;=30, "Severe", "Extremely Severe")))</f>
        <v>Severe</v>
      </c>
      <c r="I366">
        <v>1.1980683000000001</v>
      </c>
      <c r="J366">
        <v>28</v>
      </c>
      <c r="K366" s="1" t="str">
        <f>IF(Table1[[#This Row],[stress_score]]&lt;=10, "Normal", IF(Table1[[#This Row],[stress_score]]&lt;=20, "Moderate", IF(Table1[[#This Row],[stress_score]]&lt;=30, "Severe", "Extremely Severe")))</f>
        <v>Severe</v>
      </c>
      <c r="L366">
        <v>1.5627863</v>
      </c>
      <c r="M366">
        <v>10</v>
      </c>
      <c r="N366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366">
        <v>-0.14564899000000001</v>
      </c>
      <c r="P366">
        <v>20</v>
      </c>
      <c r="Q366">
        <f>ROUND(Table1[[#This Row],[dass21_raw_score]],0)</f>
        <v>20</v>
      </c>
      <c r="R366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366">
        <v>0.87173520000000004</v>
      </c>
      <c r="T366">
        <v>1.9666451</v>
      </c>
      <c r="U366">
        <v>1500</v>
      </c>
      <c r="V366" s="1">
        <f>ROUND(Table1[[#This Row],[fmpce]],0)</f>
        <v>1500</v>
      </c>
      <c r="W366">
        <v>20.406998000000002</v>
      </c>
      <c r="X366" s="4">
        <f>Table1[[#This Row],[mpce]]*89</f>
        <v>1816.2228220000002</v>
      </c>
      <c r="Y366" s="2" t="s">
        <v>24</v>
      </c>
      <c r="Z366" s="3">
        <f>VLOOKUP(Y366, rmpce_reference!$B$1:$D$7,3,FALSE) * 89</f>
        <v>2225</v>
      </c>
      <c r="AA366" s="1" t="str">
        <f>IF(Table1[rmpce_inr]&lt;=rmpce_reference!$F$2, "Low Income", IF(Table1[rmpce_inr]&lt;=rmpce_reference!$F$3, "Middle Income", "High Income"))</f>
        <v>Low Income</v>
      </c>
    </row>
    <row r="367" spans="1:27" x14ac:dyDescent="0.25">
      <c r="A367">
        <v>2110</v>
      </c>
      <c r="B367" t="s">
        <v>39</v>
      </c>
      <c r="C367" t="s">
        <v>29</v>
      </c>
      <c r="D367">
        <v>33</v>
      </c>
      <c r="E367" t="s">
        <v>25</v>
      </c>
      <c r="F367" t="s">
        <v>26</v>
      </c>
      <c r="G367">
        <v>4</v>
      </c>
      <c r="H367" s="1" t="str">
        <f>IF(Table1[[#This Row],[anxiety_score]]&lt;=10, "Normal", IF(Table1[[#This Row],[anxiety_score]]&lt;=20, "Moderate", IF(Table1[[#This Row],[anxiety_score]]&lt;=30, "Severe", "Extremely Severe")))</f>
        <v>Normal</v>
      </c>
      <c r="I367">
        <v>-0.61133329999999997</v>
      </c>
      <c r="J367">
        <v>12</v>
      </c>
      <c r="K367" s="1" t="str">
        <f>IF(Table1[[#This Row],[stress_score]]&lt;=10, "Normal", IF(Table1[[#This Row],[stress_score]]&lt;=20, "Moderate", IF(Table1[[#This Row],[stress_score]]&lt;=30, "Severe", "Extremely Severe")))</f>
        <v>Moderate</v>
      </c>
      <c r="L367">
        <v>5.496318E-3</v>
      </c>
      <c r="M367">
        <v>4</v>
      </c>
      <c r="N367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367">
        <v>-0.72356116999999998</v>
      </c>
      <c r="P367">
        <v>6.6666664999999998</v>
      </c>
      <c r="Q367">
        <f>ROUND(Table1[[#This Row],[dass21_raw_score]],0)</f>
        <v>7</v>
      </c>
      <c r="R367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367">
        <v>-0.44313272999999997</v>
      </c>
      <c r="T367">
        <v>0.65177715000000003</v>
      </c>
      <c r="U367">
        <v>833.33330000000001</v>
      </c>
      <c r="V367" s="1">
        <f>ROUND(Table1[[#This Row],[fmpce]],0)</f>
        <v>833</v>
      </c>
      <c r="W367">
        <v>11.33722</v>
      </c>
      <c r="X367" s="4">
        <f>Table1[[#This Row],[mpce]]*89</f>
        <v>1009.0125800000001</v>
      </c>
      <c r="Y367" s="2" t="s">
        <v>24</v>
      </c>
      <c r="Z367" s="3">
        <f>VLOOKUP(Y367, rmpce_reference!$B$1:$D$7,3,FALSE) * 89</f>
        <v>2225</v>
      </c>
      <c r="AA367" s="1" t="str">
        <f>IF(Table1[rmpce_inr]&lt;=rmpce_reference!$F$2, "Low Income", IF(Table1[rmpce_inr]&lt;=rmpce_reference!$F$3, "Middle Income", "High Income"))</f>
        <v>Low Income</v>
      </c>
    </row>
    <row r="368" spans="1:27" x14ac:dyDescent="0.25">
      <c r="A368">
        <v>2111</v>
      </c>
      <c r="B368" t="s">
        <v>39</v>
      </c>
      <c r="C368" t="s">
        <v>21</v>
      </c>
      <c r="D368">
        <v>50</v>
      </c>
      <c r="E368" t="s">
        <v>25</v>
      </c>
      <c r="F368" t="s">
        <v>26</v>
      </c>
      <c r="G368">
        <v>20</v>
      </c>
      <c r="H368" s="1" t="str">
        <f>IF(Table1[[#This Row],[anxiety_score]]&lt;=10, "Normal", IF(Table1[[#This Row],[anxiety_score]]&lt;=20, "Moderate", IF(Table1[[#This Row],[anxiety_score]]&lt;=30, "Severe", "Extremely Severe")))</f>
        <v>Moderate</v>
      </c>
      <c r="I368">
        <v>0.99702360000000001</v>
      </c>
      <c r="J368">
        <v>24</v>
      </c>
      <c r="K368" s="1" t="str">
        <f>IF(Table1[[#This Row],[stress_score]]&lt;=10, "Normal", IF(Table1[[#This Row],[stress_score]]&lt;=20, "Moderate", IF(Table1[[#This Row],[stress_score]]&lt;=30, "Severe", "Extremely Severe")))</f>
        <v>Severe</v>
      </c>
      <c r="L368">
        <v>1.1734637999999999</v>
      </c>
      <c r="M368">
        <v>22</v>
      </c>
      <c r="N368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368">
        <v>1.0101753</v>
      </c>
      <c r="P368">
        <v>22</v>
      </c>
      <c r="Q368">
        <f>ROUND(Table1[[#This Row],[dass21_raw_score]],0)</f>
        <v>22</v>
      </c>
      <c r="R368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368">
        <v>1.0602210000000001</v>
      </c>
      <c r="T368">
        <v>2.1551309000000001</v>
      </c>
      <c r="U368">
        <v>7500</v>
      </c>
      <c r="V368" s="1">
        <f>ROUND(Table1[[#This Row],[fmpce]],0)</f>
        <v>7500</v>
      </c>
      <c r="W368">
        <v>102.03498999999999</v>
      </c>
      <c r="X368" s="4">
        <f>Table1[[#This Row],[mpce]]*89</f>
        <v>9081.1141099999986</v>
      </c>
      <c r="Y368" s="2" t="s">
        <v>35</v>
      </c>
      <c r="Z368" s="3">
        <f>VLOOKUP(Y368, rmpce_reference!$B$1:$D$7,3,FALSE) * 89</f>
        <v>9790</v>
      </c>
      <c r="AA368" s="1" t="str">
        <f>IF(Table1[rmpce_inr]&lt;=rmpce_reference!$F$2, "Low Income", IF(Table1[rmpce_inr]&lt;=rmpce_reference!$F$3, "Middle Income", "High Income"))</f>
        <v>High Income</v>
      </c>
    </row>
    <row r="369" spans="1:27" x14ac:dyDescent="0.25">
      <c r="A369">
        <v>2112</v>
      </c>
      <c r="B369" t="s">
        <v>39</v>
      </c>
      <c r="C369" t="s">
        <v>36</v>
      </c>
      <c r="D369">
        <v>55</v>
      </c>
      <c r="E369" t="s">
        <v>25</v>
      </c>
      <c r="F369" t="s">
        <v>26</v>
      </c>
      <c r="G369">
        <v>8</v>
      </c>
      <c r="H369" s="1" t="str">
        <f>IF(Table1[[#This Row],[anxiety_score]]&lt;=10, "Normal", IF(Table1[[#This Row],[anxiety_score]]&lt;=20, "Moderate", IF(Table1[[#This Row],[anxiety_score]]&lt;=30, "Severe", "Extremely Severe")))</f>
        <v>Normal</v>
      </c>
      <c r="I369">
        <v>-0.20924408999999999</v>
      </c>
      <c r="J369">
        <v>16</v>
      </c>
      <c r="K369" s="1" t="str">
        <f>IF(Table1[[#This Row],[stress_score]]&lt;=10, "Normal", IF(Table1[[#This Row],[stress_score]]&lt;=20, "Moderate", IF(Table1[[#This Row],[stress_score]]&lt;=30, "Severe", "Extremely Severe")))</f>
        <v>Moderate</v>
      </c>
      <c r="L369">
        <v>0.39481880000000003</v>
      </c>
      <c r="M369">
        <v>12</v>
      </c>
      <c r="N369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369">
        <v>4.6988415999999998E-2</v>
      </c>
      <c r="P369">
        <v>12</v>
      </c>
      <c r="Q369">
        <f>ROUND(Table1[[#This Row],[dass21_raw_score]],0)</f>
        <v>12</v>
      </c>
      <c r="R369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369">
        <v>7.7521049999999994E-2</v>
      </c>
      <c r="T369">
        <v>1.172431</v>
      </c>
      <c r="U369">
        <v>2000</v>
      </c>
      <c r="V369" s="1">
        <f>ROUND(Table1[[#This Row],[fmpce]],0)</f>
        <v>2000</v>
      </c>
      <c r="W369">
        <v>27.209330000000001</v>
      </c>
      <c r="X369" s="4">
        <f>Table1[[#This Row],[mpce]]*89</f>
        <v>2421.6303700000003</v>
      </c>
      <c r="Y369" s="2" t="s">
        <v>34</v>
      </c>
      <c r="Z369" s="3">
        <f>VLOOKUP(Y369, rmpce_reference!$B$1:$D$7,3,FALSE) * 89</f>
        <v>2848</v>
      </c>
      <c r="AA369" s="1" t="str">
        <f>IF(Table1[rmpce_inr]&lt;=rmpce_reference!$F$2, "Low Income", IF(Table1[rmpce_inr]&lt;=rmpce_reference!$F$3, "Middle Income", "High Income"))</f>
        <v>Low Income</v>
      </c>
    </row>
    <row r="370" spans="1:27" x14ac:dyDescent="0.25">
      <c r="A370">
        <v>2113</v>
      </c>
      <c r="B370" t="s">
        <v>39</v>
      </c>
      <c r="C370" t="s">
        <v>29</v>
      </c>
      <c r="D370">
        <v>32</v>
      </c>
      <c r="E370" t="s">
        <v>25</v>
      </c>
      <c r="F370" t="s">
        <v>30</v>
      </c>
      <c r="G370">
        <v>24</v>
      </c>
      <c r="H370" s="1" t="str">
        <f>IF(Table1[[#This Row],[anxiety_score]]&lt;=10, "Normal", IF(Table1[[#This Row],[anxiety_score]]&lt;=20, "Moderate", IF(Table1[[#This Row],[anxiety_score]]&lt;=30, "Severe", "Extremely Severe")))</f>
        <v>Severe</v>
      </c>
      <c r="I370">
        <v>1.3991127999999999</v>
      </c>
      <c r="J370">
        <v>30</v>
      </c>
      <c r="K370" s="1" t="str">
        <f>IF(Table1[[#This Row],[stress_score]]&lt;=10, "Normal", IF(Table1[[#This Row],[stress_score]]&lt;=20, "Moderate", IF(Table1[[#This Row],[stress_score]]&lt;=30, "Severe", "Extremely Severe")))</f>
        <v>Severe</v>
      </c>
      <c r="L370">
        <v>1.7574476000000001</v>
      </c>
      <c r="M370">
        <v>34</v>
      </c>
      <c r="N370" s="1" t="str">
        <f>IF(Table1[[#This Row],[depression_score]]&lt;=10, "Normal", IF(Table1[[#This Row],[depression_score]]&lt;=20, "Moderate", IF(Table1[[#This Row],[depression_score]]&lt;=30, "Severe", "Extremely Severe")))</f>
        <v>Extremely Severe</v>
      </c>
      <c r="O370">
        <v>2.1659999999999999</v>
      </c>
      <c r="P370">
        <v>29.333334000000001</v>
      </c>
      <c r="Q370">
        <f>ROUND(Table1[[#This Row],[dass21_raw_score]],0)</f>
        <v>29</v>
      </c>
      <c r="R370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370">
        <v>1.7741867</v>
      </c>
      <c r="T370">
        <v>2.8690967999999999</v>
      </c>
      <c r="U370">
        <v>6000</v>
      </c>
      <c r="V370" s="1">
        <f>ROUND(Table1[[#This Row],[fmpce]],0)</f>
        <v>6000</v>
      </c>
      <c r="W370">
        <v>81.627989999999997</v>
      </c>
      <c r="X370" s="4">
        <f>Table1[[#This Row],[mpce]]*89</f>
        <v>7264.8911099999996</v>
      </c>
      <c r="Y370" s="2" t="s">
        <v>31</v>
      </c>
      <c r="Z370" s="3">
        <f>VLOOKUP(Y370, rmpce_reference!$B$1:$D$7,3,FALSE) * 89</f>
        <v>8010</v>
      </c>
      <c r="AA370" s="1" t="str">
        <f>IF(Table1[rmpce_inr]&lt;=rmpce_reference!$F$2, "Low Income", IF(Table1[rmpce_inr]&lt;=rmpce_reference!$F$3, "Middle Income", "High Income"))</f>
        <v>High Income</v>
      </c>
    </row>
    <row r="371" spans="1:27" x14ac:dyDescent="0.25">
      <c r="A371">
        <v>2114</v>
      </c>
      <c r="B371" t="s">
        <v>39</v>
      </c>
      <c r="C371" t="s">
        <v>21</v>
      </c>
      <c r="D371">
        <v>45</v>
      </c>
      <c r="E371" t="s">
        <v>25</v>
      </c>
      <c r="F371" t="s">
        <v>30</v>
      </c>
      <c r="G371">
        <v>32</v>
      </c>
      <c r="H371" s="1" t="str">
        <f>IF(Table1[[#This Row],[anxiety_score]]&lt;=10, "Normal", IF(Table1[[#This Row],[anxiety_score]]&lt;=20, "Moderate", IF(Table1[[#This Row],[anxiety_score]]&lt;=30, "Severe", "Extremely Severe")))</f>
        <v>Extremely Severe</v>
      </c>
      <c r="I371">
        <v>2.2032911999999998</v>
      </c>
      <c r="J371">
        <v>32</v>
      </c>
      <c r="K371" s="1" t="str">
        <f>IF(Table1[[#This Row],[stress_score]]&lt;=10, "Normal", IF(Table1[[#This Row],[stress_score]]&lt;=20, "Moderate", IF(Table1[[#This Row],[stress_score]]&lt;=30, "Severe", "Extremely Severe")))</f>
        <v>Extremely Severe</v>
      </c>
      <c r="L371">
        <v>1.9521089</v>
      </c>
      <c r="M371">
        <v>34</v>
      </c>
      <c r="N371" s="1" t="str">
        <f>IF(Table1[[#This Row],[depression_score]]&lt;=10, "Normal", IF(Table1[[#This Row],[depression_score]]&lt;=20, "Moderate", IF(Table1[[#This Row],[depression_score]]&lt;=30, "Severe", "Extremely Severe")))</f>
        <v>Extremely Severe</v>
      </c>
      <c r="O371">
        <v>2.1659999999999999</v>
      </c>
      <c r="P371">
        <v>32.666668000000001</v>
      </c>
      <c r="Q371">
        <f>ROUND(Table1[[#This Row],[dass21_raw_score]],0)</f>
        <v>33</v>
      </c>
      <c r="R371" s="1" t="str">
        <f>IF(Table1[[#This Row],[round_dass21_raw_score]]&lt;=10, "Normal", IF(Table1[[#This Row],[round_dass21_raw_score]]&lt;=20, "Moderate", IF(Table1[[#This Row],[round_dass21_raw_score]]&lt;=30, "Severe", "Extremely Severe")))</f>
        <v>Extremely Severe</v>
      </c>
      <c r="S371">
        <v>2.1071333999999999</v>
      </c>
      <c r="T371">
        <v>3.2020433000000001</v>
      </c>
      <c r="U371">
        <v>5000</v>
      </c>
      <c r="V371" s="1">
        <f>ROUND(Table1[[#This Row],[fmpce]],0)</f>
        <v>5000</v>
      </c>
      <c r="W371">
        <v>68.023319999999998</v>
      </c>
      <c r="X371" s="4">
        <f>Table1[[#This Row],[mpce]]*89</f>
        <v>6054.0754799999995</v>
      </c>
      <c r="Y371" s="2" t="s">
        <v>28</v>
      </c>
      <c r="Z371" s="3">
        <f>VLOOKUP(Y371, rmpce_reference!$B$1:$D$7,3,FALSE) * 89</f>
        <v>6230</v>
      </c>
      <c r="AA371" s="1" t="str">
        <f>IF(Table1[rmpce_inr]&lt;=rmpce_reference!$F$2, "Low Income", IF(Table1[rmpce_inr]&lt;=rmpce_reference!$F$3, "Middle Income", "High Income"))</f>
        <v>Middle Income</v>
      </c>
    </row>
    <row r="372" spans="1:27" x14ac:dyDescent="0.25">
      <c r="A372">
        <v>2115</v>
      </c>
      <c r="B372" t="s">
        <v>39</v>
      </c>
      <c r="C372" t="s">
        <v>21</v>
      </c>
      <c r="D372">
        <v>49</v>
      </c>
      <c r="E372" t="s">
        <v>25</v>
      </c>
      <c r="F372" t="s">
        <v>30</v>
      </c>
      <c r="G372">
        <v>10</v>
      </c>
      <c r="H372" s="1" t="str">
        <f>IF(Table1[[#This Row],[anxiety_score]]&lt;=10, "Normal", IF(Table1[[#This Row],[anxiety_score]]&lt;=20, "Moderate", IF(Table1[[#This Row],[anxiety_score]]&lt;=30, "Severe", "Extremely Severe")))</f>
        <v>Normal</v>
      </c>
      <c r="I372">
        <v>-8.1994660000000007E-3</v>
      </c>
      <c r="J372">
        <v>10</v>
      </c>
      <c r="K372" s="1" t="str">
        <f>IF(Table1[[#This Row],[stress_score]]&lt;=10, "Normal", IF(Table1[[#This Row],[stress_score]]&lt;=20, "Moderate", IF(Table1[[#This Row],[stress_score]]&lt;=30, "Severe", "Extremely Severe")))</f>
        <v>Normal</v>
      </c>
      <c r="L372">
        <v>-0.18916494</v>
      </c>
      <c r="M372">
        <v>4</v>
      </c>
      <c r="N372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372">
        <v>-0.72356116999999998</v>
      </c>
      <c r="P372">
        <v>8</v>
      </c>
      <c r="Q372">
        <f>ROUND(Table1[[#This Row],[dass21_raw_score]],0)</f>
        <v>8</v>
      </c>
      <c r="R372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372">
        <v>-0.3069752</v>
      </c>
      <c r="T372">
        <v>0.78793469999999999</v>
      </c>
      <c r="U372">
        <v>2000</v>
      </c>
      <c r="V372" s="1">
        <f>ROUND(Table1[[#This Row],[fmpce]],0)</f>
        <v>2000</v>
      </c>
      <c r="W372">
        <v>27.209330000000001</v>
      </c>
      <c r="X372" s="4">
        <f>Table1[[#This Row],[mpce]]*89</f>
        <v>2421.6303700000003</v>
      </c>
      <c r="Y372" s="2" t="s">
        <v>34</v>
      </c>
      <c r="Z372" s="3">
        <f>VLOOKUP(Y372, rmpce_reference!$B$1:$D$7,3,FALSE) * 89</f>
        <v>2848</v>
      </c>
      <c r="AA372" s="1" t="str">
        <f>IF(Table1[rmpce_inr]&lt;=rmpce_reference!$F$2, "Low Income", IF(Table1[rmpce_inr]&lt;=rmpce_reference!$F$3, "Middle Income", "High Income"))</f>
        <v>Low Income</v>
      </c>
    </row>
    <row r="373" spans="1:27" x14ac:dyDescent="0.25">
      <c r="A373">
        <v>2116</v>
      </c>
      <c r="B373" t="s">
        <v>39</v>
      </c>
      <c r="C373" t="s">
        <v>29</v>
      </c>
      <c r="D373">
        <v>40</v>
      </c>
      <c r="E373" t="s">
        <v>25</v>
      </c>
      <c r="F373" t="s">
        <v>30</v>
      </c>
      <c r="G373">
        <v>6</v>
      </c>
      <c r="H373" s="1" t="str">
        <f>IF(Table1[[#This Row],[anxiety_score]]&lt;=10, "Normal", IF(Table1[[#This Row],[anxiety_score]]&lt;=20, "Moderate", IF(Table1[[#This Row],[anxiety_score]]&lt;=30, "Severe", "Extremely Severe")))</f>
        <v>Normal</v>
      </c>
      <c r="I373">
        <v>-0.41028870000000001</v>
      </c>
      <c r="J373">
        <v>10</v>
      </c>
      <c r="K373" s="1" t="str">
        <f>IF(Table1[[#This Row],[stress_score]]&lt;=10, "Normal", IF(Table1[[#This Row],[stress_score]]&lt;=20, "Moderate", IF(Table1[[#This Row],[stress_score]]&lt;=30, "Severe", "Extremely Severe")))</f>
        <v>Normal</v>
      </c>
      <c r="L373">
        <v>-0.18916494</v>
      </c>
      <c r="M373">
        <v>10</v>
      </c>
      <c r="N373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373">
        <v>-0.14564899000000001</v>
      </c>
      <c r="P373">
        <v>8.6666670000000003</v>
      </c>
      <c r="Q373">
        <f>ROUND(Table1[[#This Row],[dass21_raw_score]],0)</f>
        <v>9</v>
      </c>
      <c r="R373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373">
        <v>-0.24836753</v>
      </c>
      <c r="T373">
        <v>0.84654236000000005</v>
      </c>
      <c r="U373">
        <v>2666.6667000000002</v>
      </c>
      <c r="V373" s="1">
        <f>ROUND(Table1[[#This Row],[fmpce]],0)</f>
        <v>2667</v>
      </c>
      <c r="W373">
        <v>36.279105999999999</v>
      </c>
      <c r="X373" s="4">
        <f>Table1[[#This Row],[mpce]]*89</f>
        <v>3228.8404339999997</v>
      </c>
      <c r="Y373" s="2" t="s">
        <v>34</v>
      </c>
      <c r="Z373" s="3">
        <f>VLOOKUP(Y373, rmpce_reference!$B$1:$D$7,3,FALSE) * 89</f>
        <v>2848</v>
      </c>
      <c r="AA373" s="1" t="str">
        <f>IF(Table1[rmpce_inr]&lt;=rmpce_reference!$F$2, "Low Income", IF(Table1[rmpce_inr]&lt;=rmpce_reference!$F$3, "Middle Income", "High Income"))</f>
        <v>Low Income</v>
      </c>
    </row>
    <row r="374" spans="1:27" x14ac:dyDescent="0.25">
      <c r="A374">
        <v>2117</v>
      </c>
      <c r="B374" t="s">
        <v>39</v>
      </c>
      <c r="C374" t="s">
        <v>29</v>
      </c>
      <c r="D374">
        <v>32</v>
      </c>
      <c r="E374" t="s">
        <v>25</v>
      </c>
      <c r="F374" t="s">
        <v>26</v>
      </c>
      <c r="G374">
        <v>6</v>
      </c>
      <c r="H374" s="1" t="str">
        <f>IF(Table1[[#This Row],[anxiety_score]]&lt;=10, "Normal", IF(Table1[[#This Row],[anxiety_score]]&lt;=20, "Moderate", IF(Table1[[#This Row],[anxiety_score]]&lt;=30, "Severe", "Extremely Severe")))</f>
        <v>Normal</v>
      </c>
      <c r="I374">
        <v>-0.41028870000000001</v>
      </c>
      <c r="J374">
        <v>4</v>
      </c>
      <c r="K374" s="1" t="str">
        <f>IF(Table1[[#This Row],[stress_score]]&lt;=10, "Normal", IF(Table1[[#This Row],[stress_score]]&lt;=20, "Moderate", IF(Table1[[#This Row],[stress_score]]&lt;=30, "Severe", "Extremely Severe")))</f>
        <v>Normal</v>
      </c>
      <c r="L374">
        <v>-0.77314866000000004</v>
      </c>
      <c r="M374">
        <v>2</v>
      </c>
      <c r="N374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374">
        <v>-0.91619854999999994</v>
      </c>
      <c r="P374">
        <v>4</v>
      </c>
      <c r="Q374">
        <f>ROUND(Table1[[#This Row],[dass21_raw_score]],0)</f>
        <v>4</v>
      </c>
      <c r="R374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374">
        <v>-0.69987862999999995</v>
      </c>
      <c r="T374">
        <v>0.39503126999999999</v>
      </c>
      <c r="U374">
        <v>1750</v>
      </c>
      <c r="V374" s="1">
        <f>ROUND(Table1[[#This Row],[fmpce]],0)</f>
        <v>1750</v>
      </c>
      <c r="W374">
        <v>23.808163</v>
      </c>
      <c r="X374" s="4">
        <f>Table1[[#This Row],[mpce]]*89</f>
        <v>2118.9265070000001</v>
      </c>
      <c r="Y374" s="2" t="s">
        <v>24</v>
      </c>
      <c r="Z374" s="3">
        <f>VLOOKUP(Y374, rmpce_reference!$B$1:$D$7,3,FALSE) * 89</f>
        <v>2225</v>
      </c>
      <c r="AA374" s="1" t="str">
        <f>IF(Table1[rmpce_inr]&lt;=rmpce_reference!$F$2, "Low Income", IF(Table1[rmpce_inr]&lt;=rmpce_reference!$F$3, "Middle Income", "High Income"))</f>
        <v>Low Income</v>
      </c>
    </row>
    <row r="375" spans="1:27" x14ac:dyDescent="0.25">
      <c r="A375">
        <v>2118</v>
      </c>
      <c r="B375" t="s">
        <v>39</v>
      </c>
      <c r="C375" t="s">
        <v>33</v>
      </c>
      <c r="D375">
        <v>28</v>
      </c>
      <c r="E375" t="s">
        <v>25</v>
      </c>
      <c r="F375" t="s">
        <v>30</v>
      </c>
      <c r="G375">
        <v>6</v>
      </c>
      <c r="H375" s="1" t="str">
        <f>IF(Table1[[#This Row],[anxiety_score]]&lt;=10, "Normal", IF(Table1[[#This Row],[anxiety_score]]&lt;=20, "Moderate", IF(Table1[[#This Row],[anxiety_score]]&lt;=30, "Severe", "Extremely Severe")))</f>
        <v>Normal</v>
      </c>
      <c r="I375">
        <v>-0.41028870000000001</v>
      </c>
      <c r="J375">
        <v>8</v>
      </c>
      <c r="K375" s="1" t="str">
        <f>IF(Table1[[#This Row],[stress_score]]&lt;=10, "Normal", IF(Table1[[#This Row],[stress_score]]&lt;=20, "Moderate", IF(Table1[[#This Row],[stress_score]]&lt;=30, "Severe", "Extremely Severe")))</f>
        <v>Normal</v>
      </c>
      <c r="L375">
        <v>-0.38382620000000001</v>
      </c>
      <c r="M375">
        <v>6</v>
      </c>
      <c r="N375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375">
        <v>-0.53092379999999995</v>
      </c>
      <c r="P375">
        <v>6.6666664999999998</v>
      </c>
      <c r="Q375">
        <f>ROUND(Table1[[#This Row],[dass21_raw_score]],0)</f>
        <v>7</v>
      </c>
      <c r="R375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375">
        <v>-0.44167957000000002</v>
      </c>
      <c r="T375">
        <v>0.65323030000000004</v>
      </c>
      <c r="U375">
        <v>1750</v>
      </c>
      <c r="V375" s="1">
        <f>ROUND(Table1[[#This Row],[fmpce]],0)</f>
        <v>1750</v>
      </c>
      <c r="W375">
        <v>23.808163</v>
      </c>
      <c r="X375" s="4">
        <f>Table1[[#This Row],[mpce]]*89</f>
        <v>2118.9265070000001</v>
      </c>
      <c r="Y375" s="2" t="s">
        <v>24</v>
      </c>
      <c r="Z375" s="3">
        <f>VLOOKUP(Y375, rmpce_reference!$B$1:$D$7,3,FALSE) * 89</f>
        <v>2225</v>
      </c>
      <c r="AA375" s="1" t="str">
        <f>IF(Table1[rmpce_inr]&lt;=rmpce_reference!$F$2, "Low Income", IF(Table1[rmpce_inr]&lt;=rmpce_reference!$F$3, "Middle Income", "High Income"))</f>
        <v>Low Income</v>
      </c>
    </row>
    <row r="376" spans="1:27" x14ac:dyDescent="0.25">
      <c r="A376">
        <v>2119</v>
      </c>
      <c r="B376" t="s">
        <v>39</v>
      </c>
      <c r="C376" t="s">
        <v>21</v>
      </c>
      <c r="D376">
        <v>45</v>
      </c>
      <c r="E376" t="s">
        <v>25</v>
      </c>
      <c r="F376" t="s">
        <v>26</v>
      </c>
      <c r="G376">
        <v>4</v>
      </c>
      <c r="H376" s="1" t="str">
        <f>IF(Table1[[#This Row],[anxiety_score]]&lt;=10, "Normal", IF(Table1[[#This Row],[anxiety_score]]&lt;=20, "Moderate", IF(Table1[[#This Row],[anxiety_score]]&lt;=30, "Severe", "Extremely Severe")))</f>
        <v>Normal</v>
      </c>
      <c r="I376">
        <v>-0.61133329999999997</v>
      </c>
      <c r="J376">
        <v>8</v>
      </c>
      <c r="K376" s="1" t="str">
        <f>IF(Table1[[#This Row],[stress_score]]&lt;=10, "Normal", IF(Table1[[#This Row],[stress_score]]&lt;=20, "Moderate", IF(Table1[[#This Row],[stress_score]]&lt;=30, "Severe", "Extremely Severe")))</f>
        <v>Normal</v>
      </c>
      <c r="L376">
        <v>-0.38382620000000001</v>
      </c>
      <c r="M376">
        <v>12</v>
      </c>
      <c r="N376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376">
        <v>4.6988415999999998E-2</v>
      </c>
      <c r="P376">
        <v>8</v>
      </c>
      <c r="Q376">
        <f>ROUND(Table1[[#This Row],[dass21_raw_score]],0)</f>
        <v>8</v>
      </c>
      <c r="R376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376">
        <v>-0.31605703000000002</v>
      </c>
      <c r="T376">
        <v>0.77885289999999996</v>
      </c>
      <c r="U376">
        <v>2000</v>
      </c>
      <c r="V376" s="1">
        <f>ROUND(Table1[[#This Row],[fmpce]],0)</f>
        <v>2000</v>
      </c>
      <c r="W376">
        <v>27.209330000000001</v>
      </c>
      <c r="X376" s="4">
        <f>Table1[[#This Row],[mpce]]*89</f>
        <v>2421.6303700000003</v>
      </c>
      <c r="Y376" s="2" t="s">
        <v>34</v>
      </c>
      <c r="Z376" s="3">
        <f>VLOOKUP(Y376, rmpce_reference!$B$1:$D$7,3,FALSE) * 89</f>
        <v>2848</v>
      </c>
      <c r="AA376" s="1" t="str">
        <f>IF(Table1[rmpce_inr]&lt;=rmpce_reference!$F$2, "Low Income", IF(Table1[rmpce_inr]&lt;=rmpce_reference!$F$3, "Middle Income", "High Income"))</f>
        <v>Low Income</v>
      </c>
    </row>
    <row r="377" spans="1:27" x14ac:dyDescent="0.25">
      <c r="A377">
        <v>2120</v>
      </c>
      <c r="B377" t="s">
        <v>39</v>
      </c>
      <c r="C377" t="s">
        <v>33</v>
      </c>
      <c r="D377">
        <v>28</v>
      </c>
      <c r="E377" t="s">
        <v>25</v>
      </c>
      <c r="F377" t="s">
        <v>26</v>
      </c>
      <c r="G377">
        <v>4</v>
      </c>
      <c r="H377" s="1" t="str">
        <f>IF(Table1[[#This Row],[anxiety_score]]&lt;=10, "Normal", IF(Table1[[#This Row],[anxiety_score]]&lt;=20, "Moderate", IF(Table1[[#This Row],[anxiety_score]]&lt;=30, "Severe", "Extremely Severe")))</f>
        <v>Normal</v>
      </c>
      <c r="I377">
        <v>-0.61133329999999997</v>
      </c>
      <c r="J377">
        <v>10</v>
      </c>
      <c r="K377" s="1" t="str">
        <f>IF(Table1[[#This Row],[stress_score]]&lt;=10, "Normal", IF(Table1[[#This Row],[stress_score]]&lt;=20, "Moderate", IF(Table1[[#This Row],[stress_score]]&lt;=30, "Severe", "Extremely Severe")))</f>
        <v>Normal</v>
      </c>
      <c r="L377">
        <v>-0.18916494</v>
      </c>
      <c r="M377">
        <v>12</v>
      </c>
      <c r="N377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377">
        <v>4.6988415999999998E-2</v>
      </c>
      <c r="P377">
        <v>8.6666670000000003</v>
      </c>
      <c r="Q377">
        <f>ROUND(Table1[[#This Row],[dass21_raw_score]],0)</f>
        <v>9</v>
      </c>
      <c r="R377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377">
        <v>-0.25116994999999998</v>
      </c>
      <c r="T377">
        <v>0.84374000000000005</v>
      </c>
      <c r="U377">
        <v>3333.3332999999998</v>
      </c>
      <c r="V377" s="1">
        <f>ROUND(Table1[[#This Row],[fmpce]],0)</f>
        <v>3333</v>
      </c>
      <c r="W377">
        <v>45.348880000000001</v>
      </c>
      <c r="X377" s="4">
        <f>Table1[[#This Row],[mpce]]*89</f>
        <v>4036.0503200000003</v>
      </c>
      <c r="Y377" s="2" t="s">
        <v>32</v>
      </c>
      <c r="Z377" s="3">
        <f>VLOOKUP(Y377, rmpce_reference!$B$1:$D$7,3,FALSE) * 89</f>
        <v>4450</v>
      </c>
      <c r="AA377" s="1" t="str">
        <f>IF(Table1[rmpce_inr]&lt;=rmpce_reference!$F$2, "Low Income", IF(Table1[rmpce_inr]&lt;=rmpce_reference!$F$3, "Middle Income", "High Income"))</f>
        <v>Low Income</v>
      </c>
    </row>
    <row r="378" spans="1:27" x14ac:dyDescent="0.25">
      <c r="A378">
        <v>2121</v>
      </c>
      <c r="B378" t="s">
        <v>39</v>
      </c>
      <c r="C378" t="s">
        <v>33</v>
      </c>
      <c r="D378">
        <v>30</v>
      </c>
      <c r="E378" t="s">
        <v>25</v>
      </c>
      <c r="F378" t="s">
        <v>26</v>
      </c>
      <c r="G378">
        <v>4</v>
      </c>
      <c r="H378" s="1" t="str">
        <f>IF(Table1[[#This Row],[anxiety_score]]&lt;=10, "Normal", IF(Table1[[#This Row],[anxiety_score]]&lt;=20, "Moderate", IF(Table1[[#This Row],[anxiety_score]]&lt;=30, "Severe", "Extremely Severe")))</f>
        <v>Normal</v>
      </c>
      <c r="I378">
        <v>-0.61133329999999997</v>
      </c>
      <c r="J378">
        <v>10</v>
      </c>
      <c r="K378" s="1" t="str">
        <f>IF(Table1[[#This Row],[stress_score]]&lt;=10, "Normal", IF(Table1[[#This Row],[stress_score]]&lt;=20, "Moderate", IF(Table1[[#This Row],[stress_score]]&lt;=30, "Severe", "Extremely Severe")))</f>
        <v>Normal</v>
      </c>
      <c r="L378">
        <v>-0.18916494</v>
      </c>
      <c r="M378">
        <v>14</v>
      </c>
      <c r="N378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378">
        <v>0.23962580999999999</v>
      </c>
      <c r="P378">
        <v>9.3333329999999997</v>
      </c>
      <c r="Q378">
        <f>ROUND(Table1[[#This Row],[dass21_raw_score]],0)</f>
        <v>9</v>
      </c>
      <c r="R378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378">
        <v>-0.18695748000000001</v>
      </c>
      <c r="T378">
        <v>0.90795239999999999</v>
      </c>
      <c r="U378">
        <v>3333.3332999999998</v>
      </c>
      <c r="V378" s="1">
        <f>ROUND(Table1[[#This Row],[fmpce]],0)</f>
        <v>3333</v>
      </c>
      <c r="W378">
        <v>45.348880000000001</v>
      </c>
      <c r="X378" s="4">
        <f>Table1[[#This Row],[mpce]]*89</f>
        <v>4036.0503200000003</v>
      </c>
      <c r="Y378" s="2" t="s">
        <v>32</v>
      </c>
      <c r="Z378" s="3">
        <f>VLOOKUP(Y378, rmpce_reference!$B$1:$D$7,3,FALSE) * 89</f>
        <v>4450</v>
      </c>
      <c r="AA378" s="1" t="str">
        <f>IF(Table1[rmpce_inr]&lt;=rmpce_reference!$F$2, "Low Income", IF(Table1[rmpce_inr]&lt;=rmpce_reference!$F$3, "Middle Income", "High Income"))</f>
        <v>Low Income</v>
      </c>
    </row>
    <row r="379" spans="1:27" x14ac:dyDescent="0.25">
      <c r="A379">
        <v>2122</v>
      </c>
      <c r="B379" t="s">
        <v>39</v>
      </c>
      <c r="C379" t="s">
        <v>29</v>
      </c>
      <c r="D379">
        <v>40</v>
      </c>
      <c r="E379" t="s">
        <v>25</v>
      </c>
      <c r="F379" t="s">
        <v>26</v>
      </c>
      <c r="G379">
        <v>6</v>
      </c>
      <c r="H379" s="1" t="str">
        <f>IF(Table1[[#This Row],[anxiety_score]]&lt;=10, "Normal", IF(Table1[[#This Row],[anxiety_score]]&lt;=20, "Moderate", IF(Table1[[#This Row],[anxiety_score]]&lt;=30, "Severe", "Extremely Severe")))</f>
        <v>Normal</v>
      </c>
      <c r="I379">
        <v>-0.41028870000000001</v>
      </c>
      <c r="J379">
        <v>14</v>
      </c>
      <c r="K379" s="1" t="str">
        <f>IF(Table1[[#This Row],[stress_score]]&lt;=10, "Normal", IF(Table1[[#This Row],[stress_score]]&lt;=20, "Moderate", IF(Table1[[#This Row],[stress_score]]&lt;=30, "Severe", "Extremely Severe")))</f>
        <v>Moderate</v>
      </c>
      <c r="L379">
        <v>0.20015757000000001</v>
      </c>
      <c r="M379">
        <v>14</v>
      </c>
      <c r="N379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379">
        <v>0.23962580999999999</v>
      </c>
      <c r="P379">
        <v>11.333333</v>
      </c>
      <c r="Q379">
        <f>ROUND(Table1[[#This Row],[dass21_raw_score]],0)</f>
        <v>11</v>
      </c>
      <c r="R379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379">
        <v>9.8315629999999998E-3</v>
      </c>
      <c r="T379">
        <v>1.1047415</v>
      </c>
      <c r="U379">
        <v>1750</v>
      </c>
      <c r="V379" s="1">
        <f>ROUND(Table1[[#This Row],[fmpce]],0)</f>
        <v>1750</v>
      </c>
      <c r="W379">
        <v>23.808163</v>
      </c>
      <c r="X379" s="4">
        <f>Table1[[#This Row],[mpce]]*89</f>
        <v>2118.9265070000001</v>
      </c>
      <c r="Y379" s="2" t="s">
        <v>24</v>
      </c>
      <c r="Z379" s="3">
        <f>VLOOKUP(Y379, rmpce_reference!$B$1:$D$7,3,FALSE) * 89</f>
        <v>2225</v>
      </c>
      <c r="AA379" s="1" t="str">
        <f>IF(Table1[rmpce_inr]&lt;=rmpce_reference!$F$2, "Low Income", IF(Table1[rmpce_inr]&lt;=rmpce_reference!$F$3, "Middle Income", "High Income"))</f>
        <v>Low Income</v>
      </c>
    </row>
    <row r="380" spans="1:27" x14ac:dyDescent="0.25">
      <c r="A380">
        <v>2123</v>
      </c>
      <c r="B380" t="s">
        <v>39</v>
      </c>
      <c r="C380" t="s">
        <v>36</v>
      </c>
      <c r="D380">
        <v>52</v>
      </c>
      <c r="E380" t="s">
        <v>25</v>
      </c>
      <c r="F380" t="s">
        <v>26</v>
      </c>
      <c r="G380">
        <v>4</v>
      </c>
      <c r="H380" s="1" t="str">
        <f>IF(Table1[[#This Row],[anxiety_score]]&lt;=10, "Normal", IF(Table1[[#This Row],[anxiety_score]]&lt;=20, "Moderate", IF(Table1[[#This Row],[anxiety_score]]&lt;=30, "Severe", "Extremely Severe")))</f>
        <v>Normal</v>
      </c>
      <c r="I380">
        <v>-0.61133329999999997</v>
      </c>
      <c r="J380">
        <v>10</v>
      </c>
      <c r="K380" s="1" t="str">
        <f>IF(Table1[[#This Row],[stress_score]]&lt;=10, "Normal", IF(Table1[[#This Row],[stress_score]]&lt;=20, "Moderate", IF(Table1[[#This Row],[stress_score]]&lt;=30, "Severe", "Extremely Severe")))</f>
        <v>Normal</v>
      </c>
      <c r="L380">
        <v>-0.18916494</v>
      </c>
      <c r="M380">
        <v>14</v>
      </c>
      <c r="N380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380">
        <v>0.23962580999999999</v>
      </c>
      <c r="P380">
        <v>9.3333329999999997</v>
      </c>
      <c r="Q380">
        <f>ROUND(Table1[[#This Row],[dass21_raw_score]],0)</f>
        <v>9</v>
      </c>
      <c r="R380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380">
        <v>-0.18695748000000001</v>
      </c>
      <c r="T380">
        <v>0.90795239999999999</v>
      </c>
      <c r="U380">
        <v>7500</v>
      </c>
      <c r="V380" s="1">
        <f>ROUND(Table1[[#This Row],[fmpce]],0)</f>
        <v>7500</v>
      </c>
      <c r="W380">
        <v>102.03498999999999</v>
      </c>
      <c r="X380" s="4">
        <f>Table1[[#This Row],[mpce]]*89</f>
        <v>9081.1141099999986</v>
      </c>
      <c r="Y380" s="2" t="s">
        <v>35</v>
      </c>
      <c r="Z380" s="3">
        <f>VLOOKUP(Y380, rmpce_reference!$B$1:$D$7,3,FALSE) * 89</f>
        <v>9790</v>
      </c>
      <c r="AA380" s="1" t="str">
        <f>IF(Table1[rmpce_inr]&lt;=rmpce_reference!$F$2, "Low Income", IF(Table1[rmpce_inr]&lt;=rmpce_reference!$F$3, "Middle Income", "High Income"))</f>
        <v>High Income</v>
      </c>
    </row>
    <row r="381" spans="1:27" x14ac:dyDescent="0.25">
      <c r="A381">
        <v>2124</v>
      </c>
      <c r="B381" t="s">
        <v>39</v>
      </c>
      <c r="C381" t="s">
        <v>21</v>
      </c>
      <c r="D381">
        <v>48</v>
      </c>
      <c r="E381" t="s">
        <v>25</v>
      </c>
      <c r="F381" t="s">
        <v>26</v>
      </c>
      <c r="G381">
        <v>10</v>
      </c>
      <c r="H381" s="1" t="str">
        <f>IF(Table1[[#This Row],[anxiety_score]]&lt;=10, "Normal", IF(Table1[[#This Row],[anxiety_score]]&lt;=20, "Moderate", IF(Table1[[#This Row],[anxiety_score]]&lt;=30, "Severe", "Extremely Severe")))</f>
        <v>Normal</v>
      </c>
      <c r="I381">
        <v>-8.1994660000000007E-3</v>
      </c>
      <c r="J381">
        <v>10</v>
      </c>
      <c r="K381" s="1" t="str">
        <f>IF(Table1[[#This Row],[stress_score]]&lt;=10, "Normal", IF(Table1[[#This Row],[stress_score]]&lt;=20, "Moderate", IF(Table1[[#This Row],[stress_score]]&lt;=30, "Severe", "Extremely Severe")))</f>
        <v>Normal</v>
      </c>
      <c r="L381">
        <v>-0.18916494</v>
      </c>
      <c r="M381">
        <v>14</v>
      </c>
      <c r="N381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381">
        <v>0.23962580999999999</v>
      </c>
      <c r="P381">
        <v>11.333333</v>
      </c>
      <c r="Q381">
        <f>ROUND(Table1[[#This Row],[dass21_raw_score]],0)</f>
        <v>11</v>
      </c>
      <c r="R381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381">
        <v>1.4087136E-2</v>
      </c>
      <c r="T381">
        <v>1.108997</v>
      </c>
      <c r="U381">
        <v>2500</v>
      </c>
      <c r="V381" s="1">
        <f>ROUND(Table1[[#This Row],[fmpce]],0)</f>
        <v>2500</v>
      </c>
      <c r="W381">
        <v>34.011659999999999</v>
      </c>
      <c r="X381" s="4">
        <f>Table1[[#This Row],[mpce]]*89</f>
        <v>3027.0377399999998</v>
      </c>
      <c r="Y381" s="2" t="s">
        <v>34</v>
      </c>
      <c r="Z381" s="3">
        <f>VLOOKUP(Y381, rmpce_reference!$B$1:$D$7,3,FALSE) * 89</f>
        <v>2848</v>
      </c>
      <c r="AA381" s="1" t="str">
        <f>IF(Table1[rmpce_inr]&lt;=rmpce_reference!$F$2, "Low Income", IF(Table1[rmpce_inr]&lt;=rmpce_reference!$F$3, "Middle Income", "High Income"))</f>
        <v>Low Income</v>
      </c>
    </row>
    <row r="382" spans="1:27" x14ac:dyDescent="0.25">
      <c r="A382">
        <v>2125</v>
      </c>
      <c r="B382" t="s">
        <v>39</v>
      </c>
      <c r="C382" t="s">
        <v>21</v>
      </c>
      <c r="D382">
        <v>48</v>
      </c>
      <c r="E382" t="s">
        <v>25</v>
      </c>
      <c r="F382" t="s">
        <v>26</v>
      </c>
      <c r="G382">
        <v>6</v>
      </c>
      <c r="H382" s="1" t="str">
        <f>IF(Table1[[#This Row],[anxiety_score]]&lt;=10, "Normal", IF(Table1[[#This Row],[anxiety_score]]&lt;=20, "Moderate", IF(Table1[[#This Row],[anxiety_score]]&lt;=30, "Severe", "Extremely Severe")))</f>
        <v>Normal</v>
      </c>
      <c r="I382">
        <v>-0.41028870000000001</v>
      </c>
      <c r="J382">
        <v>12</v>
      </c>
      <c r="K382" s="1" t="str">
        <f>IF(Table1[[#This Row],[stress_score]]&lt;=10, "Normal", IF(Table1[[#This Row],[stress_score]]&lt;=20, "Moderate", IF(Table1[[#This Row],[stress_score]]&lt;=30, "Severe", "Extremely Severe")))</f>
        <v>Moderate</v>
      </c>
      <c r="L382">
        <v>5.496318E-3</v>
      </c>
      <c r="M382">
        <v>14</v>
      </c>
      <c r="N382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382">
        <v>0.23962580999999999</v>
      </c>
      <c r="P382">
        <v>10.666667</v>
      </c>
      <c r="Q382">
        <f>ROUND(Table1[[#This Row],[dass21_raw_score]],0)</f>
        <v>11</v>
      </c>
      <c r="R382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382">
        <v>-5.5055519999999997E-2</v>
      </c>
      <c r="T382">
        <v>1.0398544000000001</v>
      </c>
      <c r="U382">
        <v>2000</v>
      </c>
      <c r="V382" s="1">
        <f>ROUND(Table1[[#This Row],[fmpce]],0)</f>
        <v>2000</v>
      </c>
      <c r="W382">
        <v>27.209330000000001</v>
      </c>
      <c r="X382" s="4">
        <f>Table1[[#This Row],[mpce]]*89</f>
        <v>2421.6303700000003</v>
      </c>
      <c r="Y382" s="2" t="s">
        <v>34</v>
      </c>
      <c r="Z382" s="3">
        <f>VLOOKUP(Y382, rmpce_reference!$B$1:$D$7,3,FALSE) * 89</f>
        <v>2848</v>
      </c>
      <c r="AA382" s="1" t="str">
        <f>IF(Table1[rmpce_inr]&lt;=rmpce_reference!$F$2, "Low Income", IF(Table1[rmpce_inr]&lt;=rmpce_reference!$F$3, "Middle Income", "High Income"))</f>
        <v>Low Income</v>
      </c>
    </row>
    <row r="383" spans="1:27" x14ac:dyDescent="0.25">
      <c r="A383">
        <v>2126</v>
      </c>
      <c r="B383" t="s">
        <v>39</v>
      </c>
      <c r="C383" t="s">
        <v>29</v>
      </c>
      <c r="D383">
        <v>35</v>
      </c>
      <c r="E383" t="s">
        <v>25</v>
      </c>
      <c r="F383" t="s">
        <v>26</v>
      </c>
      <c r="G383">
        <v>10</v>
      </c>
      <c r="H383" s="1" t="str">
        <f>IF(Table1[[#This Row],[anxiety_score]]&lt;=10, "Normal", IF(Table1[[#This Row],[anxiety_score]]&lt;=20, "Moderate", IF(Table1[[#This Row],[anxiety_score]]&lt;=30, "Severe", "Extremely Severe")))</f>
        <v>Normal</v>
      </c>
      <c r="I383">
        <v>-8.1994660000000007E-3</v>
      </c>
      <c r="J383">
        <v>2</v>
      </c>
      <c r="K383" s="1" t="str">
        <f>IF(Table1[[#This Row],[stress_score]]&lt;=10, "Normal", IF(Table1[[#This Row],[stress_score]]&lt;=20, "Moderate", IF(Table1[[#This Row],[stress_score]]&lt;=30, "Severe", "Extremely Severe")))</f>
        <v>Normal</v>
      </c>
      <c r="L383">
        <v>-0.9678099</v>
      </c>
      <c r="M383">
        <v>0</v>
      </c>
      <c r="N383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383">
        <v>-1.1088359000000001</v>
      </c>
      <c r="P383">
        <v>4</v>
      </c>
      <c r="Q383">
        <f>ROUND(Table1[[#This Row],[dass21_raw_score]],0)</f>
        <v>4</v>
      </c>
      <c r="R383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383">
        <v>-0.69494842999999995</v>
      </c>
      <c r="T383">
        <v>0.39996146999999999</v>
      </c>
      <c r="U383">
        <v>1000</v>
      </c>
      <c r="V383" s="1">
        <f>ROUND(Table1[[#This Row],[fmpce]],0)</f>
        <v>1000</v>
      </c>
      <c r="W383">
        <v>13.604665000000001</v>
      </c>
      <c r="X383" s="4">
        <f>Table1[[#This Row],[mpce]]*89</f>
        <v>1210.8151850000002</v>
      </c>
      <c r="Y383" s="2" t="s">
        <v>24</v>
      </c>
      <c r="Z383" s="3">
        <f>VLOOKUP(Y383, rmpce_reference!$B$1:$D$7,3,FALSE) * 89</f>
        <v>2225</v>
      </c>
      <c r="AA383" s="1" t="str">
        <f>IF(Table1[rmpce_inr]&lt;=rmpce_reference!$F$2, "Low Income", IF(Table1[rmpce_inr]&lt;=rmpce_reference!$F$3, "Middle Income", "High Income"))</f>
        <v>Low Income</v>
      </c>
    </row>
    <row r="384" spans="1:27" x14ac:dyDescent="0.25">
      <c r="A384">
        <v>2127</v>
      </c>
      <c r="B384" t="s">
        <v>39</v>
      </c>
      <c r="C384" t="s">
        <v>21</v>
      </c>
      <c r="D384">
        <v>45</v>
      </c>
      <c r="E384" t="s">
        <v>25</v>
      </c>
      <c r="F384" t="s">
        <v>30</v>
      </c>
      <c r="G384">
        <v>16</v>
      </c>
      <c r="H384" s="1" t="str">
        <f>IF(Table1[[#This Row],[anxiety_score]]&lt;=10, "Normal", IF(Table1[[#This Row],[anxiety_score]]&lt;=20, "Moderate", IF(Table1[[#This Row],[anxiety_score]]&lt;=30, "Severe", "Extremely Severe")))</f>
        <v>Moderate</v>
      </c>
      <c r="I384">
        <v>0.59493434000000001</v>
      </c>
      <c r="J384">
        <v>20</v>
      </c>
      <c r="K384" s="1" t="str">
        <f>IF(Table1[[#This Row],[stress_score]]&lt;=10, "Normal", IF(Table1[[#This Row],[stress_score]]&lt;=20, "Moderate", IF(Table1[[#This Row],[stress_score]]&lt;=30, "Severe", "Extremely Severe")))</f>
        <v>Moderate</v>
      </c>
      <c r="L384">
        <v>0.78414130000000004</v>
      </c>
      <c r="M384">
        <v>20</v>
      </c>
      <c r="N384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384">
        <v>0.81753799999999999</v>
      </c>
      <c r="P384">
        <v>18.666665999999999</v>
      </c>
      <c r="Q384">
        <f>ROUND(Table1[[#This Row],[dass21_raw_score]],0)</f>
        <v>19</v>
      </c>
      <c r="R384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384">
        <v>0.73220456</v>
      </c>
      <c r="T384">
        <v>1.8271145</v>
      </c>
      <c r="U384">
        <v>1500</v>
      </c>
      <c r="V384" s="1">
        <f>ROUND(Table1[[#This Row],[fmpce]],0)</f>
        <v>1500</v>
      </c>
      <c r="W384">
        <v>20.406998000000002</v>
      </c>
      <c r="X384" s="4">
        <f>Table1[[#This Row],[mpce]]*89</f>
        <v>1816.2228220000002</v>
      </c>
      <c r="Y384" s="2" t="s">
        <v>24</v>
      </c>
      <c r="Z384" s="3">
        <f>VLOOKUP(Y384, rmpce_reference!$B$1:$D$7,3,FALSE) * 89</f>
        <v>2225</v>
      </c>
      <c r="AA384" s="1" t="str">
        <f>IF(Table1[rmpce_inr]&lt;=rmpce_reference!$F$2, "Low Income", IF(Table1[rmpce_inr]&lt;=rmpce_reference!$F$3, "Middle Income", "High Income"))</f>
        <v>Low Income</v>
      </c>
    </row>
    <row r="385" spans="1:27" x14ac:dyDescent="0.25">
      <c r="A385">
        <v>2128</v>
      </c>
      <c r="B385" t="s">
        <v>39</v>
      </c>
      <c r="C385" t="s">
        <v>29</v>
      </c>
      <c r="D385">
        <v>35</v>
      </c>
      <c r="E385" t="s">
        <v>25</v>
      </c>
      <c r="F385" t="s">
        <v>26</v>
      </c>
      <c r="G385">
        <v>18</v>
      </c>
      <c r="H385" s="1" t="str">
        <f>IF(Table1[[#This Row],[anxiety_score]]&lt;=10, "Normal", IF(Table1[[#This Row],[anxiety_score]]&lt;=20, "Moderate", IF(Table1[[#This Row],[anxiety_score]]&lt;=30, "Severe", "Extremely Severe")))</f>
        <v>Moderate</v>
      </c>
      <c r="I385">
        <v>0.79597896000000001</v>
      </c>
      <c r="J385">
        <v>20</v>
      </c>
      <c r="K385" s="1" t="str">
        <f>IF(Table1[[#This Row],[stress_score]]&lt;=10, "Normal", IF(Table1[[#This Row],[stress_score]]&lt;=20, "Moderate", IF(Table1[[#This Row],[stress_score]]&lt;=30, "Severe", "Extremely Severe")))</f>
        <v>Moderate</v>
      </c>
      <c r="L385">
        <v>0.78414130000000004</v>
      </c>
      <c r="M385">
        <v>18</v>
      </c>
      <c r="N385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385">
        <v>0.62490060000000003</v>
      </c>
      <c r="P385">
        <v>18.666665999999999</v>
      </c>
      <c r="Q385">
        <f>ROUND(Table1[[#This Row],[dass21_raw_score]],0)</f>
        <v>19</v>
      </c>
      <c r="R385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385">
        <v>0.73500690000000002</v>
      </c>
      <c r="T385">
        <v>1.8299167999999999</v>
      </c>
      <c r="U385">
        <v>1500</v>
      </c>
      <c r="V385" s="1">
        <f>ROUND(Table1[[#This Row],[fmpce]],0)</f>
        <v>1500</v>
      </c>
      <c r="W385">
        <v>20.406998000000002</v>
      </c>
      <c r="X385" s="4">
        <f>Table1[[#This Row],[mpce]]*89</f>
        <v>1816.2228220000002</v>
      </c>
      <c r="Y385" s="2" t="s">
        <v>24</v>
      </c>
      <c r="Z385" s="3">
        <f>VLOOKUP(Y385, rmpce_reference!$B$1:$D$7,3,FALSE) * 89</f>
        <v>2225</v>
      </c>
      <c r="AA385" s="1" t="str">
        <f>IF(Table1[rmpce_inr]&lt;=rmpce_reference!$F$2, "Low Income", IF(Table1[rmpce_inr]&lt;=rmpce_reference!$F$3, "Middle Income", "High Income"))</f>
        <v>Low Income</v>
      </c>
    </row>
    <row r="386" spans="1:27" x14ac:dyDescent="0.25">
      <c r="A386">
        <v>2129</v>
      </c>
      <c r="B386" t="s">
        <v>39</v>
      </c>
      <c r="C386" t="s">
        <v>33</v>
      </c>
      <c r="D386">
        <v>30</v>
      </c>
      <c r="E386" t="s">
        <v>25</v>
      </c>
      <c r="F386" t="s">
        <v>30</v>
      </c>
      <c r="G386">
        <v>14</v>
      </c>
      <c r="H386" s="1" t="str">
        <f>IF(Table1[[#This Row],[anxiety_score]]&lt;=10, "Normal", IF(Table1[[#This Row],[anxiety_score]]&lt;=20, "Moderate", IF(Table1[[#This Row],[anxiety_score]]&lt;=30, "Severe", "Extremely Severe")))</f>
        <v>Moderate</v>
      </c>
      <c r="I386">
        <v>0.39388975999999998</v>
      </c>
      <c r="J386">
        <v>16</v>
      </c>
      <c r="K386" s="1" t="str">
        <f>IF(Table1[[#This Row],[stress_score]]&lt;=10, "Normal", IF(Table1[[#This Row],[stress_score]]&lt;=20, "Moderate", IF(Table1[[#This Row],[stress_score]]&lt;=30, "Severe", "Extremely Severe")))</f>
        <v>Moderate</v>
      </c>
      <c r="L386">
        <v>0.39481880000000003</v>
      </c>
      <c r="M386">
        <v>14</v>
      </c>
      <c r="N386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386">
        <v>0.23962580999999999</v>
      </c>
      <c r="P386">
        <v>14.666667</v>
      </c>
      <c r="Q386">
        <f>ROUND(Table1[[#This Row],[dass21_raw_score]],0)</f>
        <v>15</v>
      </c>
      <c r="R386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386">
        <v>0.34277812000000002</v>
      </c>
      <c r="T386">
        <v>1.4376880000000001</v>
      </c>
      <c r="U386">
        <v>1600</v>
      </c>
      <c r="V386" s="1">
        <f>ROUND(Table1[[#This Row],[fmpce]],0)</f>
        <v>1600</v>
      </c>
      <c r="W386">
        <v>21.767464</v>
      </c>
      <c r="X386" s="4">
        <f>Table1[[#This Row],[mpce]]*89</f>
        <v>1937.304296</v>
      </c>
      <c r="Y386" s="2" t="s">
        <v>24</v>
      </c>
      <c r="Z386" s="3">
        <f>VLOOKUP(Y386, rmpce_reference!$B$1:$D$7,3,FALSE) * 89</f>
        <v>2225</v>
      </c>
      <c r="AA386" s="1" t="str">
        <f>IF(Table1[rmpce_inr]&lt;=rmpce_reference!$F$2, "Low Income", IF(Table1[rmpce_inr]&lt;=rmpce_reference!$F$3, "Middle Income", "High Income"))</f>
        <v>Low Income</v>
      </c>
    </row>
    <row r="387" spans="1:27" x14ac:dyDescent="0.25">
      <c r="A387">
        <v>2130</v>
      </c>
      <c r="B387" t="s">
        <v>39</v>
      </c>
      <c r="C387" t="s">
        <v>29</v>
      </c>
      <c r="D387">
        <v>40</v>
      </c>
      <c r="E387" t="s">
        <v>25</v>
      </c>
      <c r="F387" t="s">
        <v>30</v>
      </c>
      <c r="G387">
        <v>24</v>
      </c>
      <c r="H387" s="1" t="str">
        <f>IF(Table1[[#This Row],[anxiety_score]]&lt;=10, "Normal", IF(Table1[[#This Row],[anxiety_score]]&lt;=20, "Moderate", IF(Table1[[#This Row],[anxiety_score]]&lt;=30, "Severe", "Extremely Severe")))</f>
        <v>Severe</v>
      </c>
      <c r="I387">
        <v>1.3991127999999999</v>
      </c>
      <c r="J387">
        <v>32</v>
      </c>
      <c r="K387" s="1" t="str">
        <f>IF(Table1[[#This Row],[stress_score]]&lt;=10, "Normal", IF(Table1[[#This Row],[stress_score]]&lt;=20, "Moderate", IF(Table1[[#This Row],[stress_score]]&lt;=30, "Severe", "Extremely Severe")))</f>
        <v>Extremely Severe</v>
      </c>
      <c r="L387">
        <v>1.9521089</v>
      </c>
      <c r="M387">
        <v>10</v>
      </c>
      <c r="N387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387">
        <v>-0.14564899000000001</v>
      </c>
      <c r="P387">
        <v>22</v>
      </c>
      <c r="Q387">
        <f>ROUND(Table1[[#This Row],[dass21_raw_score]],0)</f>
        <v>22</v>
      </c>
      <c r="R387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387">
        <v>1.0685241999999999</v>
      </c>
      <c r="T387">
        <v>2.1634340000000001</v>
      </c>
      <c r="U387">
        <v>1666.6666</v>
      </c>
      <c r="V387" s="1">
        <f>ROUND(Table1[[#This Row],[fmpce]],0)</f>
        <v>1667</v>
      </c>
      <c r="W387">
        <v>22.674440000000001</v>
      </c>
      <c r="X387" s="4">
        <f>Table1[[#This Row],[mpce]]*89</f>
        <v>2018.0251600000001</v>
      </c>
      <c r="Y387" s="2" t="s">
        <v>24</v>
      </c>
      <c r="Z387" s="3">
        <f>VLOOKUP(Y387, rmpce_reference!$B$1:$D$7,3,FALSE) * 89</f>
        <v>2225</v>
      </c>
      <c r="AA387" s="1" t="str">
        <f>IF(Table1[rmpce_inr]&lt;=rmpce_reference!$F$2, "Low Income", IF(Table1[rmpce_inr]&lt;=rmpce_reference!$F$3, "Middle Income", "High Income"))</f>
        <v>Low Income</v>
      </c>
    </row>
    <row r="388" spans="1:27" x14ac:dyDescent="0.25">
      <c r="A388">
        <v>2131</v>
      </c>
      <c r="B388" t="s">
        <v>39</v>
      </c>
      <c r="C388" t="s">
        <v>33</v>
      </c>
      <c r="D388">
        <v>30</v>
      </c>
      <c r="E388" t="s">
        <v>25</v>
      </c>
      <c r="F388" t="s">
        <v>26</v>
      </c>
      <c r="G388">
        <v>4</v>
      </c>
      <c r="H388" s="1" t="str">
        <f>IF(Table1[[#This Row],[anxiety_score]]&lt;=10, "Normal", IF(Table1[[#This Row],[anxiety_score]]&lt;=20, "Moderate", IF(Table1[[#This Row],[anxiety_score]]&lt;=30, "Severe", "Extremely Severe")))</f>
        <v>Normal</v>
      </c>
      <c r="I388">
        <v>-0.61133329999999997</v>
      </c>
      <c r="J388">
        <v>2</v>
      </c>
      <c r="K388" s="1" t="str">
        <f>IF(Table1[[#This Row],[stress_score]]&lt;=10, "Normal", IF(Table1[[#This Row],[stress_score]]&lt;=20, "Moderate", IF(Table1[[#This Row],[stress_score]]&lt;=30, "Severe", "Extremely Severe")))</f>
        <v>Normal</v>
      </c>
      <c r="L388">
        <v>-0.9678099</v>
      </c>
      <c r="M388">
        <v>14</v>
      </c>
      <c r="N388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388">
        <v>0.23962580999999999</v>
      </c>
      <c r="P388">
        <v>6.6666664999999998</v>
      </c>
      <c r="Q388">
        <f>ROUND(Table1[[#This Row],[dass21_raw_score]],0)</f>
        <v>7</v>
      </c>
      <c r="R388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388">
        <v>-0.44650580000000001</v>
      </c>
      <c r="T388">
        <v>0.64840410000000004</v>
      </c>
      <c r="U388">
        <v>3750</v>
      </c>
      <c r="V388" s="1">
        <f>ROUND(Table1[[#This Row],[fmpce]],0)</f>
        <v>3750</v>
      </c>
      <c r="W388">
        <v>51.017493999999999</v>
      </c>
      <c r="X388" s="4">
        <f>Table1[[#This Row],[mpce]]*89</f>
        <v>4540.5569660000001</v>
      </c>
      <c r="Y388" s="2" t="s">
        <v>32</v>
      </c>
      <c r="Z388" s="3">
        <f>VLOOKUP(Y388, rmpce_reference!$B$1:$D$7,3,FALSE) * 89</f>
        <v>4450</v>
      </c>
      <c r="AA388" s="1" t="str">
        <f>IF(Table1[rmpce_inr]&lt;=rmpce_reference!$F$2, "Low Income", IF(Table1[rmpce_inr]&lt;=rmpce_reference!$F$3, "Middle Income", "High Income"))</f>
        <v>Low Income</v>
      </c>
    </row>
    <row r="389" spans="1:27" x14ac:dyDescent="0.25">
      <c r="A389">
        <v>2132</v>
      </c>
      <c r="B389" t="s">
        <v>39</v>
      </c>
      <c r="C389" t="s">
        <v>21</v>
      </c>
      <c r="D389">
        <v>50</v>
      </c>
      <c r="E389" t="s">
        <v>25</v>
      </c>
      <c r="F389" t="s">
        <v>26</v>
      </c>
      <c r="G389">
        <v>4</v>
      </c>
      <c r="H389" s="1" t="str">
        <f>IF(Table1[[#This Row],[anxiety_score]]&lt;=10, "Normal", IF(Table1[[#This Row],[anxiety_score]]&lt;=20, "Moderate", IF(Table1[[#This Row],[anxiety_score]]&lt;=30, "Severe", "Extremely Severe")))</f>
        <v>Normal</v>
      </c>
      <c r="I389">
        <v>-0.61133329999999997</v>
      </c>
      <c r="J389">
        <v>10</v>
      </c>
      <c r="K389" s="1" t="str">
        <f>IF(Table1[[#This Row],[stress_score]]&lt;=10, "Normal", IF(Table1[[#This Row],[stress_score]]&lt;=20, "Moderate", IF(Table1[[#This Row],[stress_score]]&lt;=30, "Severe", "Extremely Severe")))</f>
        <v>Normal</v>
      </c>
      <c r="L389">
        <v>-0.18916494</v>
      </c>
      <c r="M389">
        <v>14</v>
      </c>
      <c r="N389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389">
        <v>0.23962580999999999</v>
      </c>
      <c r="P389">
        <v>9.3333329999999997</v>
      </c>
      <c r="Q389">
        <f>ROUND(Table1[[#This Row],[dass21_raw_score]],0)</f>
        <v>9</v>
      </c>
      <c r="R389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389">
        <v>-0.18695748000000001</v>
      </c>
      <c r="T389">
        <v>0.90795239999999999</v>
      </c>
      <c r="U389">
        <v>5000</v>
      </c>
      <c r="V389" s="1">
        <f>ROUND(Table1[[#This Row],[fmpce]],0)</f>
        <v>5000</v>
      </c>
      <c r="W389">
        <v>68.023319999999998</v>
      </c>
      <c r="X389" s="4">
        <f>Table1[[#This Row],[mpce]]*89</f>
        <v>6054.0754799999995</v>
      </c>
      <c r="Y389" s="2" t="s">
        <v>28</v>
      </c>
      <c r="Z389" s="3">
        <f>VLOOKUP(Y389, rmpce_reference!$B$1:$D$7,3,FALSE) * 89</f>
        <v>6230</v>
      </c>
      <c r="AA389" s="1" t="str">
        <f>IF(Table1[rmpce_inr]&lt;=rmpce_reference!$F$2, "Low Income", IF(Table1[rmpce_inr]&lt;=rmpce_reference!$F$3, "Middle Income", "High Income"))</f>
        <v>Middle Income</v>
      </c>
    </row>
    <row r="390" spans="1:27" x14ac:dyDescent="0.25">
      <c r="A390">
        <v>2133</v>
      </c>
      <c r="B390" t="s">
        <v>39</v>
      </c>
      <c r="C390" t="s">
        <v>21</v>
      </c>
      <c r="D390">
        <v>44</v>
      </c>
      <c r="E390" t="s">
        <v>22</v>
      </c>
      <c r="F390" t="s">
        <v>30</v>
      </c>
      <c r="G390">
        <v>20</v>
      </c>
      <c r="H390" s="1" t="str">
        <f>IF(Table1[[#This Row],[anxiety_score]]&lt;=10, "Normal", IF(Table1[[#This Row],[anxiety_score]]&lt;=20, "Moderate", IF(Table1[[#This Row],[anxiety_score]]&lt;=30, "Severe", "Extremely Severe")))</f>
        <v>Moderate</v>
      </c>
      <c r="I390">
        <v>0.99702360000000001</v>
      </c>
      <c r="J390">
        <v>18</v>
      </c>
      <c r="K390" s="1" t="str">
        <f>IF(Table1[[#This Row],[stress_score]]&lt;=10, "Normal", IF(Table1[[#This Row],[stress_score]]&lt;=20, "Moderate", IF(Table1[[#This Row],[stress_score]]&lt;=30, "Severe", "Extremely Severe")))</f>
        <v>Moderate</v>
      </c>
      <c r="L390">
        <v>0.58948003999999998</v>
      </c>
      <c r="M390">
        <v>18</v>
      </c>
      <c r="N390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390">
        <v>0.62490060000000003</v>
      </c>
      <c r="P390">
        <v>18.666665999999999</v>
      </c>
      <c r="Q390">
        <f>ROUND(Table1[[#This Row],[dass21_raw_score]],0)</f>
        <v>19</v>
      </c>
      <c r="R390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390">
        <v>0.73713474999999995</v>
      </c>
      <c r="T390">
        <v>1.8320445999999999</v>
      </c>
      <c r="U390">
        <v>6666.6665000000003</v>
      </c>
      <c r="V390" s="1">
        <f>ROUND(Table1[[#This Row],[fmpce]],0)</f>
        <v>6667</v>
      </c>
      <c r="W390">
        <v>90.697760000000002</v>
      </c>
      <c r="X390" s="4">
        <f>Table1[[#This Row],[mpce]]*89</f>
        <v>8072.1006400000006</v>
      </c>
      <c r="Y390" s="2" t="s">
        <v>31</v>
      </c>
      <c r="Z390" s="3">
        <f>VLOOKUP(Y390, rmpce_reference!$B$1:$D$7,3,FALSE) * 89</f>
        <v>8010</v>
      </c>
      <c r="AA390" s="1" t="str">
        <f>IF(Table1[rmpce_inr]&lt;=rmpce_reference!$F$2, "Low Income", IF(Table1[rmpce_inr]&lt;=rmpce_reference!$F$3, "Middle Income", "High Income"))</f>
        <v>High Income</v>
      </c>
    </row>
    <row r="391" spans="1:27" x14ac:dyDescent="0.25">
      <c r="A391">
        <v>2134</v>
      </c>
      <c r="B391" t="s">
        <v>39</v>
      </c>
      <c r="C391" t="s">
        <v>29</v>
      </c>
      <c r="D391">
        <v>35</v>
      </c>
      <c r="E391" t="s">
        <v>25</v>
      </c>
      <c r="F391" t="s">
        <v>23</v>
      </c>
      <c r="G391">
        <v>4</v>
      </c>
      <c r="H391" s="1" t="str">
        <f>IF(Table1[[#This Row],[anxiety_score]]&lt;=10, "Normal", IF(Table1[[#This Row],[anxiety_score]]&lt;=20, "Moderate", IF(Table1[[#This Row],[anxiety_score]]&lt;=30, "Severe", "Extremely Severe")))</f>
        <v>Normal</v>
      </c>
      <c r="I391">
        <v>-0.61133329999999997</v>
      </c>
      <c r="J391">
        <v>8</v>
      </c>
      <c r="K391" s="1" t="str">
        <f>IF(Table1[[#This Row],[stress_score]]&lt;=10, "Normal", IF(Table1[[#This Row],[stress_score]]&lt;=20, "Moderate", IF(Table1[[#This Row],[stress_score]]&lt;=30, "Severe", "Extremely Severe")))</f>
        <v>Normal</v>
      </c>
      <c r="L391">
        <v>-0.38382620000000001</v>
      </c>
      <c r="M391">
        <v>14</v>
      </c>
      <c r="N391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391">
        <v>0.23962580999999999</v>
      </c>
      <c r="P391">
        <v>8.6666670000000003</v>
      </c>
      <c r="Q391">
        <f>ROUND(Table1[[#This Row],[dass21_raw_score]],0)</f>
        <v>9</v>
      </c>
      <c r="R391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391">
        <v>-0.25184456</v>
      </c>
      <c r="T391">
        <v>0.84306539999999996</v>
      </c>
      <c r="U391">
        <v>2500</v>
      </c>
      <c r="V391" s="1">
        <f>ROUND(Table1[[#This Row],[fmpce]],0)</f>
        <v>2500</v>
      </c>
      <c r="W391">
        <v>34.011659999999999</v>
      </c>
      <c r="X391" s="4">
        <f>Table1[[#This Row],[mpce]]*89</f>
        <v>3027.0377399999998</v>
      </c>
      <c r="Y391" s="2" t="s">
        <v>34</v>
      </c>
      <c r="Z391" s="3">
        <f>VLOOKUP(Y391, rmpce_reference!$B$1:$D$7,3,FALSE) * 89</f>
        <v>2848</v>
      </c>
      <c r="AA391" s="1" t="str">
        <f>IF(Table1[rmpce_inr]&lt;=rmpce_reference!$F$2, "Low Income", IF(Table1[rmpce_inr]&lt;=rmpce_reference!$F$3, "Middle Income", "High Income"))</f>
        <v>Low Income</v>
      </c>
    </row>
    <row r="392" spans="1:27" x14ac:dyDescent="0.25">
      <c r="A392">
        <v>2135</v>
      </c>
      <c r="B392" t="s">
        <v>39</v>
      </c>
      <c r="C392" t="s">
        <v>29</v>
      </c>
      <c r="D392">
        <v>35</v>
      </c>
      <c r="E392" t="s">
        <v>25</v>
      </c>
      <c r="F392" t="s">
        <v>27</v>
      </c>
      <c r="G392">
        <v>4</v>
      </c>
      <c r="H392" s="1" t="str">
        <f>IF(Table1[[#This Row],[anxiety_score]]&lt;=10, "Normal", IF(Table1[[#This Row],[anxiety_score]]&lt;=20, "Moderate", IF(Table1[[#This Row],[anxiety_score]]&lt;=30, "Severe", "Extremely Severe")))</f>
        <v>Normal</v>
      </c>
      <c r="I392">
        <v>-0.61133329999999997</v>
      </c>
      <c r="J392">
        <v>10</v>
      </c>
      <c r="K392" s="1" t="str">
        <f>IF(Table1[[#This Row],[stress_score]]&lt;=10, "Normal", IF(Table1[[#This Row],[stress_score]]&lt;=20, "Moderate", IF(Table1[[#This Row],[stress_score]]&lt;=30, "Severe", "Extremely Severe")))</f>
        <v>Normal</v>
      </c>
      <c r="L392">
        <v>-0.18916494</v>
      </c>
      <c r="M392">
        <v>14</v>
      </c>
      <c r="N392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392">
        <v>0.23962580999999999</v>
      </c>
      <c r="P392">
        <v>9.3333329999999997</v>
      </c>
      <c r="Q392">
        <f>ROUND(Table1[[#This Row],[dass21_raw_score]],0)</f>
        <v>9</v>
      </c>
      <c r="R392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392">
        <v>-0.18695748000000001</v>
      </c>
      <c r="T392">
        <v>0.90795239999999999</v>
      </c>
      <c r="U392">
        <v>2500</v>
      </c>
      <c r="V392" s="1">
        <f>ROUND(Table1[[#This Row],[fmpce]],0)</f>
        <v>2500</v>
      </c>
      <c r="W392">
        <v>34.011659999999999</v>
      </c>
      <c r="X392" s="4">
        <f>Table1[[#This Row],[mpce]]*89</f>
        <v>3027.0377399999998</v>
      </c>
      <c r="Y392" s="2" t="s">
        <v>34</v>
      </c>
      <c r="Z392" s="3">
        <f>VLOOKUP(Y392, rmpce_reference!$B$1:$D$7,3,FALSE) * 89</f>
        <v>2848</v>
      </c>
      <c r="AA392" s="1" t="str">
        <f>IF(Table1[rmpce_inr]&lt;=rmpce_reference!$F$2, "Low Income", IF(Table1[rmpce_inr]&lt;=rmpce_reference!$F$3, "Middle Income", "High Income"))</f>
        <v>Low Income</v>
      </c>
    </row>
    <row r="393" spans="1:27" x14ac:dyDescent="0.25">
      <c r="A393">
        <v>2136</v>
      </c>
      <c r="B393" t="s">
        <v>39</v>
      </c>
      <c r="C393" t="s">
        <v>29</v>
      </c>
      <c r="D393">
        <v>39</v>
      </c>
      <c r="E393" t="s">
        <v>25</v>
      </c>
      <c r="F393" t="s">
        <v>26</v>
      </c>
      <c r="G393">
        <v>4</v>
      </c>
      <c r="H393" s="1" t="str">
        <f>IF(Table1[[#This Row],[anxiety_score]]&lt;=10, "Normal", IF(Table1[[#This Row],[anxiety_score]]&lt;=20, "Moderate", IF(Table1[[#This Row],[anxiety_score]]&lt;=30, "Severe", "Extremely Severe")))</f>
        <v>Normal</v>
      </c>
      <c r="I393">
        <v>-0.61133329999999997</v>
      </c>
      <c r="J393">
        <v>10</v>
      </c>
      <c r="K393" s="1" t="str">
        <f>IF(Table1[[#This Row],[stress_score]]&lt;=10, "Normal", IF(Table1[[#This Row],[stress_score]]&lt;=20, "Moderate", IF(Table1[[#This Row],[stress_score]]&lt;=30, "Severe", "Extremely Severe")))</f>
        <v>Normal</v>
      </c>
      <c r="L393">
        <v>-0.18916494</v>
      </c>
      <c r="M393">
        <v>2</v>
      </c>
      <c r="N393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393">
        <v>-0.91619854999999994</v>
      </c>
      <c r="P393">
        <v>5.3333335000000002</v>
      </c>
      <c r="Q393">
        <f>ROUND(Table1[[#This Row],[dass21_raw_score]],0)</f>
        <v>5</v>
      </c>
      <c r="R393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393">
        <v>-0.57223225</v>
      </c>
      <c r="T393">
        <v>0.52267766000000004</v>
      </c>
      <c r="U393">
        <v>1000</v>
      </c>
      <c r="V393" s="1">
        <f>ROUND(Table1[[#This Row],[fmpce]],0)</f>
        <v>1000</v>
      </c>
      <c r="W393">
        <v>13.604665000000001</v>
      </c>
      <c r="X393" s="4">
        <f>Table1[[#This Row],[mpce]]*89</f>
        <v>1210.8151850000002</v>
      </c>
      <c r="Y393" s="2" t="s">
        <v>24</v>
      </c>
      <c r="Z393" s="3">
        <f>VLOOKUP(Y393, rmpce_reference!$B$1:$D$7,3,FALSE) * 89</f>
        <v>2225</v>
      </c>
      <c r="AA393" s="1" t="str">
        <f>IF(Table1[rmpce_inr]&lt;=rmpce_reference!$F$2, "Low Income", IF(Table1[rmpce_inr]&lt;=rmpce_reference!$F$3, "Middle Income", "High Income"))</f>
        <v>Low Income</v>
      </c>
    </row>
    <row r="394" spans="1:27" x14ac:dyDescent="0.25">
      <c r="A394">
        <v>2137</v>
      </c>
      <c r="B394" t="s">
        <v>39</v>
      </c>
      <c r="C394" t="s">
        <v>33</v>
      </c>
      <c r="D394">
        <v>30</v>
      </c>
      <c r="E394" t="s">
        <v>25</v>
      </c>
      <c r="F394" t="s">
        <v>26</v>
      </c>
      <c r="G394">
        <v>6</v>
      </c>
      <c r="H394" s="1" t="str">
        <f>IF(Table1[[#This Row],[anxiety_score]]&lt;=10, "Normal", IF(Table1[[#This Row],[anxiety_score]]&lt;=20, "Moderate", IF(Table1[[#This Row],[anxiety_score]]&lt;=30, "Severe", "Extremely Severe")))</f>
        <v>Normal</v>
      </c>
      <c r="I394">
        <v>-0.41028870000000001</v>
      </c>
      <c r="J394">
        <v>8</v>
      </c>
      <c r="K394" s="1" t="str">
        <f>IF(Table1[[#This Row],[stress_score]]&lt;=10, "Normal", IF(Table1[[#This Row],[stress_score]]&lt;=20, "Moderate", IF(Table1[[#This Row],[stress_score]]&lt;=30, "Severe", "Extremely Severe")))</f>
        <v>Normal</v>
      </c>
      <c r="L394">
        <v>-0.38382620000000001</v>
      </c>
      <c r="M394">
        <v>2</v>
      </c>
      <c r="N394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394">
        <v>-0.91619854999999994</v>
      </c>
      <c r="P394">
        <v>5.3333335000000002</v>
      </c>
      <c r="Q394">
        <f>ROUND(Table1[[#This Row],[dass21_raw_score]],0)</f>
        <v>5</v>
      </c>
      <c r="R394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394">
        <v>-0.57010450000000001</v>
      </c>
      <c r="T394">
        <v>0.52480539999999998</v>
      </c>
      <c r="U394">
        <v>2000</v>
      </c>
      <c r="V394" s="1">
        <f>ROUND(Table1[[#This Row],[fmpce]],0)</f>
        <v>2000</v>
      </c>
      <c r="W394">
        <v>27.209330000000001</v>
      </c>
      <c r="X394" s="4">
        <f>Table1[[#This Row],[mpce]]*89</f>
        <v>2421.6303700000003</v>
      </c>
      <c r="Y394" s="2" t="s">
        <v>34</v>
      </c>
      <c r="Z394" s="3">
        <f>VLOOKUP(Y394, rmpce_reference!$B$1:$D$7,3,FALSE) * 89</f>
        <v>2848</v>
      </c>
      <c r="AA394" s="1" t="str">
        <f>IF(Table1[rmpce_inr]&lt;=rmpce_reference!$F$2, "Low Income", IF(Table1[rmpce_inr]&lt;=rmpce_reference!$F$3, "Middle Income", "High Income"))</f>
        <v>Low Income</v>
      </c>
    </row>
    <row r="395" spans="1:27" x14ac:dyDescent="0.25">
      <c r="A395">
        <v>2138</v>
      </c>
      <c r="B395" t="s">
        <v>39</v>
      </c>
      <c r="C395" t="s">
        <v>21</v>
      </c>
      <c r="D395">
        <v>47</v>
      </c>
      <c r="E395" t="s">
        <v>25</v>
      </c>
      <c r="F395" t="s">
        <v>26</v>
      </c>
      <c r="G395">
        <v>2</v>
      </c>
      <c r="H395" s="1" t="str">
        <f>IF(Table1[[#This Row],[anxiety_score]]&lt;=10, "Normal", IF(Table1[[#This Row],[anxiety_score]]&lt;=20, "Moderate", IF(Table1[[#This Row],[anxiety_score]]&lt;=30, "Severe", "Extremely Severe")))</f>
        <v>Normal</v>
      </c>
      <c r="I395">
        <v>-0.81237789999999999</v>
      </c>
      <c r="J395">
        <v>10</v>
      </c>
      <c r="K395" s="1" t="str">
        <f>IF(Table1[[#This Row],[stress_score]]&lt;=10, "Normal", IF(Table1[[#This Row],[stress_score]]&lt;=20, "Moderate", IF(Table1[[#This Row],[stress_score]]&lt;=30, "Severe", "Extremely Severe")))</f>
        <v>Normal</v>
      </c>
      <c r="L395">
        <v>-0.18916494</v>
      </c>
      <c r="M395">
        <v>4</v>
      </c>
      <c r="N395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395">
        <v>-0.72356116999999998</v>
      </c>
      <c r="P395">
        <v>5.3333335000000002</v>
      </c>
      <c r="Q395">
        <f>ROUND(Table1[[#This Row],[dass21_raw_score]],0)</f>
        <v>5</v>
      </c>
      <c r="R395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395">
        <v>-0.57503470000000001</v>
      </c>
      <c r="T395">
        <v>0.51987519999999998</v>
      </c>
      <c r="U395">
        <v>1750</v>
      </c>
      <c r="V395" s="1">
        <f>ROUND(Table1[[#This Row],[fmpce]],0)</f>
        <v>1750</v>
      </c>
      <c r="W395">
        <v>23.808163</v>
      </c>
      <c r="X395" s="4">
        <f>Table1[[#This Row],[mpce]]*89</f>
        <v>2118.9265070000001</v>
      </c>
      <c r="Y395" s="2" t="s">
        <v>24</v>
      </c>
      <c r="Z395" s="3">
        <f>VLOOKUP(Y395, rmpce_reference!$B$1:$D$7,3,FALSE) * 89</f>
        <v>2225</v>
      </c>
      <c r="AA395" s="1" t="str">
        <f>IF(Table1[rmpce_inr]&lt;=rmpce_reference!$F$2, "Low Income", IF(Table1[rmpce_inr]&lt;=rmpce_reference!$F$3, "Middle Income", "High Income"))</f>
        <v>Low Income</v>
      </c>
    </row>
    <row r="396" spans="1:27" x14ac:dyDescent="0.25">
      <c r="A396">
        <v>2139</v>
      </c>
      <c r="B396" t="s">
        <v>39</v>
      </c>
      <c r="C396" t="s">
        <v>29</v>
      </c>
      <c r="D396">
        <v>40</v>
      </c>
      <c r="E396" t="s">
        <v>25</v>
      </c>
      <c r="F396" t="s">
        <v>26</v>
      </c>
      <c r="G396">
        <v>4</v>
      </c>
      <c r="H396" s="1" t="str">
        <f>IF(Table1[[#This Row],[anxiety_score]]&lt;=10, "Normal", IF(Table1[[#This Row],[anxiety_score]]&lt;=20, "Moderate", IF(Table1[[#This Row],[anxiety_score]]&lt;=30, "Severe", "Extremely Severe")))</f>
        <v>Normal</v>
      </c>
      <c r="I396">
        <v>-0.61133329999999997</v>
      </c>
      <c r="J396">
        <v>10</v>
      </c>
      <c r="K396" s="1" t="str">
        <f>IF(Table1[[#This Row],[stress_score]]&lt;=10, "Normal", IF(Table1[[#This Row],[stress_score]]&lt;=20, "Moderate", IF(Table1[[#This Row],[stress_score]]&lt;=30, "Severe", "Extremely Severe")))</f>
        <v>Normal</v>
      </c>
      <c r="L396">
        <v>-0.18916494</v>
      </c>
      <c r="M396">
        <v>10</v>
      </c>
      <c r="N396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396">
        <v>-0.14564899000000001</v>
      </c>
      <c r="P396">
        <v>8</v>
      </c>
      <c r="Q396">
        <f>ROUND(Table1[[#This Row],[dass21_raw_score]],0)</f>
        <v>8</v>
      </c>
      <c r="R396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396">
        <v>-0.31538242</v>
      </c>
      <c r="T396">
        <v>0.77952750000000004</v>
      </c>
      <c r="U396">
        <v>2666.6667000000002</v>
      </c>
      <c r="V396" s="1">
        <f>ROUND(Table1[[#This Row],[fmpce]],0)</f>
        <v>2667</v>
      </c>
      <c r="W396">
        <v>36.279105999999999</v>
      </c>
      <c r="X396" s="4">
        <f>Table1[[#This Row],[mpce]]*89</f>
        <v>3228.8404339999997</v>
      </c>
      <c r="Y396" s="2" t="s">
        <v>34</v>
      </c>
      <c r="Z396" s="3">
        <f>VLOOKUP(Y396, rmpce_reference!$B$1:$D$7,3,FALSE) * 89</f>
        <v>2848</v>
      </c>
      <c r="AA396" s="1" t="str">
        <f>IF(Table1[rmpce_inr]&lt;=rmpce_reference!$F$2, "Low Income", IF(Table1[rmpce_inr]&lt;=rmpce_reference!$F$3, "Middle Income", "High Income"))</f>
        <v>Low Income</v>
      </c>
    </row>
    <row r="397" spans="1:27" x14ac:dyDescent="0.25">
      <c r="A397">
        <v>2140</v>
      </c>
      <c r="B397" t="s">
        <v>39</v>
      </c>
      <c r="C397" t="s">
        <v>21</v>
      </c>
      <c r="D397">
        <v>42</v>
      </c>
      <c r="E397" t="s">
        <v>25</v>
      </c>
      <c r="F397" t="s">
        <v>26</v>
      </c>
      <c r="G397">
        <v>4</v>
      </c>
      <c r="H397" s="1" t="str">
        <f>IF(Table1[[#This Row],[anxiety_score]]&lt;=10, "Normal", IF(Table1[[#This Row],[anxiety_score]]&lt;=20, "Moderate", IF(Table1[[#This Row],[anxiety_score]]&lt;=30, "Severe", "Extremely Severe")))</f>
        <v>Normal</v>
      </c>
      <c r="I397">
        <v>-0.61133329999999997</v>
      </c>
      <c r="J397">
        <v>12</v>
      </c>
      <c r="K397" s="1" t="str">
        <f>IF(Table1[[#This Row],[stress_score]]&lt;=10, "Normal", IF(Table1[[#This Row],[stress_score]]&lt;=20, "Moderate", IF(Table1[[#This Row],[stress_score]]&lt;=30, "Severe", "Extremely Severe")))</f>
        <v>Moderate</v>
      </c>
      <c r="L397">
        <v>5.496318E-3</v>
      </c>
      <c r="M397">
        <v>12</v>
      </c>
      <c r="N397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397">
        <v>4.6988415999999998E-2</v>
      </c>
      <c r="P397">
        <v>9.3333329999999997</v>
      </c>
      <c r="Q397">
        <f>ROUND(Table1[[#This Row],[dass21_raw_score]],0)</f>
        <v>9</v>
      </c>
      <c r="R397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397">
        <v>-0.18628285999999999</v>
      </c>
      <c r="T397">
        <v>0.90862703</v>
      </c>
      <c r="U397">
        <v>2000</v>
      </c>
      <c r="V397" s="1">
        <f>ROUND(Table1[[#This Row],[fmpce]],0)</f>
        <v>2000</v>
      </c>
      <c r="W397">
        <v>27.209330000000001</v>
      </c>
      <c r="X397" s="4">
        <f>Table1[[#This Row],[mpce]]*89</f>
        <v>2421.6303700000003</v>
      </c>
      <c r="Y397" s="2" t="s">
        <v>34</v>
      </c>
      <c r="Z397" s="3">
        <f>VLOOKUP(Y397, rmpce_reference!$B$1:$D$7,3,FALSE) * 89</f>
        <v>2848</v>
      </c>
      <c r="AA397" s="1" t="str">
        <f>IF(Table1[rmpce_inr]&lt;=rmpce_reference!$F$2, "Low Income", IF(Table1[rmpce_inr]&lt;=rmpce_reference!$F$3, "Middle Income", "High Income"))</f>
        <v>Low Income</v>
      </c>
    </row>
    <row r="398" spans="1:27" x14ac:dyDescent="0.25">
      <c r="A398">
        <v>2141</v>
      </c>
      <c r="B398" t="s">
        <v>39</v>
      </c>
      <c r="C398" t="s">
        <v>29</v>
      </c>
      <c r="D398">
        <v>39</v>
      </c>
      <c r="E398" t="s">
        <v>25</v>
      </c>
      <c r="F398" t="s">
        <v>26</v>
      </c>
      <c r="G398">
        <v>26</v>
      </c>
      <c r="H398" s="1" t="str">
        <f>IF(Table1[[#This Row],[anxiety_score]]&lt;=10, "Normal", IF(Table1[[#This Row],[anxiety_score]]&lt;=20, "Moderate", IF(Table1[[#This Row],[anxiety_score]]&lt;=30, "Severe", "Extremely Severe")))</f>
        <v>Severe</v>
      </c>
      <c r="I398">
        <v>1.6001574999999999</v>
      </c>
      <c r="J398">
        <v>24</v>
      </c>
      <c r="K398" s="1" t="str">
        <f>IF(Table1[[#This Row],[stress_score]]&lt;=10, "Normal", IF(Table1[[#This Row],[stress_score]]&lt;=20, "Moderate", IF(Table1[[#This Row],[stress_score]]&lt;=30, "Severe", "Extremely Severe")))</f>
        <v>Severe</v>
      </c>
      <c r="L398">
        <v>1.1734637999999999</v>
      </c>
      <c r="M398">
        <v>24</v>
      </c>
      <c r="N398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398">
        <v>1.2028128</v>
      </c>
      <c r="P398">
        <v>24.666665999999999</v>
      </c>
      <c r="Q398">
        <f>ROUND(Table1[[#This Row],[dass21_raw_score]],0)</f>
        <v>25</v>
      </c>
      <c r="R398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398">
        <v>1.3254781</v>
      </c>
      <c r="T398">
        <v>2.420388</v>
      </c>
      <c r="U398">
        <v>1500</v>
      </c>
      <c r="V398" s="1">
        <f>ROUND(Table1[[#This Row],[fmpce]],0)</f>
        <v>1500</v>
      </c>
      <c r="W398">
        <v>20.406998000000002</v>
      </c>
      <c r="X398" s="4">
        <f>Table1[[#This Row],[mpce]]*89</f>
        <v>1816.2228220000002</v>
      </c>
      <c r="Y398" s="2" t="s">
        <v>24</v>
      </c>
      <c r="Z398" s="3">
        <f>VLOOKUP(Y398, rmpce_reference!$B$1:$D$7,3,FALSE) * 89</f>
        <v>2225</v>
      </c>
      <c r="AA398" s="1" t="str">
        <f>IF(Table1[rmpce_inr]&lt;=rmpce_reference!$F$2, "Low Income", IF(Table1[rmpce_inr]&lt;=rmpce_reference!$F$3, "Middle Income", "High Income"))</f>
        <v>Low Income</v>
      </c>
    </row>
    <row r="399" spans="1:27" x14ac:dyDescent="0.25">
      <c r="A399">
        <v>2142</v>
      </c>
      <c r="B399" t="s">
        <v>39</v>
      </c>
      <c r="C399" t="s">
        <v>29</v>
      </c>
      <c r="D399">
        <v>33</v>
      </c>
      <c r="E399" t="s">
        <v>25</v>
      </c>
      <c r="F399" t="s">
        <v>26</v>
      </c>
      <c r="G399">
        <v>28</v>
      </c>
      <c r="H399" s="1" t="str">
        <f>IF(Table1[[#This Row],[anxiety_score]]&lt;=10, "Normal", IF(Table1[[#This Row],[anxiety_score]]&lt;=20, "Moderate", IF(Table1[[#This Row],[anxiety_score]]&lt;=30, "Severe", "Extremely Severe")))</f>
        <v>Severe</v>
      </c>
      <c r="I399">
        <v>1.801202</v>
      </c>
      <c r="J399">
        <v>26</v>
      </c>
      <c r="K399" s="1" t="str">
        <f>IF(Table1[[#This Row],[stress_score]]&lt;=10, "Normal", IF(Table1[[#This Row],[stress_score]]&lt;=20, "Moderate", IF(Table1[[#This Row],[stress_score]]&lt;=30, "Severe", "Extremely Severe")))</f>
        <v>Severe</v>
      </c>
      <c r="L399">
        <v>1.3681251000000001</v>
      </c>
      <c r="M399">
        <v>28</v>
      </c>
      <c r="N399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399">
        <v>1.5880875999999999</v>
      </c>
      <c r="P399">
        <v>27.333334000000001</v>
      </c>
      <c r="Q399">
        <f>ROUND(Table1[[#This Row],[dass21_raw_score]],0)</f>
        <v>27</v>
      </c>
      <c r="R399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399">
        <v>1.5858049000000001</v>
      </c>
      <c r="T399">
        <v>2.6807148000000001</v>
      </c>
      <c r="U399">
        <v>1500</v>
      </c>
      <c r="V399" s="1">
        <f>ROUND(Table1[[#This Row],[fmpce]],0)</f>
        <v>1500</v>
      </c>
      <c r="W399">
        <v>20.406998000000002</v>
      </c>
      <c r="X399" s="4">
        <f>Table1[[#This Row],[mpce]]*89</f>
        <v>1816.2228220000002</v>
      </c>
      <c r="Y399" s="2" t="s">
        <v>24</v>
      </c>
      <c r="Z399" s="3">
        <f>VLOOKUP(Y399, rmpce_reference!$B$1:$D$7,3,FALSE) * 89</f>
        <v>2225</v>
      </c>
      <c r="AA399" s="1" t="str">
        <f>IF(Table1[rmpce_inr]&lt;=rmpce_reference!$F$2, "Low Income", IF(Table1[rmpce_inr]&lt;=rmpce_reference!$F$3, "Middle Income", "High Income"))</f>
        <v>Low Income</v>
      </c>
    </row>
    <row r="400" spans="1:27" x14ac:dyDescent="0.25">
      <c r="A400">
        <v>2143</v>
      </c>
      <c r="B400" t="s">
        <v>39</v>
      </c>
      <c r="C400" t="s">
        <v>33</v>
      </c>
      <c r="D400">
        <v>30</v>
      </c>
      <c r="E400" t="s">
        <v>25</v>
      </c>
      <c r="F400" t="s">
        <v>26</v>
      </c>
      <c r="G400">
        <v>10</v>
      </c>
      <c r="H400" s="1" t="str">
        <f>IF(Table1[[#This Row],[anxiety_score]]&lt;=10, "Normal", IF(Table1[[#This Row],[anxiety_score]]&lt;=20, "Moderate", IF(Table1[[#This Row],[anxiety_score]]&lt;=30, "Severe", "Extremely Severe")))</f>
        <v>Normal</v>
      </c>
      <c r="I400">
        <v>-8.1994660000000007E-3</v>
      </c>
      <c r="J400">
        <v>16</v>
      </c>
      <c r="K400" s="1" t="str">
        <f>IF(Table1[[#This Row],[stress_score]]&lt;=10, "Normal", IF(Table1[[#This Row],[stress_score]]&lt;=20, "Moderate", IF(Table1[[#This Row],[stress_score]]&lt;=30, "Severe", "Extremely Severe")))</f>
        <v>Moderate</v>
      </c>
      <c r="L400">
        <v>0.39481880000000003</v>
      </c>
      <c r="M400">
        <v>8</v>
      </c>
      <c r="N400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400">
        <v>-0.33828637</v>
      </c>
      <c r="P400">
        <v>11.333333</v>
      </c>
      <c r="Q400">
        <f>ROUND(Table1[[#This Row],[dass21_raw_score]],0)</f>
        <v>11</v>
      </c>
      <c r="R400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400">
        <v>1.6110992000000001E-2</v>
      </c>
      <c r="T400">
        <v>1.1110209</v>
      </c>
      <c r="U400">
        <v>2500</v>
      </c>
      <c r="V400" s="1">
        <f>ROUND(Table1[[#This Row],[fmpce]],0)</f>
        <v>2500</v>
      </c>
      <c r="W400">
        <v>34.011659999999999</v>
      </c>
      <c r="X400" s="4">
        <f>Table1[[#This Row],[mpce]]*89</f>
        <v>3027.0377399999998</v>
      </c>
      <c r="Y400" s="2" t="s">
        <v>34</v>
      </c>
      <c r="Z400" s="3">
        <f>VLOOKUP(Y400, rmpce_reference!$B$1:$D$7,3,FALSE) * 89</f>
        <v>2848</v>
      </c>
      <c r="AA400" s="1" t="str">
        <f>IF(Table1[rmpce_inr]&lt;=rmpce_reference!$F$2, "Low Income", IF(Table1[rmpce_inr]&lt;=rmpce_reference!$F$3, "Middle Income", "High Income"))</f>
        <v>Low Income</v>
      </c>
    </row>
    <row r="401" spans="1:27" x14ac:dyDescent="0.25">
      <c r="A401">
        <v>2144</v>
      </c>
      <c r="B401" t="s">
        <v>39</v>
      </c>
      <c r="C401" t="s">
        <v>33</v>
      </c>
      <c r="D401">
        <v>27</v>
      </c>
      <c r="E401" t="s">
        <v>25</v>
      </c>
      <c r="F401" t="s">
        <v>26</v>
      </c>
      <c r="G401">
        <v>30</v>
      </c>
      <c r="H401" s="1" t="str">
        <f>IF(Table1[[#This Row],[anxiety_score]]&lt;=10, "Normal", IF(Table1[[#This Row],[anxiety_score]]&lt;=20, "Moderate", IF(Table1[[#This Row],[anxiety_score]]&lt;=30, "Severe", "Extremely Severe")))</f>
        <v>Severe</v>
      </c>
      <c r="I401">
        <v>2.0022465999999999</v>
      </c>
      <c r="J401">
        <v>28</v>
      </c>
      <c r="K401" s="1" t="str">
        <f>IF(Table1[[#This Row],[stress_score]]&lt;=10, "Normal", IF(Table1[[#This Row],[stress_score]]&lt;=20, "Moderate", IF(Table1[[#This Row],[stress_score]]&lt;=30, "Severe", "Extremely Severe")))</f>
        <v>Severe</v>
      </c>
      <c r="L401">
        <v>1.5627863</v>
      </c>
      <c r="M401">
        <v>34</v>
      </c>
      <c r="N401" s="1" t="str">
        <f>IF(Table1[[#This Row],[depression_score]]&lt;=10, "Normal", IF(Table1[[#This Row],[depression_score]]&lt;=20, "Moderate", IF(Table1[[#This Row],[depression_score]]&lt;=30, "Severe", "Extremely Severe")))</f>
        <v>Extremely Severe</v>
      </c>
      <c r="O401">
        <v>2.1659999999999999</v>
      </c>
      <c r="P401">
        <v>30.666665999999999</v>
      </c>
      <c r="Q401">
        <f>ROUND(Table1[[#This Row],[dass21_raw_score]],0)</f>
        <v>31</v>
      </c>
      <c r="R401" s="1" t="str">
        <f>IF(Table1[[#This Row],[round_dass21_raw_score]]&lt;=10, "Normal", IF(Table1[[#This Row],[round_dass21_raw_score]]&lt;=20, "Moderate", IF(Table1[[#This Row],[round_dass21_raw_score]]&lt;=30, "Severe", "Extremely Severe")))</f>
        <v>Extremely Severe</v>
      </c>
      <c r="S401">
        <v>1.9103441999999999</v>
      </c>
      <c r="T401">
        <v>3.0052542999999998</v>
      </c>
      <c r="U401">
        <v>3750</v>
      </c>
      <c r="V401" s="1">
        <f>ROUND(Table1[[#This Row],[fmpce]],0)</f>
        <v>3750</v>
      </c>
      <c r="W401">
        <v>51.017493999999999</v>
      </c>
      <c r="X401" s="4">
        <f>Table1[[#This Row],[mpce]]*89</f>
        <v>4540.5569660000001</v>
      </c>
      <c r="Y401" s="2" t="s">
        <v>32</v>
      </c>
      <c r="Z401" s="3">
        <f>VLOOKUP(Y401, rmpce_reference!$B$1:$D$7,3,FALSE) * 89</f>
        <v>4450</v>
      </c>
      <c r="AA401" s="1" t="str">
        <f>IF(Table1[rmpce_inr]&lt;=rmpce_reference!$F$2, "Low Income", IF(Table1[rmpce_inr]&lt;=rmpce_reference!$F$3, "Middle Income", "High Income"))</f>
        <v>Low Income</v>
      </c>
    </row>
    <row r="402" spans="1:27" x14ac:dyDescent="0.25">
      <c r="A402">
        <v>2145</v>
      </c>
      <c r="B402" t="s">
        <v>39</v>
      </c>
      <c r="C402" t="s">
        <v>29</v>
      </c>
      <c r="D402">
        <v>35</v>
      </c>
      <c r="E402" t="s">
        <v>25</v>
      </c>
      <c r="F402" t="s">
        <v>26</v>
      </c>
      <c r="G402">
        <v>6</v>
      </c>
      <c r="H402" s="1" t="str">
        <f>IF(Table1[[#This Row],[anxiety_score]]&lt;=10, "Normal", IF(Table1[[#This Row],[anxiety_score]]&lt;=20, "Moderate", IF(Table1[[#This Row],[anxiety_score]]&lt;=30, "Severe", "Extremely Severe")))</f>
        <v>Normal</v>
      </c>
      <c r="I402">
        <v>-0.41028870000000001</v>
      </c>
      <c r="J402">
        <v>10</v>
      </c>
      <c r="K402" s="1" t="str">
        <f>IF(Table1[[#This Row],[stress_score]]&lt;=10, "Normal", IF(Table1[[#This Row],[stress_score]]&lt;=20, "Moderate", IF(Table1[[#This Row],[stress_score]]&lt;=30, "Severe", "Extremely Severe")))</f>
        <v>Normal</v>
      </c>
      <c r="L402">
        <v>-0.18916494</v>
      </c>
      <c r="M402">
        <v>6</v>
      </c>
      <c r="N402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402">
        <v>-0.53092379999999995</v>
      </c>
      <c r="P402">
        <v>7.3333335000000002</v>
      </c>
      <c r="Q402">
        <f>ROUND(Table1[[#This Row],[dass21_raw_score]],0)</f>
        <v>7</v>
      </c>
      <c r="R402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402">
        <v>-0.37679246</v>
      </c>
      <c r="T402">
        <v>0.71811749999999996</v>
      </c>
      <c r="U402">
        <v>1750</v>
      </c>
      <c r="V402" s="1">
        <f>ROUND(Table1[[#This Row],[fmpce]],0)</f>
        <v>1750</v>
      </c>
      <c r="W402">
        <v>23.808163</v>
      </c>
      <c r="X402" s="4">
        <f>Table1[[#This Row],[mpce]]*89</f>
        <v>2118.9265070000001</v>
      </c>
      <c r="Y402" s="2" t="s">
        <v>24</v>
      </c>
      <c r="Z402" s="3">
        <f>VLOOKUP(Y402, rmpce_reference!$B$1:$D$7,3,FALSE) * 89</f>
        <v>2225</v>
      </c>
      <c r="AA402" s="1" t="str">
        <f>IF(Table1[rmpce_inr]&lt;=rmpce_reference!$F$2, "Low Income", IF(Table1[rmpce_inr]&lt;=rmpce_reference!$F$3, "Middle Income", "High Income"))</f>
        <v>Low Income</v>
      </c>
    </row>
    <row r="403" spans="1:27" x14ac:dyDescent="0.25">
      <c r="A403">
        <v>2146</v>
      </c>
      <c r="B403" t="s">
        <v>39</v>
      </c>
      <c r="C403" t="s">
        <v>21</v>
      </c>
      <c r="D403">
        <v>48</v>
      </c>
      <c r="E403" t="s">
        <v>25</v>
      </c>
      <c r="F403" t="s">
        <v>26</v>
      </c>
      <c r="G403">
        <v>10</v>
      </c>
      <c r="H403" s="1" t="str">
        <f>IF(Table1[[#This Row],[anxiety_score]]&lt;=10, "Normal", IF(Table1[[#This Row],[anxiety_score]]&lt;=20, "Moderate", IF(Table1[[#This Row],[anxiety_score]]&lt;=30, "Severe", "Extremely Severe")))</f>
        <v>Normal</v>
      </c>
      <c r="I403">
        <v>-8.1994660000000007E-3</v>
      </c>
      <c r="J403">
        <v>8</v>
      </c>
      <c r="K403" s="1" t="str">
        <f>IF(Table1[[#This Row],[stress_score]]&lt;=10, "Normal", IF(Table1[[#This Row],[stress_score]]&lt;=20, "Moderate", IF(Table1[[#This Row],[stress_score]]&lt;=30, "Severe", "Extremely Severe")))</f>
        <v>Normal</v>
      </c>
      <c r="L403">
        <v>-0.38382620000000001</v>
      </c>
      <c r="M403">
        <v>6</v>
      </c>
      <c r="N403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403">
        <v>-0.53092379999999995</v>
      </c>
      <c r="P403">
        <v>8</v>
      </c>
      <c r="Q403">
        <f>ROUND(Table1[[#This Row],[dass21_raw_score]],0)</f>
        <v>8</v>
      </c>
      <c r="R403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403">
        <v>-0.30764982000000002</v>
      </c>
      <c r="T403">
        <v>0.78726006000000004</v>
      </c>
      <c r="U403">
        <v>2333.3332999999998</v>
      </c>
      <c r="V403" s="1">
        <f>ROUND(Table1[[#This Row],[fmpce]],0)</f>
        <v>2333</v>
      </c>
      <c r="W403">
        <v>31.744216999999999</v>
      </c>
      <c r="X403" s="4">
        <f>Table1[[#This Row],[mpce]]*89</f>
        <v>2825.2353130000001</v>
      </c>
      <c r="Y403" s="2" t="s">
        <v>34</v>
      </c>
      <c r="Z403" s="3">
        <f>VLOOKUP(Y403, rmpce_reference!$B$1:$D$7,3,FALSE) * 89</f>
        <v>2848</v>
      </c>
      <c r="AA403" s="1" t="str">
        <f>IF(Table1[rmpce_inr]&lt;=rmpce_reference!$F$2, "Low Income", IF(Table1[rmpce_inr]&lt;=rmpce_reference!$F$3, "Middle Income", "High Income"))</f>
        <v>Low Income</v>
      </c>
    </row>
    <row r="404" spans="1:27" x14ac:dyDescent="0.25">
      <c r="A404">
        <v>2147</v>
      </c>
      <c r="B404" t="s">
        <v>39</v>
      </c>
      <c r="C404" t="s">
        <v>36</v>
      </c>
      <c r="D404">
        <v>54</v>
      </c>
      <c r="E404" t="s">
        <v>25</v>
      </c>
      <c r="F404" t="s">
        <v>26</v>
      </c>
      <c r="G404">
        <v>20</v>
      </c>
      <c r="H404" s="1" t="str">
        <f>IF(Table1[[#This Row],[anxiety_score]]&lt;=10, "Normal", IF(Table1[[#This Row],[anxiety_score]]&lt;=20, "Moderate", IF(Table1[[#This Row],[anxiety_score]]&lt;=30, "Severe", "Extremely Severe")))</f>
        <v>Moderate</v>
      </c>
      <c r="I404">
        <v>0.99702360000000001</v>
      </c>
      <c r="J404">
        <v>18</v>
      </c>
      <c r="K404" s="1" t="str">
        <f>IF(Table1[[#This Row],[stress_score]]&lt;=10, "Normal", IF(Table1[[#This Row],[stress_score]]&lt;=20, "Moderate", IF(Table1[[#This Row],[stress_score]]&lt;=30, "Severe", "Extremely Severe")))</f>
        <v>Moderate</v>
      </c>
      <c r="L404">
        <v>0.58948003999999998</v>
      </c>
      <c r="M404">
        <v>14</v>
      </c>
      <c r="N404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404">
        <v>0.23962580999999999</v>
      </c>
      <c r="P404">
        <v>17.333334000000001</v>
      </c>
      <c r="Q404">
        <f>ROUND(Table1[[#This Row],[dass21_raw_score]],0)</f>
        <v>17</v>
      </c>
      <c r="R404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404">
        <v>0.60870979999999997</v>
      </c>
      <c r="T404">
        <v>1.7036197</v>
      </c>
      <c r="U404">
        <v>3000</v>
      </c>
      <c r="V404" s="1">
        <f>ROUND(Table1[[#This Row],[fmpce]],0)</f>
        <v>3000</v>
      </c>
      <c r="W404">
        <v>40.813994999999998</v>
      </c>
      <c r="X404" s="4">
        <f>Table1[[#This Row],[mpce]]*89</f>
        <v>3632.4455549999998</v>
      </c>
      <c r="Y404" s="2" t="s">
        <v>32</v>
      </c>
      <c r="Z404" s="3">
        <f>VLOOKUP(Y404, rmpce_reference!$B$1:$D$7,3,FALSE) * 89</f>
        <v>4450</v>
      </c>
      <c r="AA404" s="1" t="str">
        <f>IF(Table1[rmpce_inr]&lt;=rmpce_reference!$F$2, "Low Income", IF(Table1[rmpce_inr]&lt;=rmpce_reference!$F$3, "Middle Income", "High Income"))</f>
        <v>Low Income</v>
      </c>
    </row>
    <row r="405" spans="1:27" x14ac:dyDescent="0.25">
      <c r="A405">
        <v>2148</v>
      </c>
      <c r="B405" t="s">
        <v>39</v>
      </c>
      <c r="C405" t="s">
        <v>29</v>
      </c>
      <c r="D405">
        <v>37</v>
      </c>
      <c r="E405" t="s">
        <v>25</v>
      </c>
      <c r="F405" t="s">
        <v>26</v>
      </c>
      <c r="G405">
        <v>20</v>
      </c>
      <c r="H405" s="1" t="str">
        <f>IF(Table1[[#This Row],[anxiety_score]]&lt;=10, "Normal", IF(Table1[[#This Row],[anxiety_score]]&lt;=20, "Moderate", IF(Table1[[#This Row],[anxiety_score]]&lt;=30, "Severe", "Extremely Severe")))</f>
        <v>Moderate</v>
      </c>
      <c r="I405">
        <v>0.99702360000000001</v>
      </c>
      <c r="J405">
        <v>28</v>
      </c>
      <c r="K405" s="1" t="str">
        <f>IF(Table1[[#This Row],[stress_score]]&lt;=10, "Normal", IF(Table1[[#This Row],[stress_score]]&lt;=20, "Moderate", IF(Table1[[#This Row],[stress_score]]&lt;=30, "Severe", "Extremely Severe")))</f>
        <v>Severe</v>
      </c>
      <c r="L405">
        <v>1.5627863</v>
      </c>
      <c r="M405">
        <v>20</v>
      </c>
      <c r="N405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405">
        <v>0.81753799999999999</v>
      </c>
      <c r="P405">
        <v>22.666665999999999</v>
      </c>
      <c r="Q405">
        <f>ROUND(Table1[[#This Row],[dass21_raw_score]],0)</f>
        <v>23</v>
      </c>
      <c r="R405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405">
        <v>1.1257826</v>
      </c>
      <c r="T405">
        <v>2.2206926</v>
      </c>
      <c r="U405">
        <v>2666.6667000000002</v>
      </c>
      <c r="V405" s="1">
        <f>ROUND(Table1[[#This Row],[fmpce]],0)</f>
        <v>2667</v>
      </c>
      <c r="W405">
        <v>36.279105999999999</v>
      </c>
      <c r="X405" s="4">
        <f>Table1[[#This Row],[mpce]]*89</f>
        <v>3228.8404339999997</v>
      </c>
      <c r="Y405" s="2" t="s">
        <v>34</v>
      </c>
      <c r="Z405" s="3">
        <f>VLOOKUP(Y405, rmpce_reference!$B$1:$D$7,3,FALSE) * 89</f>
        <v>2848</v>
      </c>
      <c r="AA405" s="1" t="str">
        <f>IF(Table1[rmpce_inr]&lt;=rmpce_reference!$F$2, "Low Income", IF(Table1[rmpce_inr]&lt;=rmpce_reference!$F$3, "Middle Income", "High Income"))</f>
        <v>Low Income</v>
      </c>
    </row>
    <row r="406" spans="1:27" x14ac:dyDescent="0.25">
      <c r="A406">
        <v>2149</v>
      </c>
      <c r="B406" t="s">
        <v>39</v>
      </c>
      <c r="C406" t="s">
        <v>21</v>
      </c>
      <c r="D406">
        <v>45</v>
      </c>
      <c r="E406" t="s">
        <v>25</v>
      </c>
      <c r="F406" t="s">
        <v>26</v>
      </c>
      <c r="G406">
        <v>20</v>
      </c>
      <c r="H406" s="1" t="str">
        <f>IF(Table1[[#This Row],[anxiety_score]]&lt;=10, "Normal", IF(Table1[[#This Row],[anxiety_score]]&lt;=20, "Moderate", IF(Table1[[#This Row],[anxiety_score]]&lt;=30, "Severe", "Extremely Severe")))</f>
        <v>Moderate</v>
      </c>
      <c r="I406">
        <v>0.99702360000000001</v>
      </c>
      <c r="J406">
        <v>30</v>
      </c>
      <c r="K406" s="1" t="str">
        <f>IF(Table1[[#This Row],[stress_score]]&lt;=10, "Normal", IF(Table1[[#This Row],[stress_score]]&lt;=20, "Moderate", IF(Table1[[#This Row],[stress_score]]&lt;=30, "Severe", "Extremely Severe")))</f>
        <v>Severe</v>
      </c>
      <c r="L406">
        <v>1.7574476000000001</v>
      </c>
      <c r="M406">
        <v>22</v>
      </c>
      <c r="N406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406">
        <v>1.0101753</v>
      </c>
      <c r="P406">
        <v>24</v>
      </c>
      <c r="Q406">
        <f>ROUND(Table1[[#This Row],[dass21_raw_score]],0)</f>
        <v>24</v>
      </c>
      <c r="R406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406">
        <v>1.2548821999999999</v>
      </c>
      <c r="T406">
        <v>2.3497919999999999</v>
      </c>
      <c r="U406">
        <v>1750</v>
      </c>
      <c r="V406" s="1">
        <f>ROUND(Table1[[#This Row],[fmpce]],0)</f>
        <v>1750</v>
      </c>
      <c r="W406">
        <v>23.808163</v>
      </c>
      <c r="X406" s="4">
        <f>Table1[[#This Row],[mpce]]*89</f>
        <v>2118.9265070000001</v>
      </c>
      <c r="Y406" s="2" t="s">
        <v>24</v>
      </c>
      <c r="Z406" s="3">
        <f>VLOOKUP(Y406, rmpce_reference!$B$1:$D$7,3,FALSE) * 89</f>
        <v>2225</v>
      </c>
      <c r="AA406" s="1" t="str">
        <f>IF(Table1[rmpce_inr]&lt;=rmpce_reference!$F$2, "Low Income", IF(Table1[rmpce_inr]&lt;=rmpce_reference!$F$3, "Middle Income", "High Income"))</f>
        <v>Low Income</v>
      </c>
    </row>
    <row r="407" spans="1:27" x14ac:dyDescent="0.25">
      <c r="A407">
        <v>2150</v>
      </c>
      <c r="B407" t="s">
        <v>39</v>
      </c>
      <c r="C407" t="s">
        <v>29</v>
      </c>
      <c r="D407">
        <v>38</v>
      </c>
      <c r="E407" t="s">
        <v>25</v>
      </c>
      <c r="F407" t="s">
        <v>26</v>
      </c>
      <c r="G407">
        <v>18</v>
      </c>
      <c r="H407" s="1" t="str">
        <f>IF(Table1[[#This Row],[anxiety_score]]&lt;=10, "Normal", IF(Table1[[#This Row],[anxiety_score]]&lt;=20, "Moderate", IF(Table1[[#This Row],[anxiety_score]]&lt;=30, "Severe", "Extremely Severe")))</f>
        <v>Moderate</v>
      </c>
      <c r="I407">
        <v>0.79597896000000001</v>
      </c>
      <c r="J407">
        <v>32</v>
      </c>
      <c r="K407" s="1" t="str">
        <f>IF(Table1[[#This Row],[stress_score]]&lt;=10, "Normal", IF(Table1[[#This Row],[stress_score]]&lt;=20, "Moderate", IF(Table1[[#This Row],[stress_score]]&lt;=30, "Severe", "Extremely Severe")))</f>
        <v>Extremely Severe</v>
      </c>
      <c r="L407">
        <v>1.9521089</v>
      </c>
      <c r="M407">
        <v>26</v>
      </c>
      <c r="N407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407">
        <v>1.3954502</v>
      </c>
      <c r="P407">
        <v>25.333334000000001</v>
      </c>
      <c r="Q407">
        <f>ROUND(Table1[[#This Row],[dass21_raw_score]],0)</f>
        <v>25</v>
      </c>
      <c r="R407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407">
        <v>1.3811793000000001</v>
      </c>
      <c r="T407">
        <v>2.4760892000000001</v>
      </c>
      <c r="U407">
        <v>1200</v>
      </c>
      <c r="V407" s="1">
        <f>ROUND(Table1[[#This Row],[fmpce]],0)</f>
        <v>1200</v>
      </c>
      <c r="W407">
        <v>16.325597999999999</v>
      </c>
      <c r="X407" s="4">
        <f>Table1[[#This Row],[mpce]]*89</f>
        <v>1452.978222</v>
      </c>
      <c r="Y407" s="2" t="s">
        <v>24</v>
      </c>
      <c r="Z407" s="3">
        <f>VLOOKUP(Y407, rmpce_reference!$B$1:$D$7,3,FALSE) * 89</f>
        <v>2225</v>
      </c>
      <c r="AA407" s="1" t="str">
        <f>IF(Table1[rmpce_inr]&lt;=rmpce_reference!$F$2, "Low Income", IF(Table1[rmpce_inr]&lt;=rmpce_reference!$F$3, "Middle Income", "High Income"))</f>
        <v>Low Income</v>
      </c>
    </row>
    <row r="408" spans="1:27" x14ac:dyDescent="0.25">
      <c r="A408">
        <v>2151</v>
      </c>
      <c r="B408" t="s">
        <v>39</v>
      </c>
      <c r="C408" t="s">
        <v>21</v>
      </c>
      <c r="D408">
        <v>50</v>
      </c>
      <c r="E408" t="s">
        <v>25</v>
      </c>
      <c r="F408" t="s">
        <v>23</v>
      </c>
      <c r="G408">
        <v>12</v>
      </c>
      <c r="H408" s="1" t="str">
        <f>IF(Table1[[#This Row],[anxiety_score]]&lt;=10, "Normal", IF(Table1[[#This Row],[anxiety_score]]&lt;=20, "Moderate", IF(Table1[[#This Row],[anxiety_score]]&lt;=30, "Severe", "Extremely Severe")))</f>
        <v>Moderate</v>
      </c>
      <c r="I408">
        <v>0.19284514999999999</v>
      </c>
      <c r="J408">
        <v>12</v>
      </c>
      <c r="K408" s="1" t="str">
        <f>IF(Table1[[#This Row],[stress_score]]&lt;=10, "Normal", IF(Table1[[#This Row],[stress_score]]&lt;=20, "Moderate", IF(Table1[[#This Row],[stress_score]]&lt;=30, "Severe", "Extremely Severe")))</f>
        <v>Moderate</v>
      </c>
      <c r="L408">
        <v>5.496318E-3</v>
      </c>
      <c r="M408">
        <v>10</v>
      </c>
      <c r="N408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408">
        <v>-0.14564899000000001</v>
      </c>
      <c r="P408">
        <v>11.333333</v>
      </c>
      <c r="Q408">
        <f>ROUND(Table1[[#This Row],[dass21_raw_score]],0)</f>
        <v>11</v>
      </c>
      <c r="R408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408">
        <v>1.7564159999999999E-2</v>
      </c>
      <c r="T408">
        <v>1.1124741</v>
      </c>
      <c r="U408">
        <v>2500</v>
      </c>
      <c r="V408" s="1">
        <f>ROUND(Table1[[#This Row],[fmpce]],0)</f>
        <v>2500</v>
      </c>
      <c r="W408">
        <v>34.011659999999999</v>
      </c>
      <c r="X408" s="4">
        <f>Table1[[#This Row],[mpce]]*89</f>
        <v>3027.0377399999998</v>
      </c>
      <c r="Y408" s="2" t="s">
        <v>34</v>
      </c>
      <c r="Z408" s="3">
        <f>VLOOKUP(Y408, rmpce_reference!$B$1:$D$7,3,FALSE) * 89</f>
        <v>2848</v>
      </c>
      <c r="AA408" s="1" t="str">
        <f>IF(Table1[rmpce_inr]&lt;=rmpce_reference!$F$2, "Low Income", IF(Table1[rmpce_inr]&lt;=rmpce_reference!$F$3, "Middle Income", "High Income"))</f>
        <v>Low Income</v>
      </c>
    </row>
    <row r="409" spans="1:27" x14ac:dyDescent="0.25">
      <c r="A409">
        <v>2152</v>
      </c>
      <c r="B409" t="s">
        <v>39</v>
      </c>
      <c r="C409" t="s">
        <v>21</v>
      </c>
      <c r="D409">
        <v>43</v>
      </c>
      <c r="E409" t="s">
        <v>25</v>
      </c>
      <c r="F409" t="s">
        <v>26</v>
      </c>
      <c r="G409">
        <v>18</v>
      </c>
      <c r="H409" s="1" t="str">
        <f>IF(Table1[[#This Row],[anxiety_score]]&lt;=10, "Normal", IF(Table1[[#This Row],[anxiety_score]]&lt;=20, "Moderate", IF(Table1[[#This Row],[anxiety_score]]&lt;=30, "Severe", "Extremely Severe")))</f>
        <v>Moderate</v>
      </c>
      <c r="I409">
        <v>0.79597896000000001</v>
      </c>
      <c r="J409">
        <v>22</v>
      </c>
      <c r="K409" s="1" t="str">
        <f>IF(Table1[[#This Row],[stress_score]]&lt;=10, "Normal", IF(Table1[[#This Row],[stress_score]]&lt;=20, "Moderate", IF(Table1[[#This Row],[stress_score]]&lt;=30, "Severe", "Extremely Severe")))</f>
        <v>Severe</v>
      </c>
      <c r="L409">
        <v>0.97880255999999999</v>
      </c>
      <c r="M409">
        <v>32</v>
      </c>
      <c r="N409" s="1" t="str">
        <f>IF(Table1[[#This Row],[depression_score]]&lt;=10, "Normal", IF(Table1[[#This Row],[depression_score]]&lt;=20, "Moderate", IF(Table1[[#This Row],[depression_score]]&lt;=30, "Severe", "Extremely Severe")))</f>
        <v>Extremely Severe</v>
      </c>
      <c r="O409">
        <v>1.9733623</v>
      </c>
      <c r="P409">
        <v>24</v>
      </c>
      <c r="Q409">
        <f>ROUND(Table1[[#This Row],[dass21_raw_score]],0)</f>
        <v>24</v>
      </c>
      <c r="R409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409">
        <v>1.2493813</v>
      </c>
      <c r="T409">
        <v>2.3442911999999998</v>
      </c>
      <c r="U409">
        <v>2000</v>
      </c>
      <c r="V409" s="1">
        <f>ROUND(Table1[[#This Row],[fmpce]],0)</f>
        <v>2000</v>
      </c>
      <c r="W409">
        <v>27.209330000000001</v>
      </c>
      <c r="X409" s="4">
        <f>Table1[[#This Row],[mpce]]*89</f>
        <v>2421.6303700000003</v>
      </c>
      <c r="Y409" s="2" t="s">
        <v>34</v>
      </c>
      <c r="Z409" s="3">
        <f>VLOOKUP(Y409, rmpce_reference!$B$1:$D$7,3,FALSE) * 89</f>
        <v>2848</v>
      </c>
      <c r="AA409" s="1" t="str">
        <f>IF(Table1[rmpce_inr]&lt;=rmpce_reference!$F$2, "Low Income", IF(Table1[rmpce_inr]&lt;=rmpce_reference!$F$3, "Middle Income", "High Income"))</f>
        <v>Low Income</v>
      </c>
    </row>
    <row r="410" spans="1:27" x14ac:dyDescent="0.25">
      <c r="A410">
        <v>2153</v>
      </c>
      <c r="B410" t="s">
        <v>39</v>
      </c>
      <c r="C410" t="s">
        <v>29</v>
      </c>
      <c r="D410">
        <v>39</v>
      </c>
      <c r="E410" t="s">
        <v>25</v>
      </c>
      <c r="F410" t="s">
        <v>23</v>
      </c>
      <c r="G410">
        <v>6</v>
      </c>
      <c r="H410" s="1" t="str">
        <f>IF(Table1[[#This Row],[anxiety_score]]&lt;=10, "Normal", IF(Table1[[#This Row],[anxiety_score]]&lt;=20, "Moderate", IF(Table1[[#This Row],[anxiety_score]]&lt;=30, "Severe", "Extremely Severe")))</f>
        <v>Normal</v>
      </c>
      <c r="I410">
        <v>-0.41028870000000001</v>
      </c>
      <c r="J410">
        <v>10</v>
      </c>
      <c r="K410" s="1" t="str">
        <f>IF(Table1[[#This Row],[stress_score]]&lt;=10, "Normal", IF(Table1[[#This Row],[stress_score]]&lt;=20, "Moderate", IF(Table1[[#This Row],[stress_score]]&lt;=30, "Severe", "Extremely Severe")))</f>
        <v>Normal</v>
      </c>
      <c r="L410">
        <v>-0.18916494</v>
      </c>
      <c r="M410">
        <v>4</v>
      </c>
      <c r="N410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410">
        <v>-0.72356116999999998</v>
      </c>
      <c r="P410">
        <v>6.6666664999999998</v>
      </c>
      <c r="Q410">
        <f>ROUND(Table1[[#This Row],[dass21_raw_score]],0)</f>
        <v>7</v>
      </c>
      <c r="R410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410">
        <v>-0.44100493000000002</v>
      </c>
      <c r="T410">
        <v>0.65390499999999996</v>
      </c>
      <c r="U410">
        <v>3000</v>
      </c>
      <c r="V410" s="1">
        <f>ROUND(Table1[[#This Row],[fmpce]],0)</f>
        <v>3000</v>
      </c>
      <c r="W410">
        <v>40.813994999999998</v>
      </c>
      <c r="X410" s="4">
        <f>Table1[[#This Row],[mpce]]*89</f>
        <v>3632.4455549999998</v>
      </c>
      <c r="Y410" s="2" t="s">
        <v>32</v>
      </c>
      <c r="Z410" s="3">
        <f>VLOOKUP(Y410, rmpce_reference!$B$1:$D$7,3,FALSE) * 89</f>
        <v>4450</v>
      </c>
      <c r="AA410" s="1" t="str">
        <f>IF(Table1[rmpce_inr]&lt;=rmpce_reference!$F$2, "Low Income", IF(Table1[rmpce_inr]&lt;=rmpce_reference!$F$3, "Middle Income", "High Income"))</f>
        <v>Low Income</v>
      </c>
    </row>
    <row r="411" spans="1:27" x14ac:dyDescent="0.25">
      <c r="A411">
        <v>2154</v>
      </c>
      <c r="B411" t="s">
        <v>39</v>
      </c>
      <c r="C411" t="s">
        <v>29</v>
      </c>
      <c r="D411">
        <v>33</v>
      </c>
      <c r="E411" t="s">
        <v>25</v>
      </c>
      <c r="F411" t="s">
        <v>26</v>
      </c>
      <c r="G411">
        <v>4</v>
      </c>
      <c r="H411" s="1" t="str">
        <f>IF(Table1[[#This Row],[anxiety_score]]&lt;=10, "Normal", IF(Table1[[#This Row],[anxiety_score]]&lt;=20, "Moderate", IF(Table1[[#This Row],[anxiety_score]]&lt;=30, "Severe", "Extremely Severe")))</f>
        <v>Normal</v>
      </c>
      <c r="I411">
        <v>-0.61133329999999997</v>
      </c>
      <c r="J411">
        <v>10</v>
      </c>
      <c r="K411" s="1" t="str">
        <f>IF(Table1[[#This Row],[stress_score]]&lt;=10, "Normal", IF(Table1[[#This Row],[stress_score]]&lt;=20, "Moderate", IF(Table1[[#This Row],[stress_score]]&lt;=30, "Severe", "Extremely Severe")))</f>
        <v>Normal</v>
      </c>
      <c r="L411">
        <v>-0.18916494</v>
      </c>
      <c r="M411">
        <v>8</v>
      </c>
      <c r="N411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411">
        <v>-0.33828637</v>
      </c>
      <c r="P411">
        <v>7.3333335000000002</v>
      </c>
      <c r="Q411">
        <f>ROUND(Table1[[#This Row],[dass21_raw_score]],0)</f>
        <v>7</v>
      </c>
      <c r="R411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411">
        <v>-0.37959485999999998</v>
      </c>
      <c r="T411">
        <v>0.71531504000000001</v>
      </c>
      <c r="U411">
        <v>1333.3334</v>
      </c>
      <c r="V411" s="1">
        <f>ROUND(Table1[[#This Row],[fmpce]],0)</f>
        <v>1333</v>
      </c>
      <c r="W411">
        <v>18.139552999999999</v>
      </c>
      <c r="X411" s="4">
        <f>Table1[[#This Row],[mpce]]*89</f>
        <v>1614.4202169999999</v>
      </c>
      <c r="Y411" s="2" t="s">
        <v>24</v>
      </c>
      <c r="Z411" s="3">
        <f>VLOOKUP(Y411, rmpce_reference!$B$1:$D$7,3,FALSE) * 89</f>
        <v>2225</v>
      </c>
      <c r="AA411" s="1" t="str">
        <f>IF(Table1[rmpce_inr]&lt;=rmpce_reference!$F$2, "Low Income", IF(Table1[rmpce_inr]&lt;=rmpce_reference!$F$3, "Middle Income", "High Income"))</f>
        <v>Low Income</v>
      </c>
    </row>
    <row r="412" spans="1:27" x14ac:dyDescent="0.25">
      <c r="A412">
        <v>2155</v>
      </c>
      <c r="B412" t="s">
        <v>39</v>
      </c>
      <c r="C412" t="s">
        <v>29</v>
      </c>
      <c r="D412">
        <v>38</v>
      </c>
      <c r="E412" t="s">
        <v>25</v>
      </c>
      <c r="F412" t="s">
        <v>26</v>
      </c>
      <c r="G412">
        <v>2</v>
      </c>
      <c r="H412" s="1" t="str">
        <f>IF(Table1[[#This Row],[anxiety_score]]&lt;=10, "Normal", IF(Table1[[#This Row],[anxiety_score]]&lt;=20, "Moderate", IF(Table1[[#This Row],[anxiety_score]]&lt;=30, "Severe", "Extremely Severe")))</f>
        <v>Normal</v>
      </c>
      <c r="I412">
        <v>-0.81237789999999999</v>
      </c>
      <c r="J412">
        <v>10</v>
      </c>
      <c r="K412" s="1" t="str">
        <f>IF(Table1[[#This Row],[stress_score]]&lt;=10, "Normal", IF(Table1[[#This Row],[stress_score]]&lt;=20, "Moderate", IF(Table1[[#This Row],[stress_score]]&lt;=30, "Severe", "Extremely Severe")))</f>
        <v>Normal</v>
      </c>
      <c r="L412">
        <v>-0.18916494</v>
      </c>
      <c r="M412">
        <v>6</v>
      </c>
      <c r="N412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412">
        <v>-0.53092379999999995</v>
      </c>
      <c r="P412">
        <v>6</v>
      </c>
      <c r="Q412">
        <f>ROUND(Table1[[#This Row],[dass21_raw_score]],0)</f>
        <v>6</v>
      </c>
      <c r="R412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412">
        <v>-0.51082223999999998</v>
      </c>
      <c r="T412">
        <v>0.58408766999999995</v>
      </c>
      <c r="U412">
        <v>1250</v>
      </c>
      <c r="V412" s="1">
        <f>ROUND(Table1[[#This Row],[fmpce]],0)</f>
        <v>1250</v>
      </c>
      <c r="W412">
        <v>17.00583</v>
      </c>
      <c r="X412" s="4">
        <f>Table1[[#This Row],[mpce]]*89</f>
        <v>1513.5188699999999</v>
      </c>
      <c r="Y412" s="2" t="s">
        <v>24</v>
      </c>
      <c r="Z412" s="3">
        <f>VLOOKUP(Y412, rmpce_reference!$B$1:$D$7,3,FALSE) * 89</f>
        <v>2225</v>
      </c>
      <c r="AA412" s="1" t="str">
        <f>IF(Table1[rmpce_inr]&lt;=rmpce_reference!$F$2, "Low Income", IF(Table1[rmpce_inr]&lt;=rmpce_reference!$F$3, "Middle Income", "High Income"))</f>
        <v>Low Income</v>
      </c>
    </row>
    <row r="413" spans="1:27" x14ac:dyDescent="0.25">
      <c r="A413">
        <v>2156</v>
      </c>
      <c r="B413" t="s">
        <v>39</v>
      </c>
      <c r="C413" t="s">
        <v>29</v>
      </c>
      <c r="D413">
        <v>37</v>
      </c>
      <c r="E413" t="s">
        <v>25</v>
      </c>
      <c r="F413" t="s">
        <v>26</v>
      </c>
      <c r="G413">
        <v>34</v>
      </c>
      <c r="H413" s="1" t="str">
        <f>IF(Table1[[#This Row],[anxiety_score]]&lt;=10, "Normal", IF(Table1[[#This Row],[anxiety_score]]&lt;=20, "Moderate", IF(Table1[[#This Row],[anxiety_score]]&lt;=30, "Severe", "Extremely Severe")))</f>
        <v>Extremely Severe</v>
      </c>
      <c r="I413">
        <v>2.4043359999999998</v>
      </c>
      <c r="J413">
        <v>34</v>
      </c>
      <c r="K413" s="1" t="str">
        <f>IF(Table1[[#This Row],[stress_score]]&lt;=10, "Normal", IF(Table1[[#This Row],[stress_score]]&lt;=20, "Moderate", IF(Table1[[#This Row],[stress_score]]&lt;=30, "Severe", "Extremely Severe")))</f>
        <v>Extremely Severe</v>
      </c>
      <c r="L413">
        <v>2.1467700000000001</v>
      </c>
      <c r="M413">
        <v>34</v>
      </c>
      <c r="N413" s="1" t="str">
        <f>IF(Table1[[#This Row],[depression_score]]&lt;=10, "Normal", IF(Table1[[#This Row],[depression_score]]&lt;=20, "Moderate", IF(Table1[[#This Row],[depression_score]]&lt;=30, "Severe", "Extremely Severe")))</f>
        <v>Extremely Severe</v>
      </c>
      <c r="O413">
        <v>2.1659999999999999</v>
      </c>
      <c r="P413">
        <v>34</v>
      </c>
      <c r="Q413">
        <f>ROUND(Table1[[#This Row],[dass21_raw_score]],0)</f>
        <v>34</v>
      </c>
      <c r="R413" s="1" t="str">
        <f>IF(Table1[[#This Row],[round_dass21_raw_score]]&lt;=10, "Normal", IF(Table1[[#This Row],[round_dass21_raw_score]]&lt;=20, "Moderate", IF(Table1[[#This Row],[round_dass21_raw_score]]&lt;=30, "Severe", "Extremely Severe")))</f>
        <v>Extremely Severe</v>
      </c>
      <c r="S413">
        <v>2.2390354000000001</v>
      </c>
      <c r="T413">
        <v>3.3339452999999999</v>
      </c>
      <c r="U413">
        <v>2000</v>
      </c>
      <c r="V413" s="1">
        <f>ROUND(Table1[[#This Row],[fmpce]],0)</f>
        <v>2000</v>
      </c>
      <c r="W413">
        <v>27.209330000000001</v>
      </c>
      <c r="X413" s="4">
        <f>Table1[[#This Row],[mpce]]*89</f>
        <v>2421.6303700000003</v>
      </c>
      <c r="Y413" s="2" t="s">
        <v>34</v>
      </c>
      <c r="Z413" s="3">
        <f>VLOOKUP(Y413, rmpce_reference!$B$1:$D$7,3,FALSE) * 89</f>
        <v>2848</v>
      </c>
      <c r="AA413" s="1" t="str">
        <f>IF(Table1[rmpce_inr]&lt;=rmpce_reference!$F$2, "Low Income", IF(Table1[rmpce_inr]&lt;=rmpce_reference!$F$3, "Middle Income", "High Income"))</f>
        <v>Low Income</v>
      </c>
    </row>
    <row r="414" spans="1:27" x14ac:dyDescent="0.25">
      <c r="A414">
        <v>2157</v>
      </c>
      <c r="B414" t="s">
        <v>39</v>
      </c>
      <c r="C414" t="s">
        <v>29</v>
      </c>
      <c r="D414">
        <v>37</v>
      </c>
      <c r="E414" t="s">
        <v>22</v>
      </c>
      <c r="F414" t="s">
        <v>23</v>
      </c>
      <c r="G414">
        <v>14</v>
      </c>
      <c r="H414" s="1" t="str">
        <f>IF(Table1[[#This Row],[anxiety_score]]&lt;=10, "Normal", IF(Table1[[#This Row],[anxiety_score]]&lt;=20, "Moderate", IF(Table1[[#This Row],[anxiety_score]]&lt;=30, "Severe", "Extremely Severe")))</f>
        <v>Moderate</v>
      </c>
      <c r="I414">
        <v>0.39388975999999998</v>
      </c>
      <c r="J414">
        <v>24</v>
      </c>
      <c r="K414" s="1" t="str">
        <f>IF(Table1[[#This Row],[stress_score]]&lt;=10, "Normal", IF(Table1[[#This Row],[stress_score]]&lt;=20, "Moderate", IF(Table1[[#This Row],[stress_score]]&lt;=30, "Severe", "Extremely Severe")))</f>
        <v>Severe</v>
      </c>
      <c r="L414">
        <v>1.1734637999999999</v>
      </c>
      <c r="M414">
        <v>26</v>
      </c>
      <c r="N414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414">
        <v>1.3954502</v>
      </c>
      <c r="P414">
        <v>21.333334000000001</v>
      </c>
      <c r="Q414">
        <f>ROUND(Table1[[#This Row],[dass21_raw_score]],0)</f>
        <v>21</v>
      </c>
      <c r="R414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414">
        <v>0.98760130000000002</v>
      </c>
      <c r="T414">
        <v>2.0825111999999999</v>
      </c>
      <c r="U414">
        <v>1400</v>
      </c>
      <c r="V414" s="1">
        <f>ROUND(Table1[[#This Row],[fmpce]],0)</f>
        <v>1400</v>
      </c>
      <c r="W414">
        <v>19.046530000000001</v>
      </c>
      <c r="X414" s="4">
        <f>Table1[[#This Row],[mpce]]*89</f>
        <v>1695.1411700000001</v>
      </c>
      <c r="Y414" s="2" t="s">
        <v>24</v>
      </c>
      <c r="Z414" s="3">
        <f>VLOOKUP(Y414, rmpce_reference!$B$1:$D$7,3,FALSE) * 89</f>
        <v>2225</v>
      </c>
      <c r="AA414" s="1" t="str">
        <f>IF(Table1[rmpce_inr]&lt;=rmpce_reference!$F$2, "Low Income", IF(Table1[rmpce_inr]&lt;=rmpce_reference!$F$3, "Middle Income", "High Income"))</f>
        <v>Low Income</v>
      </c>
    </row>
    <row r="415" spans="1:27" x14ac:dyDescent="0.25">
      <c r="A415">
        <v>2158</v>
      </c>
      <c r="B415" t="s">
        <v>39</v>
      </c>
      <c r="C415" t="s">
        <v>21</v>
      </c>
      <c r="D415">
        <v>44</v>
      </c>
      <c r="E415" t="s">
        <v>25</v>
      </c>
      <c r="F415" t="s">
        <v>26</v>
      </c>
      <c r="G415">
        <v>22</v>
      </c>
      <c r="H415" s="1" t="str">
        <f>IF(Table1[[#This Row],[anxiety_score]]&lt;=10, "Normal", IF(Table1[[#This Row],[anxiety_score]]&lt;=20, "Moderate", IF(Table1[[#This Row],[anxiety_score]]&lt;=30, "Severe", "Extremely Severe")))</f>
        <v>Severe</v>
      </c>
      <c r="I415">
        <v>1.1980683000000001</v>
      </c>
      <c r="J415">
        <v>30</v>
      </c>
      <c r="K415" s="1" t="str">
        <f>IF(Table1[[#This Row],[stress_score]]&lt;=10, "Normal", IF(Table1[[#This Row],[stress_score]]&lt;=20, "Moderate", IF(Table1[[#This Row],[stress_score]]&lt;=30, "Severe", "Extremely Severe")))</f>
        <v>Severe</v>
      </c>
      <c r="L415">
        <v>1.7574476000000001</v>
      </c>
      <c r="M415">
        <v>30</v>
      </c>
      <c r="N415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415">
        <v>1.7807249999999999</v>
      </c>
      <c r="P415">
        <v>27.333334000000001</v>
      </c>
      <c r="Q415">
        <f>ROUND(Table1[[#This Row],[dass21_raw_score]],0)</f>
        <v>27</v>
      </c>
      <c r="R415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415">
        <v>1.5787469000000001</v>
      </c>
      <c r="T415">
        <v>2.673657</v>
      </c>
      <c r="U415">
        <v>6500</v>
      </c>
      <c r="V415" s="1">
        <f>ROUND(Table1[[#This Row],[fmpce]],0)</f>
        <v>6500</v>
      </c>
      <c r="W415">
        <v>88.430319999999995</v>
      </c>
      <c r="X415" s="4">
        <f>Table1[[#This Row],[mpce]]*89</f>
        <v>7870.2984799999995</v>
      </c>
      <c r="Y415" s="2" t="s">
        <v>31</v>
      </c>
      <c r="Z415" s="3">
        <f>VLOOKUP(Y415, rmpce_reference!$B$1:$D$7,3,FALSE) * 89</f>
        <v>8010</v>
      </c>
      <c r="AA415" s="1" t="str">
        <f>IF(Table1[rmpce_inr]&lt;=rmpce_reference!$F$2, "Low Income", IF(Table1[rmpce_inr]&lt;=rmpce_reference!$F$3, "Middle Income", "High Income"))</f>
        <v>High Income</v>
      </c>
    </row>
    <row r="416" spans="1:27" x14ac:dyDescent="0.25">
      <c r="A416">
        <v>2159</v>
      </c>
      <c r="B416" t="s">
        <v>39</v>
      </c>
      <c r="C416" t="s">
        <v>29</v>
      </c>
      <c r="D416">
        <v>36</v>
      </c>
      <c r="E416" t="s">
        <v>22</v>
      </c>
      <c r="F416" t="s">
        <v>30</v>
      </c>
      <c r="G416">
        <v>24</v>
      </c>
      <c r="H416" s="1" t="str">
        <f>IF(Table1[[#This Row],[anxiety_score]]&lt;=10, "Normal", IF(Table1[[#This Row],[anxiety_score]]&lt;=20, "Moderate", IF(Table1[[#This Row],[anxiety_score]]&lt;=30, "Severe", "Extremely Severe")))</f>
        <v>Severe</v>
      </c>
      <c r="I416">
        <v>1.3991127999999999</v>
      </c>
      <c r="J416">
        <v>26</v>
      </c>
      <c r="K416" s="1" t="str">
        <f>IF(Table1[[#This Row],[stress_score]]&lt;=10, "Normal", IF(Table1[[#This Row],[stress_score]]&lt;=20, "Moderate", IF(Table1[[#This Row],[stress_score]]&lt;=30, "Severe", "Extremely Severe")))</f>
        <v>Severe</v>
      </c>
      <c r="L416">
        <v>1.3681251000000001</v>
      </c>
      <c r="M416">
        <v>24</v>
      </c>
      <c r="N416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416">
        <v>1.2028128</v>
      </c>
      <c r="P416">
        <v>24.666665999999999</v>
      </c>
      <c r="Q416">
        <f>ROUND(Table1[[#This Row],[dass21_raw_score]],0)</f>
        <v>25</v>
      </c>
      <c r="R416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416">
        <v>1.3233501999999999</v>
      </c>
      <c r="T416">
        <v>2.4182600000000001</v>
      </c>
      <c r="U416">
        <v>3750</v>
      </c>
      <c r="V416" s="1">
        <f>ROUND(Table1[[#This Row],[fmpce]],0)</f>
        <v>3750</v>
      </c>
      <c r="W416">
        <v>51.017493999999999</v>
      </c>
      <c r="X416" s="4">
        <f>Table1[[#This Row],[mpce]]*89</f>
        <v>4540.5569660000001</v>
      </c>
      <c r="Y416" s="2" t="s">
        <v>32</v>
      </c>
      <c r="Z416" s="3">
        <f>VLOOKUP(Y416, rmpce_reference!$B$1:$D$7,3,FALSE) * 89</f>
        <v>4450</v>
      </c>
      <c r="AA416" s="1" t="str">
        <f>IF(Table1[rmpce_inr]&lt;=rmpce_reference!$F$2, "Low Income", IF(Table1[rmpce_inr]&lt;=rmpce_reference!$F$3, "Middle Income", "High Income"))</f>
        <v>Low Income</v>
      </c>
    </row>
    <row r="417" spans="1:27" x14ac:dyDescent="0.25">
      <c r="A417">
        <v>2160</v>
      </c>
      <c r="B417" t="s">
        <v>39</v>
      </c>
      <c r="C417" t="s">
        <v>29</v>
      </c>
      <c r="D417">
        <v>38</v>
      </c>
      <c r="E417" t="s">
        <v>22</v>
      </c>
      <c r="F417" t="s">
        <v>30</v>
      </c>
      <c r="G417">
        <v>24</v>
      </c>
      <c r="H417" s="1" t="str">
        <f>IF(Table1[[#This Row],[anxiety_score]]&lt;=10, "Normal", IF(Table1[[#This Row],[anxiety_score]]&lt;=20, "Moderate", IF(Table1[[#This Row],[anxiety_score]]&lt;=30, "Severe", "Extremely Severe")))</f>
        <v>Severe</v>
      </c>
      <c r="I417">
        <v>1.3991127999999999</v>
      </c>
      <c r="J417">
        <v>24</v>
      </c>
      <c r="K417" s="1" t="str">
        <f>IF(Table1[[#This Row],[stress_score]]&lt;=10, "Normal", IF(Table1[[#This Row],[stress_score]]&lt;=20, "Moderate", IF(Table1[[#This Row],[stress_score]]&lt;=30, "Severe", "Extremely Severe")))</f>
        <v>Severe</v>
      </c>
      <c r="L417">
        <v>1.1734637999999999</v>
      </c>
      <c r="M417">
        <v>22</v>
      </c>
      <c r="N417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417">
        <v>1.0101753</v>
      </c>
      <c r="P417">
        <v>23.333334000000001</v>
      </c>
      <c r="Q417">
        <f>ROUND(Table1[[#This Row],[dass21_raw_score]],0)</f>
        <v>23</v>
      </c>
      <c r="R417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417">
        <v>1.1942507</v>
      </c>
      <c r="T417">
        <v>2.2891607</v>
      </c>
      <c r="U417">
        <v>1666.6666</v>
      </c>
      <c r="V417" s="1">
        <f>ROUND(Table1[[#This Row],[fmpce]],0)</f>
        <v>1667</v>
      </c>
      <c r="W417">
        <v>22.674440000000001</v>
      </c>
      <c r="X417" s="4">
        <f>Table1[[#This Row],[mpce]]*89</f>
        <v>2018.0251600000001</v>
      </c>
      <c r="Y417" s="2" t="s">
        <v>24</v>
      </c>
      <c r="Z417" s="3">
        <f>VLOOKUP(Y417, rmpce_reference!$B$1:$D$7,3,FALSE) * 89</f>
        <v>2225</v>
      </c>
      <c r="AA417" s="1" t="str">
        <f>IF(Table1[rmpce_inr]&lt;=rmpce_reference!$F$2, "Low Income", IF(Table1[rmpce_inr]&lt;=rmpce_reference!$F$3, "Middle Income", "High Income"))</f>
        <v>Low Income</v>
      </c>
    </row>
    <row r="418" spans="1:27" x14ac:dyDescent="0.25">
      <c r="A418">
        <v>2161</v>
      </c>
      <c r="B418" t="s">
        <v>39</v>
      </c>
      <c r="C418" t="s">
        <v>33</v>
      </c>
      <c r="D418">
        <v>27</v>
      </c>
      <c r="E418" t="s">
        <v>22</v>
      </c>
      <c r="F418" t="s">
        <v>23</v>
      </c>
      <c r="G418">
        <v>6</v>
      </c>
      <c r="H418" s="1" t="str">
        <f>IF(Table1[[#This Row],[anxiety_score]]&lt;=10, "Normal", IF(Table1[[#This Row],[anxiety_score]]&lt;=20, "Moderate", IF(Table1[[#This Row],[anxiety_score]]&lt;=30, "Severe", "Extremely Severe")))</f>
        <v>Normal</v>
      </c>
      <c r="I418">
        <v>-0.41028870000000001</v>
      </c>
      <c r="J418">
        <v>10</v>
      </c>
      <c r="K418" s="1" t="str">
        <f>IF(Table1[[#This Row],[stress_score]]&lt;=10, "Normal", IF(Table1[[#This Row],[stress_score]]&lt;=20, "Moderate", IF(Table1[[#This Row],[stress_score]]&lt;=30, "Severe", "Extremely Severe")))</f>
        <v>Normal</v>
      </c>
      <c r="L418">
        <v>-0.18916494</v>
      </c>
      <c r="M418">
        <v>8</v>
      </c>
      <c r="N418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418">
        <v>-0.33828637</v>
      </c>
      <c r="P418">
        <v>8</v>
      </c>
      <c r="Q418">
        <f>ROUND(Table1[[#This Row],[dass21_raw_score]],0)</f>
        <v>8</v>
      </c>
      <c r="R418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418">
        <v>-0.31258000000000002</v>
      </c>
      <c r="T418">
        <v>0.78232990000000002</v>
      </c>
      <c r="U418">
        <v>2000</v>
      </c>
      <c r="V418" s="1">
        <f>ROUND(Table1[[#This Row],[fmpce]],0)</f>
        <v>2000</v>
      </c>
      <c r="W418">
        <v>27.209330000000001</v>
      </c>
      <c r="X418" s="4">
        <f>Table1[[#This Row],[mpce]]*89</f>
        <v>2421.6303700000003</v>
      </c>
      <c r="Y418" s="2" t="s">
        <v>34</v>
      </c>
      <c r="Z418" s="3">
        <f>VLOOKUP(Y418, rmpce_reference!$B$1:$D$7,3,FALSE) * 89</f>
        <v>2848</v>
      </c>
      <c r="AA418" s="1" t="str">
        <f>IF(Table1[rmpce_inr]&lt;=rmpce_reference!$F$2, "Low Income", IF(Table1[rmpce_inr]&lt;=rmpce_reference!$F$3, "Middle Income", "High Income"))</f>
        <v>Low Income</v>
      </c>
    </row>
    <row r="419" spans="1:27" x14ac:dyDescent="0.25">
      <c r="A419">
        <v>2162</v>
      </c>
      <c r="B419" t="s">
        <v>39</v>
      </c>
      <c r="C419" t="s">
        <v>21</v>
      </c>
      <c r="D419">
        <v>49</v>
      </c>
      <c r="E419" t="s">
        <v>22</v>
      </c>
      <c r="F419" t="s">
        <v>23</v>
      </c>
      <c r="G419">
        <v>30</v>
      </c>
      <c r="H419" s="1" t="str">
        <f>IF(Table1[[#This Row],[anxiety_score]]&lt;=10, "Normal", IF(Table1[[#This Row],[anxiety_score]]&lt;=20, "Moderate", IF(Table1[[#This Row],[anxiety_score]]&lt;=30, "Severe", "Extremely Severe")))</f>
        <v>Severe</v>
      </c>
      <c r="I419">
        <v>2.0022465999999999</v>
      </c>
      <c r="J419">
        <v>36</v>
      </c>
      <c r="K419" s="1" t="str">
        <f>IF(Table1[[#This Row],[stress_score]]&lt;=10, "Normal", IF(Table1[[#This Row],[stress_score]]&lt;=20, "Moderate", IF(Table1[[#This Row],[stress_score]]&lt;=30, "Severe", "Extremely Severe")))</f>
        <v>Extremely Severe</v>
      </c>
      <c r="L419">
        <v>2.3414313999999998</v>
      </c>
      <c r="M419">
        <v>34</v>
      </c>
      <c r="N419" s="1" t="str">
        <f>IF(Table1[[#This Row],[depression_score]]&lt;=10, "Normal", IF(Table1[[#This Row],[depression_score]]&lt;=20, "Moderate", IF(Table1[[#This Row],[depression_score]]&lt;=30, "Severe", "Extremely Severe")))</f>
        <v>Extremely Severe</v>
      </c>
      <c r="O419">
        <v>2.1659999999999999</v>
      </c>
      <c r="P419">
        <v>33.333331999999999</v>
      </c>
      <c r="Q419">
        <f>ROUND(Table1[[#This Row],[dass21_raw_score]],0)</f>
        <v>33</v>
      </c>
      <c r="R419" s="1" t="str">
        <f>IF(Table1[[#This Row],[round_dass21_raw_score]]&lt;=10, "Normal", IF(Table1[[#This Row],[round_dass21_raw_score]]&lt;=20, "Moderate", IF(Table1[[#This Row],[round_dass21_raw_score]]&lt;=30, "Severe", "Extremely Severe")))</f>
        <v>Extremely Severe</v>
      </c>
      <c r="S419">
        <v>2.1698925</v>
      </c>
      <c r="T419">
        <v>3.2648025000000001</v>
      </c>
      <c r="U419">
        <v>5000</v>
      </c>
      <c r="V419" s="1">
        <f>ROUND(Table1[[#This Row],[fmpce]],0)</f>
        <v>5000</v>
      </c>
      <c r="W419">
        <v>68.023319999999998</v>
      </c>
      <c r="X419" s="4">
        <f>Table1[[#This Row],[mpce]]*89</f>
        <v>6054.0754799999995</v>
      </c>
      <c r="Y419" s="2" t="s">
        <v>28</v>
      </c>
      <c r="Z419" s="3">
        <f>VLOOKUP(Y419, rmpce_reference!$B$1:$D$7,3,FALSE) * 89</f>
        <v>6230</v>
      </c>
      <c r="AA419" s="1" t="str">
        <f>IF(Table1[rmpce_inr]&lt;=rmpce_reference!$F$2, "Low Income", IF(Table1[rmpce_inr]&lt;=rmpce_reference!$F$3, "Middle Income", "High Income"))</f>
        <v>Middle Income</v>
      </c>
    </row>
    <row r="420" spans="1:27" x14ac:dyDescent="0.25">
      <c r="A420">
        <v>2163</v>
      </c>
      <c r="B420" t="s">
        <v>39</v>
      </c>
      <c r="C420" t="s">
        <v>21</v>
      </c>
      <c r="D420">
        <v>45</v>
      </c>
      <c r="E420" t="s">
        <v>22</v>
      </c>
      <c r="F420" t="s">
        <v>27</v>
      </c>
      <c r="G420">
        <v>38</v>
      </c>
      <c r="H420" s="1" t="str">
        <f>IF(Table1[[#This Row],[anxiety_score]]&lt;=10, "Normal", IF(Table1[[#This Row],[anxiety_score]]&lt;=20, "Moderate", IF(Table1[[#This Row],[anxiety_score]]&lt;=30, "Severe", "Extremely Severe")))</f>
        <v>Extremely Severe</v>
      </c>
      <c r="I420">
        <v>2.8064249999999999</v>
      </c>
      <c r="J420">
        <v>32</v>
      </c>
      <c r="K420" s="1" t="str">
        <f>IF(Table1[[#This Row],[stress_score]]&lt;=10, "Normal", IF(Table1[[#This Row],[stress_score]]&lt;=20, "Moderate", IF(Table1[[#This Row],[stress_score]]&lt;=30, "Severe", "Extremely Severe")))</f>
        <v>Extremely Severe</v>
      </c>
      <c r="L420">
        <v>1.9521089</v>
      </c>
      <c r="M420">
        <v>34</v>
      </c>
      <c r="N420" s="1" t="str">
        <f>IF(Table1[[#This Row],[depression_score]]&lt;=10, "Normal", IF(Table1[[#This Row],[depression_score]]&lt;=20, "Moderate", IF(Table1[[#This Row],[depression_score]]&lt;=30, "Severe", "Extremely Severe")))</f>
        <v>Extremely Severe</v>
      </c>
      <c r="O420">
        <v>2.1659999999999999</v>
      </c>
      <c r="P420">
        <v>34.666668000000001</v>
      </c>
      <c r="Q420">
        <f>ROUND(Table1[[#This Row],[dass21_raw_score]],0)</f>
        <v>35</v>
      </c>
      <c r="R420" s="1" t="str">
        <f>IF(Table1[[#This Row],[round_dass21_raw_score]]&lt;=10, "Normal", IF(Table1[[#This Row],[round_dass21_raw_score]]&lt;=20, "Moderate", IF(Table1[[#This Row],[round_dass21_raw_score]]&lt;=30, "Severe", "Extremely Severe")))</f>
        <v>Extremely Severe</v>
      </c>
      <c r="S420">
        <v>2.3081779999999998</v>
      </c>
      <c r="T420">
        <v>3.4030879000000001</v>
      </c>
      <c r="U420">
        <v>1750</v>
      </c>
      <c r="V420" s="1">
        <f>ROUND(Table1[[#This Row],[fmpce]],0)</f>
        <v>1750</v>
      </c>
      <c r="W420">
        <v>23.808163</v>
      </c>
      <c r="X420" s="4">
        <f>Table1[[#This Row],[mpce]]*89</f>
        <v>2118.9265070000001</v>
      </c>
      <c r="Y420" s="2" t="s">
        <v>24</v>
      </c>
      <c r="Z420" s="3">
        <f>VLOOKUP(Y420, rmpce_reference!$B$1:$D$7,3,FALSE) * 89</f>
        <v>2225</v>
      </c>
      <c r="AA420" s="1" t="str">
        <f>IF(Table1[rmpce_inr]&lt;=rmpce_reference!$F$2, "Low Income", IF(Table1[rmpce_inr]&lt;=rmpce_reference!$F$3, "Middle Income", "High Income"))</f>
        <v>Low Income</v>
      </c>
    </row>
    <row r="421" spans="1:27" x14ac:dyDescent="0.25">
      <c r="A421">
        <v>2164</v>
      </c>
      <c r="B421" t="s">
        <v>39</v>
      </c>
      <c r="C421" t="s">
        <v>36</v>
      </c>
      <c r="D421">
        <v>58</v>
      </c>
      <c r="E421" t="s">
        <v>22</v>
      </c>
      <c r="F421" t="s">
        <v>23</v>
      </c>
      <c r="G421">
        <v>26</v>
      </c>
      <c r="H421" s="1" t="str">
        <f>IF(Table1[[#This Row],[anxiety_score]]&lt;=10, "Normal", IF(Table1[[#This Row],[anxiety_score]]&lt;=20, "Moderate", IF(Table1[[#This Row],[anxiety_score]]&lt;=30, "Severe", "Extremely Severe")))</f>
        <v>Severe</v>
      </c>
      <c r="I421">
        <v>1.6001574999999999</v>
      </c>
      <c r="J421">
        <v>24</v>
      </c>
      <c r="K421" s="1" t="str">
        <f>IF(Table1[[#This Row],[stress_score]]&lt;=10, "Normal", IF(Table1[[#This Row],[stress_score]]&lt;=20, "Moderate", IF(Table1[[#This Row],[stress_score]]&lt;=30, "Severe", "Extremely Severe")))</f>
        <v>Severe</v>
      </c>
      <c r="L421">
        <v>1.1734637999999999</v>
      </c>
      <c r="M421">
        <v>28</v>
      </c>
      <c r="N421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421">
        <v>1.5880875999999999</v>
      </c>
      <c r="P421">
        <v>26</v>
      </c>
      <c r="Q421">
        <f>ROUND(Table1[[#This Row],[dass21_raw_score]],0)</f>
        <v>26</v>
      </c>
      <c r="R421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421">
        <v>1.4539029999999999</v>
      </c>
      <c r="T421">
        <v>2.5488129000000002</v>
      </c>
      <c r="U421">
        <v>5000</v>
      </c>
      <c r="V421" s="1">
        <f>ROUND(Table1[[#This Row],[fmpce]],0)</f>
        <v>5000</v>
      </c>
      <c r="W421">
        <v>68.023319999999998</v>
      </c>
      <c r="X421" s="4">
        <f>Table1[[#This Row],[mpce]]*89</f>
        <v>6054.0754799999995</v>
      </c>
      <c r="Y421" s="2" t="s">
        <v>28</v>
      </c>
      <c r="Z421" s="3">
        <f>VLOOKUP(Y421, rmpce_reference!$B$1:$D$7,3,FALSE) * 89</f>
        <v>6230</v>
      </c>
      <c r="AA421" s="1" t="str">
        <f>IF(Table1[rmpce_inr]&lt;=rmpce_reference!$F$2, "Low Income", IF(Table1[rmpce_inr]&lt;=rmpce_reference!$F$3, "Middle Income", "High Income"))</f>
        <v>Middle Income</v>
      </c>
    </row>
    <row r="422" spans="1:27" x14ac:dyDescent="0.25">
      <c r="A422">
        <v>2165</v>
      </c>
      <c r="B422" t="s">
        <v>39</v>
      </c>
      <c r="C422" t="s">
        <v>36</v>
      </c>
      <c r="D422">
        <v>58</v>
      </c>
      <c r="E422" t="s">
        <v>22</v>
      </c>
      <c r="F422" t="s">
        <v>23</v>
      </c>
      <c r="G422">
        <v>4</v>
      </c>
      <c r="H422" s="1" t="str">
        <f>IF(Table1[[#This Row],[anxiety_score]]&lt;=10, "Normal", IF(Table1[[#This Row],[anxiety_score]]&lt;=20, "Moderate", IF(Table1[[#This Row],[anxiety_score]]&lt;=30, "Severe", "Extremely Severe")))</f>
        <v>Normal</v>
      </c>
      <c r="I422">
        <v>-0.61133329999999997</v>
      </c>
      <c r="J422">
        <v>14</v>
      </c>
      <c r="K422" s="1" t="str">
        <f>IF(Table1[[#This Row],[stress_score]]&lt;=10, "Normal", IF(Table1[[#This Row],[stress_score]]&lt;=20, "Moderate", IF(Table1[[#This Row],[stress_score]]&lt;=30, "Severe", "Extremely Severe")))</f>
        <v>Moderate</v>
      </c>
      <c r="L422">
        <v>0.20015757000000001</v>
      </c>
      <c r="M422">
        <v>10</v>
      </c>
      <c r="N422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422">
        <v>-0.14564899000000001</v>
      </c>
      <c r="P422">
        <v>9.3333329999999997</v>
      </c>
      <c r="Q422">
        <f>ROUND(Table1[[#This Row],[dass21_raw_score]],0)</f>
        <v>9</v>
      </c>
      <c r="R422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422">
        <v>-0.18560824000000001</v>
      </c>
      <c r="T422">
        <v>0.90930164000000002</v>
      </c>
      <c r="U422">
        <v>5000</v>
      </c>
      <c r="V422" s="1">
        <f>ROUND(Table1[[#This Row],[fmpce]],0)</f>
        <v>5000</v>
      </c>
      <c r="W422">
        <v>68.023319999999998</v>
      </c>
      <c r="X422" s="4">
        <f>Table1[[#This Row],[mpce]]*89</f>
        <v>6054.0754799999995</v>
      </c>
      <c r="Y422" s="2" t="s">
        <v>28</v>
      </c>
      <c r="Z422" s="3">
        <f>VLOOKUP(Y422, rmpce_reference!$B$1:$D$7,3,FALSE) * 89</f>
        <v>6230</v>
      </c>
      <c r="AA422" s="1" t="str">
        <f>IF(Table1[rmpce_inr]&lt;=rmpce_reference!$F$2, "Low Income", IF(Table1[rmpce_inr]&lt;=rmpce_reference!$F$3, "Middle Income", "High Income"))</f>
        <v>Middle Income</v>
      </c>
    </row>
    <row r="423" spans="1:27" x14ac:dyDescent="0.25">
      <c r="A423">
        <v>2166</v>
      </c>
      <c r="B423" t="s">
        <v>39</v>
      </c>
      <c r="C423" t="s">
        <v>29</v>
      </c>
      <c r="D423">
        <v>32</v>
      </c>
      <c r="E423" t="s">
        <v>22</v>
      </c>
      <c r="F423" t="s">
        <v>30</v>
      </c>
      <c r="G423">
        <v>10</v>
      </c>
      <c r="H423" s="1" t="str">
        <f>IF(Table1[[#This Row],[anxiety_score]]&lt;=10, "Normal", IF(Table1[[#This Row],[anxiety_score]]&lt;=20, "Moderate", IF(Table1[[#This Row],[anxiety_score]]&lt;=30, "Severe", "Extremely Severe")))</f>
        <v>Normal</v>
      </c>
      <c r="I423">
        <v>-8.1994660000000007E-3</v>
      </c>
      <c r="J423">
        <v>14</v>
      </c>
      <c r="K423" s="1" t="str">
        <f>IF(Table1[[#This Row],[stress_score]]&lt;=10, "Normal", IF(Table1[[#This Row],[stress_score]]&lt;=20, "Moderate", IF(Table1[[#This Row],[stress_score]]&lt;=30, "Severe", "Extremely Severe")))</f>
        <v>Moderate</v>
      </c>
      <c r="L423">
        <v>0.20015757000000001</v>
      </c>
      <c r="M423">
        <v>12</v>
      </c>
      <c r="N423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423">
        <v>4.6988415999999998E-2</v>
      </c>
      <c r="P423">
        <v>12</v>
      </c>
      <c r="Q423">
        <f>ROUND(Table1[[#This Row],[dass21_raw_score]],0)</f>
        <v>12</v>
      </c>
      <c r="R423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423">
        <v>7.9648839999999999E-2</v>
      </c>
      <c r="T423">
        <v>1.1745588</v>
      </c>
      <c r="U423">
        <v>2000</v>
      </c>
      <c r="V423" s="1">
        <f>ROUND(Table1[[#This Row],[fmpce]],0)</f>
        <v>2000</v>
      </c>
      <c r="W423">
        <v>27.209330000000001</v>
      </c>
      <c r="X423" s="4">
        <f>Table1[[#This Row],[mpce]]*89</f>
        <v>2421.6303700000003</v>
      </c>
      <c r="Y423" s="2" t="s">
        <v>34</v>
      </c>
      <c r="Z423" s="3">
        <f>VLOOKUP(Y423, rmpce_reference!$B$1:$D$7,3,FALSE) * 89</f>
        <v>2848</v>
      </c>
      <c r="AA423" s="1" t="str">
        <f>IF(Table1[rmpce_inr]&lt;=rmpce_reference!$F$2, "Low Income", IF(Table1[rmpce_inr]&lt;=rmpce_reference!$F$3, "Middle Income", "High Income"))</f>
        <v>Low Income</v>
      </c>
    </row>
    <row r="424" spans="1:27" x14ac:dyDescent="0.25">
      <c r="A424">
        <v>2167</v>
      </c>
      <c r="B424" t="s">
        <v>39</v>
      </c>
      <c r="C424" t="s">
        <v>21</v>
      </c>
      <c r="D424">
        <v>45</v>
      </c>
      <c r="E424" t="s">
        <v>22</v>
      </c>
      <c r="F424" t="s">
        <v>23</v>
      </c>
      <c r="G424">
        <v>12</v>
      </c>
      <c r="H424" s="1" t="str">
        <f>IF(Table1[[#This Row],[anxiety_score]]&lt;=10, "Normal", IF(Table1[[#This Row],[anxiety_score]]&lt;=20, "Moderate", IF(Table1[[#This Row],[anxiety_score]]&lt;=30, "Severe", "Extremely Severe")))</f>
        <v>Moderate</v>
      </c>
      <c r="I424">
        <v>0.19284514999999999</v>
      </c>
      <c r="J424">
        <v>18</v>
      </c>
      <c r="K424" s="1" t="str">
        <f>IF(Table1[[#This Row],[stress_score]]&lt;=10, "Normal", IF(Table1[[#This Row],[stress_score]]&lt;=20, "Moderate", IF(Table1[[#This Row],[stress_score]]&lt;=30, "Severe", "Extremely Severe")))</f>
        <v>Moderate</v>
      </c>
      <c r="L424">
        <v>0.58948003999999998</v>
      </c>
      <c r="M424">
        <v>16</v>
      </c>
      <c r="N424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424">
        <v>0.43226320000000001</v>
      </c>
      <c r="P424">
        <v>15.333333</v>
      </c>
      <c r="Q424">
        <f>ROUND(Table1[[#This Row],[dass21_raw_score]],0)</f>
        <v>15</v>
      </c>
      <c r="R424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424">
        <v>0.40486280000000002</v>
      </c>
      <c r="T424">
        <v>1.4997727000000001</v>
      </c>
      <c r="U424">
        <v>6166.6665000000003</v>
      </c>
      <c r="V424" s="1">
        <f>ROUND(Table1[[#This Row],[fmpce]],0)</f>
        <v>6167</v>
      </c>
      <c r="W424">
        <v>83.895430000000005</v>
      </c>
      <c r="X424" s="4">
        <f>Table1[[#This Row],[mpce]]*89</f>
        <v>7466.6932700000007</v>
      </c>
      <c r="Y424" s="2" t="s">
        <v>31</v>
      </c>
      <c r="Z424" s="3">
        <f>VLOOKUP(Y424, rmpce_reference!$B$1:$D$7,3,FALSE) * 89</f>
        <v>8010</v>
      </c>
      <c r="AA424" s="1" t="str">
        <f>IF(Table1[rmpce_inr]&lt;=rmpce_reference!$F$2, "Low Income", IF(Table1[rmpce_inr]&lt;=rmpce_reference!$F$3, "Middle Income", "High Income"))</f>
        <v>High Income</v>
      </c>
    </row>
    <row r="425" spans="1:27" x14ac:dyDescent="0.25">
      <c r="A425">
        <v>2168</v>
      </c>
      <c r="B425" t="s">
        <v>39</v>
      </c>
      <c r="C425" t="s">
        <v>21</v>
      </c>
      <c r="D425">
        <v>48</v>
      </c>
      <c r="E425" t="s">
        <v>22</v>
      </c>
      <c r="F425" t="s">
        <v>30</v>
      </c>
      <c r="G425">
        <v>34</v>
      </c>
      <c r="H425" s="1" t="str">
        <f>IF(Table1[[#This Row],[anxiety_score]]&lt;=10, "Normal", IF(Table1[[#This Row],[anxiety_score]]&lt;=20, "Moderate", IF(Table1[[#This Row],[anxiety_score]]&lt;=30, "Severe", "Extremely Severe")))</f>
        <v>Extremely Severe</v>
      </c>
      <c r="I425">
        <v>2.4043359999999998</v>
      </c>
      <c r="J425">
        <v>26</v>
      </c>
      <c r="K425" s="1" t="str">
        <f>IF(Table1[[#This Row],[stress_score]]&lt;=10, "Normal", IF(Table1[[#This Row],[stress_score]]&lt;=20, "Moderate", IF(Table1[[#This Row],[stress_score]]&lt;=30, "Severe", "Extremely Severe")))</f>
        <v>Severe</v>
      </c>
      <c r="L425">
        <v>1.3681251000000001</v>
      </c>
      <c r="M425">
        <v>22</v>
      </c>
      <c r="N425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425">
        <v>1.0101753</v>
      </c>
      <c r="P425">
        <v>27.333334000000001</v>
      </c>
      <c r="Q425">
        <f>ROUND(Table1[[#This Row],[dass21_raw_score]],0)</f>
        <v>27</v>
      </c>
      <c r="R425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425">
        <v>1.5942122000000001</v>
      </c>
      <c r="T425">
        <v>2.6891221999999999</v>
      </c>
      <c r="U425">
        <v>5000</v>
      </c>
      <c r="V425" s="1">
        <f>ROUND(Table1[[#This Row],[fmpce]],0)</f>
        <v>5000</v>
      </c>
      <c r="W425">
        <v>68.023319999999998</v>
      </c>
      <c r="X425" s="4">
        <f>Table1[[#This Row],[mpce]]*89</f>
        <v>6054.0754799999995</v>
      </c>
      <c r="Y425" s="2" t="s">
        <v>28</v>
      </c>
      <c r="Z425" s="3">
        <f>VLOOKUP(Y425, rmpce_reference!$B$1:$D$7,3,FALSE) * 89</f>
        <v>6230</v>
      </c>
      <c r="AA425" s="1" t="str">
        <f>IF(Table1[rmpce_inr]&lt;=rmpce_reference!$F$2, "Low Income", IF(Table1[rmpce_inr]&lt;=rmpce_reference!$F$3, "Middle Income", "High Income"))</f>
        <v>Middle Income</v>
      </c>
    </row>
    <row r="426" spans="1:27" x14ac:dyDescent="0.25">
      <c r="A426">
        <v>2169</v>
      </c>
      <c r="B426" t="s">
        <v>39</v>
      </c>
      <c r="C426" t="s">
        <v>36</v>
      </c>
      <c r="D426">
        <v>55</v>
      </c>
      <c r="E426" t="s">
        <v>22</v>
      </c>
      <c r="F426" t="s">
        <v>23</v>
      </c>
      <c r="G426">
        <v>28</v>
      </c>
      <c r="H426" s="1" t="str">
        <f>IF(Table1[[#This Row],[anxiety_score]]&lt;=10, "Normal", IF(Table1[[#This Row],[anxiety_score]]&lt;=20, "Moderate", IF(Table1[[#This Row],[anxiety_score]]&lt;=30, "Severe", "Extremely Severe")))</f>
        <v>Severe</v>
      </c>
      <c r="I426">
        <v>1.801202</v>
      </c>
      <c r="J426">
        <v>30</v>
      </c>
      <c r="K426" s="1" t="str">
        <f>IF(Table1[[#This Row],[stress_score]]&lt;=10, "Normal", IF(Table1[[#This Row],[stress_score]]&lt;=20, "Moderate", IF(Table1[[#This Row],[stress_score]]&lt;=30, "Severe", "Extremely Severe")))</f>
        <v>Severe</v>
      </c>
      <c r="L426">
        <v>1.7574476000000001</v>
      </c>
      <c r="M426">
        <v>28</v>
      </c>
      <c r="N426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426">
        <v>1.5880875999999999</v>
      </c>
      <c r="P426">
        <v>28.666665999999999</v>
      </c>
      <c r="Q426">
        <f>ROUND(Table1[[#This Row],[dass21_raw_score]],0)</f>
        <v>29</v>
      </c>
      <c r="R426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426">
        <v>1.715579</v>
      </c>
      <c r="T426">
        <v>2.810489</v>
      </c>
      <c r="U426">
        <v>2000</v>
      </c>
      <c r="V426" s="1">
        <f>ROUND(Table1[[#This Row],[fmpce]],0)</f>
        <v>2000</v>
      </c>
      <c r="W426">
        <v>27.209330000000001</v>
      </c>
      <c r="X426" s="4">
        <f>Table1[[#This Row],[mpce]]*89</f>
        <v>2421.6303700000003</v>
      </c>
      <c r="Y426" s="2" t="s">
        <v>34</v>
      </c>
      <c r="Z426" s="3">
        <f>VLOOKUP(Y426, rmpce_reference!$B$1:$D$7,3,FALSE) * 89</f>
        <v>2848</v>
      </c>
      <c r="AA426" s="1" t="str">
        <f>IF(Table1[rmpce_inr]&lt;=rmpce_reference!$F$2, "Low Income", IF(Table1[rmpce_inr]&lt;=rmpce_reference!$F$3, "Middle Income", "High Income"))</f>
        <v>Low Income</v>
      </c>
    </row>
    <row r="427" spans="1:27" x14ac:dyDescent="0.25">
      <c r="A427">
        <v>2170</v>
      </c>
      <c r="B427" t="s">
        <v>39</v>
      </c>
      <c r="C427" t="s">
        <v>29</v>
      </c>
      <c r="D427">
        <v>40</v>
      </c>
      <c r="E427" t="s">
        <v>22</v>
      </c>
      <c r="F427" t="s">
        <v>27</v>
      </c>
      <c r="G427">
        <v>20</v>
      </c>
      <c r="H427" s="1" t="str">
        <f>IF(Table1[[#This Row],[anxiety_score]]&lt;=10, "Normal", IF(Table1[[#This Row],[anxiety_score]]&lt;=20, "Moderate", IF(Table1[[#This Row],[anxiety_score]]&lt;=30, "Severe", "Extremely Severe")))</f>
        <v>Moderate</v>
      </c>
      <c r="I427">
        <v>0.99702360000000001</v>
      </c>
      <c r="J427">
        <v>20</v>
      </c>
      <c r="K427" s="1" t="str">
        <f>IF(Table1[[#This Row],[stress_score]]&lt;=10, "Normal", IF(Table1[[#This Row],[stress_score]]&lt;=20, "Moderate", IF(Table1[[#This Row],[stress_score]]&lt;=30, "Severe", "Extremely Severe")))</f>
        <v>Moderate</v>
      </c>
      <c r="L427">
        <v>0.78414130000000004</v>
      </c>
      <c r="M427">
        <v>22</v>
      </c>
      <c r="N427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427">
        <v>1.0101753</v>
      </c>
      <c r="P427">
        <v>20.666665999999999</v>
      </c>
      <c r="Q427">
        <f>ROUND(Table1[[#This Row],[dass21_raw_score]],0)</f>
        <v>21</v>
      </c>
      <c r="R427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427">
        <v>0.93044674000000005</v>
      </c>
      <c r="T427">
        <v>2.0253568</v>
      </c>
      <c r="U427">
        <v>3333.3332999999998</v>
      </c>
      <c r="V427" s="1">
        <f>ROUND(Table1[[#This Row],[fmpce]],0)</f>
        <v>3333</v>
      </c>
      <c r="W427">
        <v>45.348880000000001</v>
      </c>
      <c r="X427" s="4">
        <f>Table1[[#This Row],[mpce]]*89</f>
        <v>4036.0503200000003</v>
      </c>
      <c r="Y427" s="2" t="s">
        <v>32</v>
      </c>
      <c r="Z427" s="3">
        <f>VLOOKUP(Y427, rmpce_reference!$B$1:$D$7,3,FALSE) * 89</f>
        <v>4450</v>
      </c>
      <c r="AA427" s="1" t="str">
        <f>IF(Table1[rmpce_inr]&lt;=rmpce_reference!$F$2, "Low Income", IF(Table1[rmpce_inr]&lt;=rmpce_reference!$F$3, "Middle Income", "High Income"))</f>
        <v>Low Income</v>
      </c>
    </row>
    <row r="428" spans="1:27" x14ac:dyDescent="0.25">
      <c r="A428">
        <v>2171</v>
      </c>
      <c r="B428" t="s">
        <v>39</v>
      </c>
      <c r="C428" t="s">
        <v>36</v>
      </c>
      <c r="D428">
        <v>55</v>
      </c>
      <c r="E428" t="s">
        <v>22</v>
      </c>
      <c r="F428" t="s">
        <v>30</v>
      </c>
      <c r="G428">
        <v>24</v>
      </c>
      <c r="H428" s="1" t="str">
        <f>IF(Table1[[#This Row],[anxiety_score]]&lt;=10, "Normal", IF(Table1[[#This Row],[anxiety_score]]&lt;=20, "Moderate", IF(Table1[[#This Row],[anxiety_score]]&lt;=30, "Severe", "Extremely Severe")))</f>
        <v>Severe</v>
      </c>
      <c r="I428">
        <v>1.3991127999999999</v>
      </c>
      <c r="J428">
        <v>18</v>
      </c>
      <c r="K428" s="1" t="str">
        <f>IF(Table1[[#This Row],[stress_score]]&lt;=10, "Normal", IF(Table1[[#This Row],[stress_score]]&lt;=20, "Moderate", IF(Table1[[#This Row],[stress_score]]&lt;=30, "Severe", "Extremely Severe")))</f>
        <v>Moderate</v>
      </c>
      <c r="L428">
        <v>0.58948003999999998</v>
      </c>
      <c r="M428">
        <v>22</v>
      </c>
      <c r="N428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428">
        <v>1.0101753</v>
      </c>
      <c r="P428">
        <v>21.333334000000001</v>
      </c>
      <c r="Q428">
        <f>ROUND(Table1[[#This Row],[dass21_raw_score]],0)</f>
        <v>21</v>
      </c>
      <c r="R428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428">
        <v>0.99958939999999996</v>
      </c>
      <c r="T428">
        <v>2.0944992999999998</v>
      </c>
      <c r="U428">
        <v>2500</v>
      </c>
      <c r="V428" s="1">
        <f>ROUND(Table1[[#This Row],[fmpce]],0)</f>
        <v>2500</v>
      </c>
      <c r="W428">
        <v>34.011659999999999</v>
      </c>
      <c r="X428" s="4">
        <f>Table1[[#This Row],[mpce]]*89</f>
        <v>3027.0377399999998</v>
      </c>
      <c r="Y428" s="2" t="s">
        <v>34</v>
      </c>
      <c r="Z428" s="3">
        <f>VLOOKUP(Y428, rmpce_reference!$B$1:$D$7,3,FALSE) * 89</f>
        <v>2848</v>
      </c>
      <c r="AA428" s="1" t="str">
        <f>IF(Table1[rmpce_inr]&lt;=rmpce_reference!$F$2, "Low Income", IF(Table1[rmpce_inr]&lt;=rmpce_reference!$F$3, "Middle Income", "High Income"))</f>
        <v>Low Income</v>
      </c>
    </row>
    <row r="429" spans="1:27" x14ac:dyDescent="0.25">
      <c r="A429">
        <v>2172</v>
      </c>
      <c r="B429" t="s">
        <v>39</v>
      </c>
      <c r="C429" t="s">
        <v>29</v>
      </c>
      <c r="D429">
        <v>39</v>
      </c>
      <c r="E429" t="s">
        <v>22</v>
      </c>
      <c r="F429" t="s">
        <v>30</v>
      </c>
      <c r="G429">
        <v>22</v>
      </c>
      <c r="H429" s="1" t="str">
        <f>IF(Table1[[#This Row],[anxiety_score]]&lt;=10, "Normal", IF(Table1[[#This Row],[anxiety_score]]&lt;=20, "Moderate", IF(Table1[[#This Row],[anxiety_score]]&lt;=30, "Severe", "Extremely Severe")))</f>
        <v>Severe</v>
      </c>
      <c r="I429">
        <v>1.1980683000000001</v>
      </c>
      <c r="J429">
        <v>18</v>
      </c>
      <c r="K429" s="1" t="str">
        <f>IF(Table1[[#This Row],[stress_score]]&lt;=10, "Normal", IF(Table1[[#This Row],[stress_score]]&lt;=20, "Moderate", IF(Table1[[#This Row],[stress_score]]&lt;=30, "Severe", "Extremely Severe")))</f>
        <v>Moderate</v>
      </c>
      <c r="L429">
        <v>0.58948003999999998</v>
      </c>
      <c r="M429">
        <v>28</v>
      </c>
      <c r="N429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429">
        <v>1.5880875999999999</v>
      </c>
      <c r="P429">
        <v>22.666665999999999</v>
      </c>
      <c r="Q429">
        <f>ROUND(Table1[[#This Row],[dass21_raw_score]],0)</f>
        <v>23</v>
      </c>
      <c r="R429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429">
        <v>1.1252120000000001</v>
      </c>
      <c r="T429">
        <v>2.2201219000000001</v>
      </c>
      <c r="U429">
        <v>3333.3332999999998</v>
      </c>
      <c r="V429" s="1">
        <f>ROUND(Table1[[#This Row],[fmpce]],0)</f>
        <v>3333</v>
      </c>
      <c r="W429">
        <v>45.348880000000001</v>
      </c>
      <c r="X429" s="4">
        <f>Table1[[#This Row],[mpce]]*89</f>
        <v>4036.0503200000003</v>
      </c>
      <c r="Y429" s="2" t="s">
        <v>32</v>
      </c>
      <c r="Z429" s="3">
        <f>VLOOKUP(Y429, rmpce_reference!$B$1:$D$7,3,FALSE) * 89</f>
        <v>4450</v>
      </c>
      <c r="AA429" s="1" t="str">
        <f>IF(Table1[rmpce_inr]&lt;=rmpce_reference!$F$2, "Low Income", IF(Table1[rmpce_inr]&lt;=rmpce_reference!$F$3, "Middle Income", "High Income"))</f>
        <v>Low Income</v>
      </c>
    </row>
    <row r="430" spans="1:27" x14ac:dyDescent="0.25">
      <c r="A430">
        <v>2173</v>
      </c>
      <c r="B430" t="s">
        <v>39</v>
      </c>
      <c r="C430" t="s">
        <v>36</v>
      </c>
      <c r="D430">
        <v>58</v>
      </c>
      <c r="E430" t="s">
        <v>22</v>
      </c>
      <c r="F430" t="s">
        <v>30</v>
      </c>
      <c r="G430">
        <v>22</v>
      </c>
      <c r="H430" s="1" t="str">
        <f>IF(Table1[[#This Row],[anxiety_score]]&lt;=10, "Normal", IF(Table1[[#This Row],[anxiety_score]]&lt;=20, "Moderate", IF(Table1[[#This Row],[anxiety_score]]&lt;=30, "Severe", "Extremely Severe")))</f>
        <v>Severe</v>
      </c>
      <c r="I430">
        <v>1.1980683000000001</v>
      </c>
      <c r="J430">
        <v>18</v>
      </c>
      <c r="K430" s="1" t="str">
        <f>IF(Table1[[#This Row],[stress_score]]&lt;=10, "Normal", IF(Table1[[#This Row],[stress_score]]&lt;=20, "Moderate", IF(Table1[[#This Row],[stress_score]]&lt;=30, "Severe", "Extremely Severe")))</f>
        <v>Moderate</v>
      </c>
      <c r="L430">
        <v>0.58948003999999998</v>
      </c>
      <c r="M430">
        <v>22</v>
      </c>
      <c r="N430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430">
        <v>1.0101753</v>
      </c>
      <c r="P430">
        <v>20.666665999999999</v>
      </c>
      <c r="Q430">
        <f>ROUND(Table1[[#This Row],[dass21_raw_score]],0)</f>
        <v>21</v>
      </c>
      <c r="R430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430">
        <v>0.93257456999999999</v>
      </c>
      <c r="T430">
        <v>2.0274844000000001</v>
      </c>
      <c r="U430">
        <v>7500</v>
      </c>
      <c r="V430" s="1">
        <f>ROUND(Table1[[#This Row],[fmpce]],0)</f>
        <v>7500</v>
      </c>
      <c r="W430">
        <v>102.03498999999999</v>
      </c>
      <c r="X430" s="4">
        <f>Table1[[#This Row],[mpce]]*89</f>
        <v>9081.1141099999986</v>
      </c>
      <c r="Y430" s="2" t="s">
        <v>35</v>
      </c>
      <c r="Z430" s="3">
        <f>VLOOKUP(Y430, rmpce_reference!$B$1:$D$7,3,FALSE) * 89</f>
        <v>9790</v>
      </c>
      <c r="AA430" s="1" t="str">
        <f>IF(Table1[rmpce_inr]&lt;=rmpce_reference!$F$2, "Low Income", IF(Table1[rmpce_inr]&lt;=rmpce_reference!$F$3, "Middle Income", "High Income"))</f>
        <v>High Income</v>
      </c>
    </row>
    <row r="431" spans="1:27" x14ac:dyDescent="0.25">
      <c r="A431">
        <v>2174</v>
      </c>
      <c r="B431" t="s">
        <v>39</v>
      </c>
      <c r="C431" t="s">
        <v>33</v>
      </c>
      <c r="D431">
        <v>29</v>
      </c>
      <c r="E431" t="s">
        <v>22</v>
      </c>
      <c r="F431" t="s">
        <v>30</v>
      </c>
      <c r="G431">
        <v>36</v>
      </c>
      <c r="H431" s="1" t="str">
        <f>IF(Table1[[#This Row],[anxiety_score]]&lt;=10, "Normal", IF(Table1[[#This Row],[anxiety_score]]&lt;=20, "Moderate", IF(Table1[[#This Row],[anxiety_score]]&lt;=30, "Severe", "Extremely Severe")))</f>
        <v>Extremely Severe</v>
      </c>
      <c r="I431">
        <v>2.6053804999999999</v>
      </c>
      <c r="J431">
        <v>30</v>
      </c>
      <c r="K431" s="1" t="str">
        <f>IF(Table1[[#This Row],[stress_score]]&lt;=10, "Normal", IF(Table1[[#This Row],[stress_score]]&lt;=20, "Moderate", IF(Table1[[#This Row],[stress_score]]&lt;=30, "Severe", "Extremely Severe")))</f>
        <v>Severe</v>
      </c>
      <c r="L431">
        <v>1.7574476000000001</v>
      </c>
      <c r="M431">
        <v>28</v>
      </c>
      <c r="N431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431">
        <v>1.5880875999999999</v>
      </c>
      <c r="P431">
        <v>31.333334000000001</v>
      </c>
      <c r="Q431">
        <f>ROUND(Table1[[#This Row],[dass21_raw_score]],0)</f>
        <v>31</v>
      </c>
      <c r="R431" s="1" t="str">
        <f>IF(Table1[[#This Row],[round_dass21_raw_score]]&lt;=10, "Normal", IF(Table1[[#This Row],[round_dass21_raw_score]]&lt;=20, "Moderate", IF(Table1[[#This Row],[round_dass21_raw_score]]&lt;=30, "Severe", "Extremely Severe")))</f>
        <v>Extremely Severe</v>
      </c>
      <c r="S431">
        <v>1.9836385000000001</v>
      </c>
      <c r="T431">
        <v>3.0785483999999999</v>
      </c>
      <c r="U431">
        <v>4333.3334999999997</v>
      </c>
      <c r="V431" s="1">
        <f>ROUND(Table1[[#This Row],[fmpce]],0)</f>
        <v>4333</v>
      </c>
      <c r="W431">
        <v>58.95355</v>
      </c>
      <c r="X431" s="4">
        <f>Table1[[#This Row],[mpce]]*89</f>
        <v>5246.8659500000003</v>
      </c>
      <c r="Y431" s="2" t="s">
        <v>32</v>
      </c>
      <c r="Z431" s="3">
        <f>VLOOKUP(Y431, rmpce_reference!$B$1:$D$7,3,FALSE) * 89</f>
        <v>4450</v>
      </c>
      <c r="AA431" s="1" t="str">
        <f>IF(Table1[rmpce_inr]&lt;=rmpce_reference!$F$2, "Low Income", IF(Table1[rmpce_inr]&lt;=rmpce_reference!$F$3, "Middle Income", "High Income"))</f>
        <v>Low Income</v>
      </c>
    </row>
    <row r="432" spans="1:27" x14ac:dyDescent="0.25">
      <c r="A432">
        <v>2175</v>
      </c>
      <c r="B432" t="s">
        <v>39</v>
      </c>
      <c r="C432" t="s">
        <v>29</v>
      </c>
      <c r="D432">
        <v>39</v>
      </c>
      <c r="E432" t="s">
        <v>22</v>
      </c>
      <c r="F432" t="s">
        <v>30</v>
      </c>
      <c r="G432">
        <v>14</v>
      </c>
      <c r="H432" s="1" t="str">
        <f>IF(Table1[[#This Row],[anxiety_score]]&lt;=10, "Normal", IF(Table1[[#This Row],[anxiety_score]]&lt;=20, "Moderate", IF(Table1[[#This Row],[anxiety_score]]&lt;=30, "Severe", "Extremely Severe")))</f>
        <v>Moderate</v>
      </c>
      <c r="I432">
        <v>0.39388975999999998</v>
      </c>
      <c r="J432">
        <v>14</v>
      </c>
      <c r="K432" s="1" t="str">
        <f>IF(Table1[[#This Row],[stress_score]]&lt;=10, "Normal", IF(Table1[[#This Row],[stress_score]]&lt;=20, "Moderate", IF(Table1[[#This Row],[stress_score]]&lt;=30, "Severe", "Extremely Severe")))</f>
        <v>Moderate</v>
      </c>
      <c r="L432">
        <v>0.20015757000000001</v>
      </c>
      <c r="M432">
        <v>14</v>
      </c>
      <c r="N432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432">
        <v>0.23962580999999999</v>
      </c>
      <c r="P432">
        <v>14</v>
      </c>
      <c r="Q432">
        <f>ROUND(Table1[[#This Row],[dass21_raw_score]],0)</f>
        <v>14</v>
      </c>
      <c r="R432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432">
        <v>0.27789103999999998</v>
      </c>
      <c r="T432">
        <v>1.3728009999999999</v>
      </c>
      <c r="U432">
        <v>8666.6669999999995</v>
      </c>
      <c r="V432" s="1">
        <f>ROUND(Table1[[#This Row],[fmpce]],0)</f>
        <v>8667</v>
      </c>
      <c r="W432">
        <v>117.9071</v>
      </c>
      <c r="X432" s="4">
        <f>Table1[[#This Row],[mpce]]*89</f>
        <v>10493.731900000001</v>
      </c>
      <c r="Y432" s="2" t="s">
        <v>35</v>
      </c>
      <c r="Z432" s="3">
        <f>VLOOKUP(Y432, rmpce_reference!$B$1:$D$7,3,FALSE) * 89</f>
        <v>9790</v>
      </c>
      <c r="AA432" s="1" t="str">
        <f>IF(Table1[rmpce_inr]&lt;=rmpce_reference!$F$2, "Low Income", IF(Table1[rmpce_inr]&lt;=rmpce_reference!$F$3, "Middle Income", "High Income"))</f>
        <v>High Income</v>
      </c>
    </row>
    <row r="433" spans="1:27" x14ac:dyDescent="0.25">
      <c r="A433">
        <v>2176</v>
      </c>
      <c r="B433" t="s">
        <v>39</v>
      </c>
      <c r="C433" t="s">
        <v>21</v>
      </c>
      <c r="D433">
        <v>46</v>
      </c>
      <c r="E433" t="s">
        <v>22</v>
      </c>
      <c r="F433" t="s">
        <v>30</v>
      </c>
      <c r="G433">
        <v>32</v>
      </c>
      <c r="H433" s="1" t="str">
        <f>IF(Table1[[#This Row],[anxiety_score]]&lt;=10, "Normal", IF(Table1[[#This Row],[anxiety_score]]&lt;=20, "Moderate", IF(Table1[[#This Row],[anxiety_score]]&lt;=30, "Severe", "Extremely Severe")))</f>
        <v>Extremely Severe</v>
      </c>
      <c r="I433">
        <v>2.2032911999999998</v>
      </c>
      <c r="J433">
        <v>32</v>
      </c>
      <c r="K433" s="1" t="str">
        <f>IF(Table1[[#This Row],[stress_score]]&lt;=10, "Normal", IF(Table1[[#This Row],[stress_score]]&lt;=20, "Moderate", IF(Table1[[#This Row],[stress_score]]&lt;=30, "Severe", "Extremely Severe")))</f>
        <v>Extremely Severe</v>
      </c>
      <c r="L433">
        <v>1.9521089</v>
      </c>
      <c r="M433">
        <v>26</v>
      </c>
      <c r="N433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433">
        <v>1.3954502</v>
      </c>
      <c r="P433">
        <v>30</v>
      </c>
      <c r="Q433">
        <f>ROUND(Table1[[#This Row],[dass21_raw_score]],0)</f>
        <v>30</v>
      </c>
      <c r="R433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433">
        <v>1.8502833999999999</v>
      </c>
      <c r="T433">
        <v>2.9451933000000001</v>
      </c>
      <c r="U433">
        <v>6333.3334999999997</v>
      </c>
      <c r="V433" s="1">
        <f>ROUND(Table1[[#This Row],[fmpce]],0)</f>
        <v>6333</v>
      </c>
      <c r="W433">
        <v>86.162880000000001</v>
      </c>
      <c r="X433" s="4">
        <f>Table1[[#This Row],[mpce]]*89</f>
        <v>7668.4963200000002</v>
      </c>
      <c r="Y433" s="2" t="s">
        <v>31</v>
      </c>
      <c r="Z433" s="3">
        <f>VLOOKUP(Y433, rmpce_reference!$B$1:$D$7,3,FALSE) * 89</f>
        <v>8010</v>
      </c>
      <c r="AA433" s="1" t="str">
        <f>IF(Table1[rmpce_inr]&lt;=rmpce_reference!$F$2, "Low Income", IF(Table1[rmpce_inr]&lt;=rmpce_reference!$F$3, "Middle Income", "High Income"))</f>
        <v>High Income</v>
      </c>
    </row>
    <row r="434" spans="1:27" x14ac:dyDescent="0.25">
      <c r="A434">
        <v>2177</v>
      </c>
      <c r="B434" t="s">
        <v>39</v>
      </c>
      <c r="C434" t="s">
        <v>29</v>
      </c>
      <c r="D434">
        <v>37</v>
      </c>
      <c r="E434" t="s">
        <v>25</v>
      </c>
      <c r="F434" t="s">
        <v>30</v>
      </c>
      <c r="G434">
        <v>26</v>
      </c>
      <c r="H434" s="1" t="str">
        <f>IF(Table1[[#This Row],[anxiety_score]]&lt;=10, "Normal", IF(Table1[[#This Row],[anxiety_score]]&lt;=20, "Moderate", IF(Table1[[#This Row],[anxiety_score]]&lt;=30, "Severe", "Extremely Severe")))</f>
        <v>Severe</v>
      </c>
      <c r="I434">
        <v>1.6001574999999999</v>
      </c>
      <c r="J434">
        <v>20</v>
      </c>
      <c r="K434" s="1" t="str">
        <f>IF(Table1[[#This Row],[stress_score]]&lt;=10, "Normal", IF(Table1[[#This Row],[stress_score]]&lt;=20, "Moderate", IF(Table1[[#This Row],[stress_score]]&lt;=30, "Severe", "Extremely Severe")))</f>
        <v>Moderate</v>
      </c>
      <c r="L434">
        <v>0.78414130000000004</v>
      </c>
      <c r="M434">
        <v>28</v>
      </c>
      <c r="N434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434">
        <v>1.5880875999999999</v>
      </c>
      <c r="P434">
        <v>24.666665999999999</v>
      </c>
      <c r="Q434">
        <f>ROUND(Table1[[#This Row],[dass21_raw_score]],0)</f>
        <v>25</v>
      </c>
      <c r="R434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434">
        <v>1.3241286999999999</v>
      </c>
      <c r="T434">
        <v>2.4190388</v>
      </c>
      <c r="U434">
        <v>2500</v>
      </c>
      <c r="V434" s="1">
        <f>ROUND(Table1[[#This Row],[fmpce]],0)</f>
        <v>2500</v>
      </c>
      <c r="W434">
        <v>34.011659999999999</v>
      </c>
      <c r="X434" s="4">
        <f>Table1[[#This Row],[mpce]]*89</f>
        <v>3027.0377399999998</v>
      </c>
      <c r="Y434" s="2" t="s">
        <v>34</v>
      </c>
      <c r="Z434" s="3">
        <f>VLOOKUP(Y434, rmpce_reference!$B$1:$D$7,3,FALSE) * 89</f>
        <v>2848</v>
      </c>
      <c r="AA434" s="1" t="str">
        <f>IF(Table1[rmpce_inr]&lt;=rmpce_reference!$F$2, "Low Income", IF(Table1[rmpce_inr]&lt;=rmpce_reference!$F$3, "Middle Income", "High Income"))</f>
        <v>Low Income</v>
      </c>
    </row>
    <row r="435" spans="1:27" x14ac:dyDescent="0.25">
      <c r="A435">
        <v>2178</v>
      </c>
      <c r="B435" t="s">
        <v>39</v>
      </c>
      <c r="C435" t="s">
        <v>29</v>
      </c>
      <c r="D435">
        <v>40</v>
      </c>
      <c r="E435" t="s">
        <v>22</v>
      </c>
      <c r="F435" t="s">
        <v>27</v>
      </c>
      <c r="G435">
        <v>22</v>
      </c>
      <c r="H435" s="1" t="str">
        <f>IF(Table1[[#This Row],[anxiety_score]]&lt;=10, "Normal", IF(Table1[[#This Row],[anxiety_score]]&lt;=20, "Moderate", IF(Table1[[#This Row],[anxiety_score]]&lt;=30, "Severe", "Extremely Severe")))</f>
        <v>Severe</v>
      </c>
      <c r="I435">
        <v>1.1980683000000001</v>
      </c>
      <c r="J435">
        <v>24</v>
      </c>
      <c r="K435" s="1" t="str">
        <f>IF(Table1[[#This Row],[stress_score]]&lt;=10, "Normal", IF(Table1[[#This Row],[stress_score]]&lt;=20, "Moderate", IF(Table1[[#This Row],[stress_score]]&lt;=30, "Severe", "Extremely Severe")))</f>
        <v>Severe</v>
      </c>
      <c r="L435">
        <v>1.1734637999999999</v>
      </c>
      <c r="M435">
        <v>30</v>
      </c>
      <c r="N435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435">
        <v>1.7807249999999999</v>
      </c>
      <c r="P435">
        <v>25.333334000000001</v>
      </c>
      <c r="Q435">
        <f>ROUND(Table1[[#This Row],[dass21_raw_score]],0)</f>
        <v>25</v>
      </c>
      <c r="R435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435">
        <v>1.3840857</v>
      </c>
      <c r="T435">
        <v>2.4789956000000002</v>
      </c>
      <c r="U435">
        <v>1600</v>
      </c>
      <c r="V435" s="1">
        <f>ROUND(Table1[[#This Row],[fmpce]],0)</f>
        <v>1600</v>
      </c>
      <c r="W435">
        <v>21.767464</v>
      </c>
      <c r="X435" s="4">
        <f>Table1[[#This Row],[mpce]]*89</f>
        <v>1937.304296</v>
      </c>
      <c r="Y435" s="2" t="s">
        <v>24</v>
      </c>
      <c r="Z435" s="3">
        <f>VLOOKUP(Y435, rmpce_reference!$B$1:$D$7,3,FALSE) * 89</f>
        <v>2225</v>
      </c>
      <c r="AA435" s="1" t="str">
        <f>IF(Table1[rmpce_inr]&lt;=rmpce_reference!$F$2, "Low Income", IF(Table1[rmpce_inr]&lt;=rmpce_reference!$F$3, "Middle Income", "High Income"))</f>
        <v>Low Income</v>
      </c>
    </row>
    <row r="436" spans="1:27" x14ac:dyDescent="0.25">
      <c r="A436">
        <v>2179</v>
      </c>
      <c r="B436" t="s">
        <v>39</v>
      </c>
      <c r="C436" t="s">
        <v>29</v>
      </c>
      <c r="D436">
        <v>32</v>
      </c>
      <c r="E436" t="s">
        <v>22</v>
      </c>
      <c r="F436" t="s">
        <v>27</v>
      </c>
      <c r="G436">
        <v>12</v>
      </c>
      <c r="H436" s="1" t="str">
        <f>IF(Table1[[#This Row],[anxiety_score]]&lt;=10, "Normal", IF(Table1[[#This Row],[anxiety_score]]&lt;=20, "Moderate", IF(Table1[[#This Row],[anxiety_score]]&lt;=30, "Severe", "Extremely Severe")))</f>
        <v>Moderate</v>
      </c>
      <c r="I436">
        <v>0.19284514999999999</v>
      </c>
      <c r="J436">
        <v>16</v>
      </c>
      <c r="K436" s="1" t="str">
        <f>IF(Table1[[#This Row],[stress_score]]&lt;=10, "Normal", IF(Table1[[#This Row],[stress_score]]&lt;=20, "Moderate", IF(Table1[[#This Row],[stress_score]]&lt;=30, "Severe", "Extremely Severe")))</f>
        <v>Moderate</v>
      </c>
      <c r="L436">
        <v>0.39481880000000003</v>
      </c>
      <c r="M436">
        <v>16</v>
      </c>
      <c r="N436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436">
        <v>0.43226320000000001</v>
      </c>
      <c r="P436">
        <v>14.666667</v>
      </c>
      <c r="Q436">
        <f>ROUND(Table1[[#This Row],[dass21_raw_score]],0)</f>
        <v>15</v>
      </c>
      <c r="R436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436">
        <v>0.33997569999999999</v>
      </c>
      <c r="T436">
        <v>1.4348856000000001</v>
      </c>
      <c r="U436">
        <v>6250</v>
      </c>
      <c r="V436" s="1">
        <f>ROUND(Table1[[#This Row],[fmpce]],0)</f>
        <v>6250</v>
      </c>
      <c r="W436">
        <v>85.029150000000001</v>
      </c>
      <c r="X436" s="4">
        <f>Table1[[#This Row],[mpce]]*89</f>
        <v>7567.5943500000003</v>
      </c>
      <c r="Y436" s="2" t="s">
        <v>31</v>
      </c>
      <c r="Z436" s="3">
        <f>VLOOKUP(Y436, rmpce_reference!$B$1:$D$7,3,FALSE) * 89</f>
        <v>8010</v>
      </c>
      <c r="AA436" s="1" t="str">
        <f>IF(Table1[rmpce_inr]&lt;=rmpce_reference!$F$2, "Low Income", IF(Table1[rmpce_inr]&lt;=rmpce_reference!$F$3, "Middle Income", "High Income"))</f>
        <v>High Income</v>
      </c>
    </row>
    <row r="437" spans="1:27" x14ac:dyDescent="0.25">
      <c r="A437">
        <v>2180</v>
      </c>
      <c r="B437" t="s">
        <v>39</v>
      </c>
      <c r="C437" t="s">
        <v>21</v>
      </c>
      <c r="D437">
        <v>50</v>
      </c>
      <c r="E437" t="s">
        <v>22</v>
      </c>
      <c r="F437" t="s">
        <v>30</v>
      </c>
      <c r="G437">
        <v>20</v>
      </c>
      <c r="H437" s="1" t="str">
        <f>IF(Table1[[#This Row],[anxiety_score]]&lt;=10, "Normal", IF(Table1[[#This Row],[anxiety_score]]&lt;=20, "Moderate", IF(Table1[[#This Row],[anxiety_score]]&lt;=30, "Severe", "Extremely Severe")))</f>
        <v>Moderate</v>
      </c>
      <c r="I437">
        <v>0.99702360000000001</v>
      </c>
      <c r="J437">
        <v>22</v>
      </c>
      <c r="K437" s="1" t="str">
        <f>IF(Table1[[#This Row],[stress_score]]&lt;=10, "Normal", IF(Table1[[#This Row],[stress_score]]&lt;=20, "Moderate", IF(Table1[[#This Row],[stress_score]]&lt;=30, "Severe", "Extremely Severe")))</f>
        <v>Severe</v>
      </c>
      <c r="L437">
        <v>0.97880255999999999</v>
      </c>
      <c r="M437">
        <v>20</v>
      </c>
      <c r="N437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437">
        <v>0.81753799999999999</v>
      </c>
      <c r="P437">
        <v>20.666665999999999</v>
      </c>
      <c r="Q437">
        <f>ROUND(Table1[[#This Row],[dass21_raw_score]],0)</f>
        <v>21</v>
      </c>
      <c r="R437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437">
        <v>0.93112139999999999</v>
      </c>
      <c r="T437">
        <v>2.0260313000000001</v>
      </c>
      <c r="U437">
        <v>5000</v>
      </c>
      <c r="V437" s="1">
        <f>ROUND(Table1[[#This Row],[fmpce]],0)</f>
        <v>5000</v>
      </c>
      <c r="W437">
        <v>68.023319999999998</v>
      </c>
      <c r="X437" s="4">
        <f>Table1[[#This Row],[mpce]]*89</f>
        <v>6054.0754799999995</v>
      </c>
      <c r="Y437" s="2" t="s">
        <v>28</v>
      </c>
      <c r="Z437" s="3">
        <f>VLOOKUP(Y437, rmpce_reference!$B$1:$D$7,3,FALSE) * 89</f>
        <v>6230</v>
      </c>
      <c r="AA437" s="1" t="str">
        <f>IF(Table1[rmpce_inr]&lt;=rmpce_reference!$F$2, "Low Income", IF(Table1[rmpce_inr]&lt;=rmpce_reference!$F$3, "Middle Income", "High Income"))</f>
        <v>Middle Income</v>
      </c>
    </row>
    <row r="438" spans="1:27" x14ac:dyDescent="0.25">
      <c r="A438">
        <v>2181</v>
      </c>
      <c r="B438" t="s">
        <v>39</v>
      </c>
      <c r="C438" t="s">
        <v>21</v>
      </c>
      <c r="D438">
        <v>47</v>
      </c>
      <c r="E438" t="s">
        <v>22</v>
      </c>
      <c r="F438" t="s">
        <v>30</v>
      </c>
      <c r="G438">
        <v>34</v>
      </c>
      <c r="H438" s="1" t="str">
        <f>IF(Table1[[#This Row],[anxiety_score]]&lt;=10, "Normal", IF(Table1[[#This Row],[anxiety_score]]&lt;=20, "Moderate", IF(Table1[[#This Row],[anxiety_score]]&lt;=30, "Severe", "Extremely Severe")))</f>
        <v>Extremely Severe</v>
      </c>
      <c r="I438">
        <v>2.4043359999999998</v>
      </c>
      <c r="J438">
        <v>26</v>
      </c>
      <c r="K438" s="1" t="str">
        <f>IF(Table1[[#This Row],[stress_score]]&lt;=10, "Normal", IF(Table1[[#This Row],[stress_score]]&lt;=20, "Moderate", IF(Table1[[#This Row],[stress_score]]&lt;=30, "Severe", "Extremely Severe")))</f>
        <v>Severe</v>
      </c>
      <c r="L438">
        <v>1.3681251000000001</v>
      </c>
      <c r="M438">
        <v>32</v>
      </c>
      <c r="N438" s="1" t="str">
        <f>IF(Table1[[#This Row],[depression_score]]&lt;=10, "Normal", IF(Table1[[#This Row],[depression_score]]&lt;=20, "Moderate", IF(Table1[[#This Row],[depression_score]]&lt;=30, "Severe", "Extremely Severe")))</f>
        <v>Extremely Severe</v>
      </c>
      <c r="O438">
        <v>1.9733623</v>
      </c>
      <c r="P438">
        <v>30.666665999999999</v>
      </c>
      <c r="Q438">
        <f>ROUND(Table1[[#This Row],[dass21_raw_score]],0)</f>
        <v>31</v>
      </c>
      <c r="R438" s="1" t="str">
        <f>IF(Table1[[#This Row],[round_dass21_raw_score]]&lt;=10, "Normal", IF(Table1[[#This Row],[round_dass21_raw_score]]&lt;=20, "Moderate", IF(Table1[[#This Row],[round_dass21_raw_score]]&lt;=30, "Severe", "Extremely Severe")))</f>
        <v>Extremely Severe</v>
      </c>
      <c r="S438">
        <v>1.9152745</v>
      </c>
      <c r="T438">
        <v>3.0101843000000001</v>
      </c>
      <c r="U438">
        <v>3000</v>
      </c>
      <c r="V438" s="1">
        <f>ROUND(Table1[[#This Row],[fmpce]],0)</f>
        <v>3000</v>
      </c>
      <c r="W438">
        <v>40.813994999999998</v>
      </c>
      <c r="X438" s="4">
        <f>Table1[[#This Row],[mpce]]*89</f>
        <v>3632.4455549999998</v>
      </c>
      <c r="Y438" s="2" t="s">
        <v>32</v>
      </c>
      <c r="Z438" s="3">
        <f>VLOOKUP(Y438, rmpce_reference!$B$1:$D$7,3,FALSE) * 89</f>
        <v>4450</v>
      </c>
      <c r="AA438" s="1" t="str">
        <f>IF(Table1[rmpce_inr]&lt;=rmpce_reference!$F$2, "Low Income", IF(Table1[rmpce_inr]&lt;=rmpce_reference!$F$3, "Middle Income", "High Income"))</f>
        <v>Low Income</v>
      </c>
    </row>
    <row r="439" spans="1:27" x14ac:dyDescent="0.25">
      <c r="A439">
        <v>2182</v>
      </c>
      <c r="B439" t="s">
        <v>39</v>
      </c>
      <c r="C439" t="s">
        <v>33</v>
      </c>
      <c r="D439">
        <v>27</v>
      </c>
      <c r="E439" t="s">
        <v>22</v>
      </c>
      <c r="F439" t="s">
        <v>30</v>
      </c>
      <c r="G439">
        <v>20</v>
      </c>
      <c r="H439" s="1" t="str">
        <f>IF(Table1[[#This Row],[anxiety_score]]&lt;=10, "Normal", IF(Table1[[#This Row],[anxiety_score]]&lt;=20, "Moderate", IF(Table1[[#This Row],[anxiety_score]]&lt;=30, "Severe", "Extremely Severe")))</f>
        <v>Moderate</v>
      </c>
      <c r="I439">
        <v>0.99702360000000001</v>
      </c>
      <c r="J439">
        <v>20</v>
      </c>
      <c r="K439" s="1" t="str">
        <f>IF(Table1[[#This Row],[stress_score]]&lt;=10, "Normal", IF(Table1[[#This Row],[stress_score]]&lt;=20, "Moderate", IF(Table1[[#This Row],[stress_score]]&lt;=30, "Severe", "Extremely Severe")))</f>
        <v>Moderate</v>
      </c>
      <c r="L439">
        <v>0.78414130000000004</v>
      </c>
      <c r="M439">
        <v>24</v>
      </c>
      <c r="N439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439">
        <v>1.2028128</v>
      </c>
      <c r="P439">
        <v>21.333334000000001</v>
      </c>
      <c r="Q439">
        <f>ROUND(Table1[[#This Row],[dass21_raw_score]],0)</f>
        <v>21</v>
      </c>
      <c r="R439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439">
        <v>0.99465924999999999</v>
      </c>
      <c r="T439">
        <v>2.089569</v>
      </c>
      <c r="U439">
        <v>3000</v>
      </c>
      <c r="V439" s="1">
        <f>ROUND(Table1[[#This Row],[fmpce]],0)</f>
        <v>3000</v>
      </c>
      <c r="W439">
        <v>40.813994999999998</v>
      </c>
      <c r="X439" s="4">
        <f>Table1[[#This Row],[mpce]]*89</f>
        <v>3632.4455549999998</v>
      </c>
      <c r="Y439" s="2" t="s">
        <v>32</v>
      </c>
      <c r="Z439" s="3">
        <f>VLOOKUP(Y439, rmpce_reference!$B$1:$D$7,3,FALSE) * 89</f>
        <v>4450</v>
      </c>
      <c r="AA439" s="1" t="str">
        <f>IF(Table1[rmpce_inr]&lt;=rmpce_reference!$F$2, "Low Income", IF(Table1[rmpce_inr]&lt;=rmpce_reference!$F$3, "Middle Income", "High Income"))</f>
        <v>Low Income</v>
      </c>
    </row>
    <row r="440" spans="1:27" x14ac:dyDescent="0.25">
      <c r="A440">
        <v>2183</v>
      </c>
      <c r="B440" t="s">
        <v>39</v>
      </c>
      <c r="C440" t="s">
        <v>33</v>
      </c>
      <c r="D440">
        <v>27</v>
      </c>
      <c r="E440" t="s">
        <v>22</v>
      </c>
      <c r="F440" t="s">
        <v>30</v>
      </c>
      <c r="G440">
        <v>24</v>
      </c>
      <c r="H440" s="1" t="str">
        <f>IF(Table1[[#This Row],[anxiety_score]]&lt;=10, "Normal", IF(Table1[[#This Row],[anxiety_score]]&lt;=20, "Moderate", IF(Table1[[#This Row],[anxiety_score]]&lt;=30, "Severe", "Extremely Severe")))</f>
        <v>Severe</v>
      </c>
      <c r="I440">
        <v>1.3991127999999999</v>
      </c>
      <c r="J440">
        <v>36</v>
      </c>
      <c r="K440" s="1" t="str">
        <f>IF(Table1[[#This Row],[stress_score]]&lt;=10, "Normal", IF(Table1[[#This Row],[stress_score]]&lt;=20, "Moderate", IF(Table1[[#This Row],[stress_score]]&lt;=30, "Severe", "Extremely Severe")))</f>
        <v>Extremely Severe</v>
      </c>
      <c r="L440">
        <v>2.3414313999999998</v>
      </c>
      <c r="M440">
        <v>32</v>
      </c>
      <c r="N440" s="1" t="str">
        <f>IF(Table1[[#This Row],[depression_score]]&lt;=10, "Normal", IF(Table1[[#This Row],[depression_score]]&lt;=20, "Moderate", IF(Table1[[#This Row],[depression_score]]&lt;=30, "Severe", "Extremely Severe")))</f>
        <v>Extremely Severe</v>
      </c>
      <c r="O440">
        <v>1.9733623</v>
      </c>
      <c r="P440">
        <v>30.666665999999999</v>
      </c>
      <c r="Q440">
        <f>ROUND(Table1[[#This Row],[dass21_raw_score]],0)</f>
        <v>31</v>
      </c>
      <c r="R440" s="1" t="str">
        <f>IF(Table1[[#This Row],[round_dass21_raw_score]]&lt;=10, "Normal", IF(Table1[[#This Row],[round_dass21_raw_score]]&lt;=20, "Moderate", IF(Table1[[#This Row],[round_dass21_raw_score]]&lt;=30, "Severe", "Extremely Severe")))</f>
        <v>Extremely Severe</v>
      </c>
      <c r="S440">
        <v>1.9046354999999999</v>
      </c>
      <c r="T440">
        <v>2.9995455999999998</v>
      </c>
      <c r="U440">
        <v>6250</v>
      </c>
      <c r="V440" s="1">
        <f>ROUND(Table1[[#This Row],[fmpce]],0)</f>
        <v>6250</v>
      </c>
      <c r="W440">
        <v>85.029150000000001</v>
      </c>
      <c r="X440" s="4">
        <f>Table1[[#This Row],[mpce]]*89</f>
        <v>7567.5943500000003</v>
      </c>
      <c r="Y440" s="2" t="s">
        <v>31</v>
      </c>
      <c r="Z440" s="3">
        <f>VLOOKUP(Y440, rmpce_reference!$B$1:$D$7,3,FALSE) * 89</f>
        <v>8010</v>
      </c>
      <c r="AA440" s="1" t="str">
        <f>IF(Table1[rmpce_inr]&lt;=rmpce_reference!$F$2, "Low Income", IF(Table1[rmpce_inr]&lt;=rmpce_reference!$F$3, "Middle Income", "High Income"))</f>
        <v>High Income</v>
      </c>
    </row>
    <row r="441" spans="1:27" x14ac:dyDescent="0.25">
      <c r="A441">
        <v>2184</v>
      </c>
      <c r="B441" t="s">
        <v>39</v>
      </c>
      <c r="C441" t="s">
        <v>29</v>
      </c>
      <c r="D441">
        <v>40</v>
      </c>
      <c r="E441" t="s">
        <v>25</v>
      </c>
      <c r="F441" t="s">
        <v>30</v>
      </c>
      <c r="G441">
        <v>16</v>
      </c>
      <c r="H441" s="1" t="str">
        <f>IF(Table1[[#This Row],[anxiety_score]]&lt;=10, "Normal", IF(Table1[[#This Row],[anxiety_score]]&lt;=20, "Moderate", IF(Table1[[#This Row],[anxiety_score]]&lt;=30, "Severe", "Extremely Severe")))</f>
        <v>Moderate</v>
      </c>
      <c r="I441">
        <v>0.59493434000000001</v>
      </c>
      <c r="J441">
        <v>26</v>
      </c>
      <c r="K441" s="1" t="str">
        <f>IF(Table1[[#This Row],[stress_score]]&lt;=10, "Normal", IF(Table1[[#This Row],[stress_score]]&lt;=20, "Moderate", IF(Table1[[#This Row],[stress_score]]&lt;=30, "Severe", "Extremely Severe")))</f>
        <v>Severe</v>
      </c>
      <c r="L441">
        <v>1.3681251000000001</v>
      </c>
      <c r="M441">
        <v>26</v>
      </c>
      <c r="N441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441">
        <v>1.3954502</v>
      </c>
      <c r="P441">
        <v>22.666665999999999</v>
      </c>
      <c r="Q441">
        <f>ROUND(Table1[[#This Row],[dass21_raw_score]],0)</f>
        <v>23</v>
      </c>
      <c r="R441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441">
        <v>1.1195033000000001</v>
      </c>
      <c r="T441">
        <v>2.2144132000000001</v>
      </c>
      <c r="U441">
        <v>5000</v>
      </c>
      <c r="V441" s="1">
        <f>ROUND(Table1[[#This Row],[fmpce]],0)</f>
        <v>5000</v>
      </c>
      <c r="W441">
        <v>68.023319999999998</v>
      </c>
      <c r="X441" s="4">
        <f>Table1[[#This Row],[mpce]]*89</f>
        <v>6054.0754799999995</v>
      </c>
      <c r="Y441" s="2" t="s">
        <v>28</v>
      </c>
      <c r="Z441" s="3">
        <f>VLOOKUP(Y441, rmpce_reference!$B$1:$D$7,3,FALSE) * 89</f>
        <v>6230</v>
      </c>
      <c r="AA441" s="1" t="str">
        <f>IF(Table1[rmpce_inr]&lt;=rmpce_reference!$F$2, "Low Income", IF(Table1[rmpce_inr]&lt;=rmpce_reference!$F$3, "Middle Income", "High Income"))</f>
        <v>Middle Income</v>
      </c>
    </row>
    <row r="442" spans="1:27" x14ac:dyDescent="0.25">
      <c r="A442">
        <v>2185</v>
      </c>
      <c r="B442" t="s">
        <v>39</v>
      </c>
      <c r="C442" t="s">
        <v>29</v>
      </c>
      <c r="D442">
        <v>34</v>
      </c>
      <c r="E442" t="s">
        <v>22</v>
      </c>
      <c r="F442" t="s">
        <v>30</v>
      </c>
      <c r="G442">
        <v>10</v>
      </c>
      <c r="H442" s="1" t="str">
        <f>IF(Table1[[#This Row],[anxiety_score]]&lt;=10, "Normal", IF(Table1[[#This Row],[anxiety_score]]&lt;=20, "Moderate", IF(Table1[[#This Row],[anxiety_score]]&lt;=30, "Severe", "Extremely Severe")))</f>
        <v>Normal</v>
      </c>
      <c r="I442">
        <v>-8.1994660000000007E-3</v>
      </c>
      <c r="J442">
        <v>8</v>
      </c>
      <c r="K442" s="1" t="str">
        <f>IF(Table1[[#This Row],[stress_score]]&lt;=10, "Normal", IF(Table1[[#This Row],[stress_score]]&lt;=20, "Moderate", IF(Table1[[#This Row],[stress_score]]&lt;=30, "Severe", "Extremely Severe")))</f>
        <v>Normal</v>
      </c>
      <c r="L442">
        <v>-0.38382620000000001</v>
      </c>
      <c r="M442">
        <v>6</v>
      </c>
      <c r="N442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442">
        <v>-0.53092379999999995</v>
      </c>
      <c r="P442">
        <v>8</v>
      </c>
      <c r="Q442">
        <f>ROUND(Table1[[#This Row],[dass21_raw_score]],0)</f>
        <v>8</v>
      </c>
      <c r="R442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442">
        <v>-0.30764982000000002</v>
      </c>
      <c r="T442">
        <v>0.78726006000000004</v>
      </c>
      <c r="U442">
        <v>6666.6665000000003</v>
      </c>
      <c r="V442" s="1">
        <f>ROUND(Table1[[#This Row],[fmpce]],0)</f>
        <v>6667</v>
      </c>
      <c r="W442">
        <v>90.697760000000002</v>
      </c>
      <c r="X442" s="4">
        <f>Table1[[#This Row],[mpce]]*89</f>
        <v>8072.1006400000006</v>
      </c>
      <c r="Y442" s="2" t="s">
        <v>31</v>
      </c>
      <c r="Z442" s="3">
        <f>VLOOKUP(Y442, rmpce_reference!$B$1:$D$7,3,FALSE) * 89</f>
        <v>8010</v>
      </c>
      <c r="AA442" s="1" t="str">
        <f>IF(Table1[rmpce_inr]&lt;=rmpce_reference!$F$2, "Low Income", IF(Table1[rmpce_inr]&lt;=rmpce_reference!$F$3, "Middle Income", "High Income"))</f>
        <v>High Income</v>
      </c>
    </row>
    <row r="443" spans="1:27" x14ac:dyDescent="0.25">
      <c r="A443">
        <v>2186</v>
      </c>
      <c r="B443" t="s">
        <v>39</v>
      </c>
      <c r="C443" t="s">
        <v>21</v>
      </c>
      <c r="D443">
        <v>41</v>
      </c>
      <c r="E443" t="s">
        <v>22</v>
      </c>
      <c r="F443" t="s">
        <v>30</v>
      </c>
      <c r="G443">
        <v>20</v>
      </c>
      <c r="H443" s="1" t="str">
        <f>IF(Table1[[#This Row],[anxiety_score]]&lt;=10, "Normal", IF(Table1[[#This Row],[anxiety_score]]&lt;=20, "Moderate", IF(Table1[[#This Row],[anxiety_score]]&lt;=30, "Severe", "Extremely Severe")))</f>
        <v>Moderate</v>
      </c>
      <c r="I443">
        <v>0.99702360000000001</v>
      </c>
      <c r="J443">
        <v>20</v>
      </c>
      <c r="K443" s="1" t="str">
        <f>IF(Table1[[#This Row],[stress_score]]&lt;=10, "Normal", IF(Table1[[#This Row],[stress_score]]&lt;=20, "Moderate", IF(Table1[[#This Row],[stress_score]]&lt;=30, "Severe", "Extremely Severe")))</f>
        <v>Moderate</v>
      </c>
      <c r="L443">
        <v>0.78414130000000004</v>
      </c>
      <c r="M443">
        <v>24</v>
      </c>
      <c r="N443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443">
        <v>1.2028128</v>
      </c>
      <c r="P443">
        <v>21.333334000000001</v>
      </c>
      <c r="Q443">
        <f>ROUND(Table1[[#This Row],[dass21_raw_score]],0)</f>
        <v>21</v>
      </c>
      <c r="R443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443">
        <v>0.99465924999999999</v>
      </c>
      <c r="T443">
        <v>2.089569</v>
      </c>
      <c r="U443">
        <v>3250</v>
      </c>
      <c r="V443" s="1">
        <f>ROUND(Table1[[#This Row],[fmpce]],0)</f>
        <v>3250</v>
      </c>
      <c r="W443">
        <v>44.215159999999997</v>
      </c>
      <c r="X443" s="4">
        <f>Table1[[#This Row],[mpce]]*89</f>
        <v>3935.1492399999997</v>
      </c>
      <c r="Y443" s="2" t="s">
        <v>32</v>
      </c>
      <c r="Z443" s="3">
        <f>VLOOKUP(Y443, rmpce_reference!$B$1:$D$7,3,FALSE) * 89</f>
        <v>4450</v>
      </c>
      <c r="AA443" s="1" t="str">
        <f>IF(Table1[rmpce_inr]&lt;=rmpce_reference!$F$2, "Low Income", IF(Table1[rmpce_inr]&lt;=rmpce_reference!$F$3, "Middle Income", "High Income"))</f>
        <v>Low Income</v>
      </c>
    </row>
    <row r="444" spans="1:27" x14ac:dyDescent="0.25">
      <c r="A444">
        <v>2187</v>
      </c>
      <c r="B444" t="s">
        <v>39</v>
      </c>
      <c r="C444" t="s">
        <v>21</v>
      </c>
      <c r="D444">
        <v>50</v>
      </c>
      <c r="E444" t="s">
        <v>22</v>
      </c>
      <c r="F444" t="s">
        <v>30</v>
      </c>
      <c r="G444">
        <v>10</v>
      </c>
      <c r="H444" s="1" t="str">
        <f>IF(Table1[[#This Row],[anxiety_score]]&lt;=10, "Normal", IF(Table1[[#This Row],[anxiety_score]]&lt;=20, "Moderate", IF(Table1[[#This Row],[anxiety_score]]&lt;=30, "Severe", "Extremely Severe")))</f>
        <v>Normal</v>
      </c>
      <c r="I444">
        <v>-8.1994660000000007E-3</v>
      </c>
      <c r="J444">
        <v>10</v>
      </c>
      <c r="K444" s="1" t="str">
        <f>IF(Table1[[#This Row],[stress_score]]&lt;=10, "Normal", IF(Table1[[#This Row],[stress_score]]&lt;=20, "Moderate", IF(Table1[[#This Row],[stress_score]]&lt;=30, "Severe", "Extremely Severe")))</f>
        <v>Normal</v>
      </c>
      <c r="L444">
        <v>-0.18916494</v>
      </c>
      <c r="M444">
        <v>8</v>
      </c>
      <c r="N444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444">
        <v>-0.33828637</v>
      </c>
      <c r="P444">
        <v>9.3333329999999997</v>
      </c>
      <c r="Q444">
        <f>ROUND(Table1[[#This Row],[dass21_raw_score]],0)</f>
        <v>9</v>
      </c>
      <c r="R444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444">
        <v>-0.17855025999999999</v>
      </c>
      <c r="T444">
        <v>0.91635966000000002</v>
      </c>
      <c r="U444">
        <v>5500</v>
      </c>
      <c r="V444" s="1">
        <f>ROUND(Table1[[#This Row],[fmpce]],0)</f>
        <v>5500</v>
      </c>
      <c r="W444">
        <v>74.825649999999996</v>
      </c>
      <c r="X444" s="4">
        <f>Table1[[#This Row],[mpce]]*89</f>
        <v>6659.4828499999994</v>
      </c>
      <c r="Y444" s="2" t="s">
        <v>28</v>
      </c>
      <c r="Z444" s="3">
        <f>VLOOKUP(Y444, rmpce_reference!$B$1:$D$7,3,FALSE) * 89</f>
        <v>6230</v>
      </c>
      <c r="AA444" s="1" t="str">
        <f>IF(Table1[rmpce_inr]&lt;=rmpce_reference!$F$2, "Low Income", IF(Table1[rmpce_inr]&lt;=rmpce_reference!$F$3, "Middle Income", "High Income"))</f>
        <v>Middle Income</v>
      </c>
    </row>
    <row r="445" spans="1:27" x14ac:dyDescent="0.25">
      <c r="A445">
        <v>2188</v>
      </c>
      <c r="B445" t="s">
        <v>39</v>
      </c>
      <c r="C445" t="s">
        <v>29</v>
      </c>
      <c r="D445">
        <v>31</v>
      </c>
      <c r="E445" t="s">
        <v>22</v>
      </c>
      <c r="F445" t="s">
        <v>30</v>
      </c>
      <c r="G445">
        <v>34</v>
      </c>
      <c r="H445" s="1" t="str">
        <f>IF(Table1[[#This Row],[anxiety_score]]&lt;=10, "Normal", IF(Table1[[#This Row],[anxiety_score]]&lt;=20, "Moderate", IF(Table1[[#This Row],[anxiety_score]]&lt;=30, "Severe", "Extremely Severe")))</f>
        <v>Extremely Severe</v>
      </c>
      <c r="I445">
        <v>2.4043359999999998</v>
      </c>
      <c r="J445">
        <v>32</v>
      </c>
      <c r="K445" s="1" t="str">
        <f>IF(Table1[[#This Row],[stress_score]]&lt;=10, "Normal", IF(Table1[[#This Row],[stress_score]]&lt;=20, "Moderate", IF(Table1[[#This Row],[stress_score]]&lt;=30, "Severe", "Extremely Severe")))</f>
        <v>Extremely Severe</v>
      </c>
      <c r="L445">
        <v>1.9521089</v>
      </c>
      <c r="M445">
        <v>36</v>
      </c>
      <c r="N445" s="1" t="str">
        <f>IF(Table1[[#This Row],[depression_score]]&lt;=10, "Normal", IF(Table1[[#This Row],[depression_score]]&lt;=20, "Moderate", IF(Table1[[#This Row],[depression_score]]&lt;=30, "Severe", "Extremely Severe")))</f>
        <v>Extremely Severe</v>
      </c>
      <c r="O445">
        <v>2.3586369999999999</v>
      </c>
      <c r="P445">
        <v>34</v>
      </c>
      <c r="Q445">
        <f>ROUND(Table1[[#This Row],[dass21_raw_score]],0)</f>
        <v>34</v>
      </c>
      <c r="R445" s="1" t="str">
        <f>IF(Table1[[#This Row],[round_dass21_raw_score]]&lt;=10, "Normal", IF(Table1[[#This Row],[round_dass21_raw_score]]&lt;=20, "Moderate", IF(Table1[[#This Row],[round_dass21_raw_score]]&lt;=30, "Severe", "Extremely Severe")))</f>
        <v>Extremely Severe</v>
      </c>
      <c r="S445">
        <v>2.2383606</v>
      </c>
      <c r="T445">
        <v>3.3332704999999998</v>
      </c>
      <c r="U445">
        <v>3000</v>
      </c>
      <c r="V445" s="1">
        <f>ROUND(Table1[[#This Row],[fmpce]],0)</f>
        <v>3000</v>
      </c>
      <c r="W445">
        <v>40.813994999999998</v>
      </c>
      <c r="X445" s="4">
        <f>Table1[[#This Row],[mpce]]*89</f>
        <v>3632.4455549999998</v>
      </c>
      <c r="Y445" s="2" t="s">
        <v>32</v>
      </c>
      <c r="Z445" s="3">
        <f>VLOOKUP(Y445, rmpce_reference!$B$1:$D$7,3,FALSE) * 89</f>
        <v>4450</v>
      </c>
      <c r="AA445" s="1" t="str">
        <f>IF(Table1[rmpce_inr]&lt;=rmpce_reference!$F$2, "Low Income", IF(Table1[rmpce_inr]&lt;=rmpce_reference!$F$3, "Middle Income", "High Income"))</f>
        <v>Low Income</v>
      </c>
    </row>
    <row r="446" spans="1:27" x14ac:dyDescent="0.25">
      <c r="A446">
        <v>2189</v>
      </c>
      <c r="B446" t="s">
        <v>39</v>
      </c>
      <c r="C446" t="s">
        <v>29</v>
      </c>
      <c r="D446">
        <v>33</v>
      </c>
      <c r="E446" t="s">
        <v>22</v>
      </c>
      <c r="F446" t="s">
        <v>27</v>
      </c>
      <c r="G446">
        <v>12</v>
      </c>
      <c r="H446" s="1" t="str">
        <f>IF(Table1[[#This Row],[anxiety_score]]&lt;=10, "Normal", IF(Table1[[#This Row],[anxiety_score]]&lt;=20, "Moderate", IF(Table1[[#This Row],[anxiety_score]]&lt;=30, "Severe", "Extremely Severe")))</f>
        <v>Moderate</v>
      </c>
      <c r="I446">
        <v>0.19284514999999999</v>
      </c>
      <c r="J446">
        <v>10</v>
      </c>
      <c r="K446" s="1" t="str">
        <f>IF(Table1[[#This Row],[stress_score]]&lt;=10, "Normal", IF(Table1[[#This Row],[stress_score]]&lt;=20, "Moderate", IF(Table1[[#This Row],[stress_score]]&lt;=30, "Severe", "Extremely Severe")))</f>
        <v>Normal</v>
      </c>
      <c r="L446">
        <v>-0.18916494</v>
      </c>
      <c r="M446">
        <v>10</v>
      </c>
      <c r="N446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446">
        <v>-0.14564899000000001</v>
      </c>
      <c r="P446">
        <v>10.666667</v>
      </c>
      <c r="Q446">
        <f>ROUND(Table1[[#This Row],[dass21_raw_score]],0)</f>
        <v>11</v>
      </c>
      <c r="R446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446">
        <v>-4.7322925000000002E-2</v>
      </c>
      <c r="T446">
        <v>1.047587</v>
      </c>
      <c r="U446">
        <v>5000</v>
      </c>
      <c r="V446" s="1">
        <f>ROUND(Table1[[#This Row],[fmpce]],0)</f>
        <v>5000</v>
      </c>
      <c r="W446">
        <v>68.023319999999998</v>
      </c>
      <c r="X446" s="4">
        <f>Table1[[#This Row],[mpce]]*89</f>
        <v>6054.0754799999995</v>
      </c>
      <c r="Y446" s="2" t="s">
        <v>28</v>
      </c>
      <c r="Z446" s="3">
        <f>VLOOKUP(Y446, rmpce_reference!$B$1:$D$7,3,FALSE) * 89</f>
        <v>6230</v>
      </c>
      <c r="AA446" s="1" t="str">
        <f>IF(Table1[rmpce_inr]&lt;=rmpce_reference!$F$2, "Low Income", IF(Table1[rmpce_inr]&lt;=rmpce_reference!$F$3, "Middle Income", "High Income"))</f>
        <v>Middle Income</v>
      </c>
    </row>
    <row r="447" spans="1:27" x14ac:dyDescent="0.25">
      <c r="A447">
        <v>2190</v>
      </c>
      <c r="B447" t="s">
        <v>39</v>
      </c>
      <c r="C447" t="s">
        <v>36</v>
      </c>
      <c r="D447">
        <v>51</v>
      </c>
      <c r="E447" t="s">
        <v>22</v>
      </c>
      <c r="F447" t="s">
        <v>23</v>
      </c>
      <c r="G447">
        <v>30</v>
      </c>
      <c r="H447" s="1" t="str">
        <f>IF(Table1[[#This Row],[anxiety_score]]&lt;=10, "Normal", IF(Table1[[#This Row],[anxiety_score]]&lt;=20, "Moderate", IF(Table1[[#This Row],[anxiety_score]]&lt;=30, "Severe", "Extremely Severe")))</f>
        <v>Severe</v>
      </c>
      <c r="I447">
        <v>2.0022465999999999</v>
      </c>
      <c r="J447">
        <v>26</v>
      </c>
      <c r="K447" s="1" t="str">
        <f>IF(Table1[[#This Row],[stress_score]]&lt;=10, "Normal", IF(Table1[[#This Row],[stress_score]]&lt;=20, "Moderate", IF(Table1[[#This Row],[stress_score]]&lt;=30, "Severe", "Extremely Severe")))</f>
        <v>Severe</v>
      </c>
      <c r="L447">
        <v>1.3681251000000001</v>
      </c>
      <c r="M447">
        <v>30</v>
      </c>
      <c r="N447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447">
        <v>1.7807249999999999</v>
      </c>
      <c r="P447">
        <v>28.666665999999999</v>
      </c>
      <c r="Q447">
        <f>ROUND(Table1[[#This Row],[dass21_raw_score]],0)</f>
        <v>29</v>
      </c>
      <c r="R447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447">
        <v>1.7170322</v>
      </c>
      <c r="T447">
        <v>2.8119420000000002</v>
      </c>
      <c r="U447">
        <v>2750</v>
      </c>
      <c r="V447" s="1">
        <f>ROUND(Table1[[#This Row],[fmpce]],0)</f>
        <v>2750</v>
      </c>
      <c r="W447">
        <v>37.412827</v>
      </c>
      <c r="X447" s="4">
        <f>Table1[[#This Row],[mpce]]*89</f>
        <v>3329.7416029999999</v>
      </c>
      <c r="Y447" s="2" t="s">
        <v>34</v>
      </c>
      <c r="Z447" s="3">
        <f>VLOOKUP(Y447, rmpce_reference!$B$1:$D$7,3,FALSE) * 89</f>
        <v>2848</v>
      </c>
      <c r="AA447" s="1" t="str">
        <f>IF(Table1[rmpce_inr]&lt;=rmpce_reference!$F$2, "Low Income", IF(Table1[rmpce_inr]&lt;=rmpce_reference!$F$3, "Middle Income", "High Income"))</f>
        <v>Low Income</v>
      </c>
    </row>
    <row r="448" spans="1:27" x14ac:dyDescent="0.25">
      <c r="A448">
        <v>2191</v>
      </c>
      <c r="B448" t="s">
        <v>39</v>
      </c>
      <c r="C448" t="s">
        <v>33</v>
      </c>
      <c r="D448">
        <v>30</v>
      </c>
      <c r="E448" t="s">
        <v>22</v>
      </c>
      <c r="F448" t="s">
        <v>30</v>
      </c>
      <c r="G448">
        <v>10</v>
      </c>
      <c r="H448" s="1" t="str">
        <f>IF(Table1[[#This Row],[anxiety_score]]&lt;=10, "Normal", IF(Table1[[#This Row],[anxiety_score]]&lt;=20, "Moderate", IF(Table1[[#This Row],[anxiety_score]]&lt;=30, "Severe", "Extremely Severe")))</f>
        <v>Normal</v>
      </c>
      <c r="I448">
        <v>-8.1994660000000007E-3</v>
      </c>
      <c r="J448">
        <v>10</v>
      </c>
      <c r="K448" s="1" t="str">
        <f>IF(Table1[[#This Row],[stress_score]]&lt;=10, "Normal", IF(Table1[[#This Row],[stress_score]]&lt;=20, "Moderate", IF(Table1[[#This Row],[stress_score]]&lt;=30, "Severe", "Extremely Severe")))</f>
        <v>Normal</v>
      </c>
      <c r="L448">
        <v>-0.18916494</v>
      </c>
      <c r="M448">
        <v>12</v>
      </c>
      <c r="N448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448">
        <v>4.6988415999999998E-2</v>
      </c>
      <c r="P448">
        <v>10.666667</v>
      </c>
      <c r="Q448">
        <f>ROUND(Table1[[#This Row],[dass21_raw_score]],0)</f>
        <v>11</v>
      </c>
      <c r="R448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448">
        <v>-5.0125330000000003E-2</v>
      </c>
      <c r="T448">
        <v>1.0447845</v>
      </c>
      <c r="U448">
        <v>2666.6667000000002</v>
      </c>
      <c r="V448" s="1">
        <f>ROUND(Table1[[#This Row],[fmpce]],0)</f>
        <v>2667</v>
      </c>
      <c r="W448">
        <v>36.279105999999999</v>
      </c>
      <c r="X448" s="4">
        <f>Table1[[#This Row],[mpce]]*89</f>
        <v>3228.8404339999997</v>
      </c>
      <c r="Y448" s="2" t="s">
        <v>34</v>
      </c>
      <c r="Z448" s="3">
        <f>VLOOKUP(Y448, rmpce_reference!$B$1:$D$7,3,FALSE) * 89</f>
        <v>2848</v>
      </c>
      <c r="AA448" s="1" t="str">
        <f>IF(Table1[rmpce_inr]&lt;=rmpce_reference!$F$2, "Low Income", IF(Table1[rmpce_inr]&lt;=rmpce_reference!$F$3, "Middle Income", "High Income"))</f>
        <v>Low Income</v>
      </c>
    </row>
    <row r="449" spans="1:27" x14ac:dyDescent="0.25">
      <c r="A449">
        <v>2192</v>
      </c>
      <c r="B449" t="s">
        <v>39</v>
      </c>
      <c r="C449" t="s">
        <v>21</v>
      </c>
      <c r="D449">
        <v>45</v>
      </c>
      <c r="E449" t="s">
        <v>22</v>
      </c>
      <c r="F449" t="s">
        <v>30</v>
      </c>
      <c r="G449">
        <v>34</v>
      </c>
      <c r="H449" s="1" t="str">
        <f>IF(Table1[[#This Row],[anxiety_score]]&lt;=10, "Normal", IF(Table1[[#This Row],[anxiety_score]]&lt;=20, "Moderate", IF(Table1[[#This Row],[anxiety_score]]&lt;=30, "Severe", "Extremely Severe")))</f>
        <v>Extremely Severe</v>
      </c>
      <c r="I449">
        <v>2.4043359999999998</v>
      </c>
      <c r="J449">
        <v>42</v>
      </c>
      <c r="K449" s="1" t="str">
        <f>IF(Table1[[#This Row],[stress_score]]&lt;=10, "Normal", IF(Table1[[#This Row],[stress_score]]&lt;=20, "Moderate", IF(Table1[[#This Row],[stress_score]]&lt;=30, "Severe", "Extremely Severe")))</f>
        <v>Extremely Severe</v>
      </c>
      <c r="L449">
        <v>2.9254150000000001</v>
      </c>
      <c r="M449">
        <v>42</v>
      </c>
      <c r="N449" s="1" t="str">
        <f>IF(Table1[[#This Row],[depression_score]]&lt;=10, "Normal", IF(Table1[[#This Row],[depression_score]]&lt;=20, "Moderate", IF(Table1[[#This Row],[depression_score]]&lt;=30, "Severe", "Extremely Severe")))</f>
        <v>Extremely Severe</v>
      </c>
      <c r="O449">
        <v>2.9365494000000001</v>
      </c>
      <c r="P449">
        <v>39.333331999999999</v>
      </c>
      <c r="Q449">
        <f>ROUND(Table1[[#This Row],[dass21_raw_score]],0)</f>
        <v>39</v>
      </c>
      <c r="R449" s="1" t="str">
        <f>IF(Table1[[#This Row],[round_dass21_raw_score]]&lt;=10, "Normal", IF(Table1[[#This Row],[round_dass21_raw_score]]&lt;=20, "Moderate", IF(Table1[[#This Row],[round_dass21_raw_score]]&lt;=30, "Severe", "Extremely Severe")))</f>
        <v>Extremely Severe</v>
      </c>
      <c r="S449">
        <v>2.7554335999999999</v>
      </c>
      <c r="T449">
        <v>3.8503435000000001</v>
      </c>
      <c r="U449">
        <v>3000</v>
      </c>
      <c r="V449" s="1">
        <f>ROUND(Table1[[#This Row],[fmpce]],0)</f>
        <v>3000</v>
      </c>
      <c r="W449">
        <v>40.813994999999998</v>
      </c>
      <c r="X449" s="4">
        <f>Table1[[#This Row],[mpce]]*89</f>
        <v>3632.4455549999998</v>
      </c>
      <c r="Y449" s="2" t="s">
        <v>32</v>
      </c>
      <c r="Z449" s="3">
        <f>VLOOKUP(Y449, rmpce_reference!$B$1:$D$7,3,FALSE) * 89</f>
        <v>4450</v>
      </c>
      <c r="AA449" s="1" t="str">
        <f>IF(Table1[rmpce_inr]&lt;=rmpce_reference!$F$2, "Low Income", IF(Table1[rmpce_inr]&lt;=rmpce_reference!$F$3, "Middle Income", "High Income"))</f>
        <v>Low Income</v>
      </c>
    </row>
    <row r="450" spans="1:27" x14ac:dyDescent="0.25">
      <c r="A450">
        <v>2193</v>
      </c>
      <c r="B450" t="s">
        <v>39</v>
      </c>
      <c r="C450" t="s">
        <v>33</v>
      </c>
      <c r="D450">
        <v>28</v>
      </c>
      <c r="E450" t="s">
        <v>22</v>
      </c>
      <c r="F450" t="s">
        <v>30</v>
      </c>
      <c r="G450">
        <v>32</v>
      </c>
      <c r="H450" s="1" t="str">
        <f>IF(Table1[[#This Row],[anxiety_score]]&lt;=10, "Normal", IF(Table1[[#This Row],[anxiety_score]]&lt;=20, "Moderate", IF(Table1[[#This Row],[anxiety_score]]&lt;=30, "Severe", "Extremely Severe")))</f>
        <v>Extremely Severe</v>
      </c>
      <c r="I450">
        <v>2.2032911999999998</v>
      </c>
      <c r="J450">
        <v>30</v>
      </c>
      <c r="K450" s="1" t="str">
        <f>IF(Table1[[#This Row],[stress_score]]&lt;=10, "Normal", IF(Table1[[#This Row],[stress_score]]&lt;=20, "Moderate", IF(Table1[[#This Row],[stress_score]]&lt;=30, "Severe", "Extremely Severe")))</f>
        <v>Severe</v>
      </c>
      <c r="L450">
        <v>1.7574476000000001</v>
      </c>
      <c r="M450">
        <v>32</v>
      </c>
      <c r="N450" s="1" t="str">
        <f>IF(Table1[[#This Row],[depression_score]]&lt;=10, "Normal", IF(Table1[[#This Row],[depression_score]]&lt;=20, "Moderate", IF(Table1[[#This Row],[depression_score]]&lt;=30, "Severe", "Extremely Severe")))</f>
        <v>Extremely Severe</v>
      </c>
      <c r="O450">
        <v>1.9733623</v>
      </c>
      <c r="P450">
        <v>31.333334000000001</v>
      </c>
      <c r="Q450">
        <f>ROUND(Table1[[#This Row],[dass21_raw_score]],0)</f>
        <v>31</v>
      </c>
      <c r="R450" s="1" t="str">
        <f>IF(Table1[[#This Row],[round_dass21_raw_score]]&lt;=10, "Normal", IF(Table1[[#This Row],[round_dass21_raw_score]]&lt;=20, "Moderate", IF(Table1[[#This Row],[round_dass21_raw_score]]&lt;=30, "Severe", "Extremely Severe")))</f>
        <v>Extremely Severe</v>
      </c>
      <c r="S450">
        <v>1.9780336999999999</v>
      </c>
      <c r="T450">
        <v>3.0729437000000002</v>
      </c>
      <c r="U450">
        <v>4500</v>
      </c>
      <c r="V450" s="1">
        <f>ROUND(Table1[[#This Row],[fmpce]],0)</f>
        <v>4500</v>
      </c>
      <c r="W450">
        <v>61.220993</v>
      </c>
      <c r="X450" s="4">
        <f>Table1[[#This Row],[mpce]]*89</f>
        <v>5448.668377</v>
      </c>
      <c r="Y450" s="2" t="s">
        <v>28</v>
      </c>
      <c r="Z450" s="3">
        <f>VLOOKUP(Y450, rmpce_reference!$B$1:$D$7,3,FALSE) * 89</f>
        <v>6230</v>
      </c>
      <c r="AA450" s="1" t="str">
        <f>IF(Table1[rmpce_inr]&lt;=rmpce_reference!$F$2, "Low Income", IF(Table1[rmpce_inr]&lt;=rmpce_reference!$F$3, "Middle Income", "High Income"))</f>
        <v>Middle Income</v>
      </c>
    </row>
    <row r="451" spans="1:27" x14ac:dyDescent="0.25">
      <c r="A451">
        <v>2194</v>
      </c>
      <c r="B451" t="s">
        <v>39</v>
      </c>
      <c r="C451" t="s">
        <v>21</v>
      </c>
      <c r="D451">
        <v>49</v>
      </c>
      <c r="E451" t="s">
        <v>22</v>
      </c>
      <c r="F451" t="s">
        <v>23</v>
      </c>
      <c r="G451">
        <v>36</v>
      </c>
      <c r="H451" s="1" t="str">
        <f>IF(Table1[[#This Row],[anxiety_score]]&lt;=10, "Normal", IF(Table1[[#This Row],[anxiety_score]]&lt;=20, "Moderate", IF(Table1[[#This Row],[anxiety_score]]&lt;=30, "Severe", "Extremely Severe")))</f>
        <v>Extremely Severe</v>
      </c>
      <c r="I451">
        <v>2.6053804999999999</v>
      </c>
      <c r="J451">
        <v>38</v>
      </c>
      <c r="K451" s="1" t="str">
        <f>IF(Table1[[#This Row],[stress_score]]&lt;=10, "Normal", IF(Table1[[#This Row],[stress_score]]&lt;=20, "Moderate", IF(Table1[[#This Row],[stress_score]]&lt;=30, "Severe", "Extremely Severe")))</f>
        <v>Extremely Severe</v>
      </c>
      <c r="L451">
        <v>2.5360925000000001</v>
      </c>
      <c r="M451">
        <v>38</v>
      </c>
      <c r="N451" s="1" t="str">
        <f>IF(Table1[[#This Row],[depression_score]]&lt;=10, "Normal", IF(Table1[[#This Row],[depression_score]]&lt;=20, "Moderate", IF(Table1[[#This Row],[depression_score]]&lt;=30, "Severe", "Extremely Severe")))</f>
        <v>Extremely Severe</v>
      </c>
      <c r="O451">
        <v>2.5512744999999999</v>
      </c>
      <c r="P451">
        <v>37.333331999999999</v>
      </c>
      <c r="Q451">
        <f>ROUND(Table1[[#This Row],[dass21_raw_score]],0)</f>
        <v>37</v>
      </c>
      <c r="R451" s="1" t="str">
        <f>IF(Table1[[#This Row],[round_dass21_raw_score]]&lt;=10, "Normal", IF(Table1[[#This Row],[round_dass21_raw_score]]&lt;=20, "Moderate", IF(Table1[[#This Row],[round_dass21_raw_score]]&lt;=30, "Severe", "Extremely Severe")))</f>
        <v>Extremely Severe</v>
      </c>
      <c r="S451">
        <v>2.5642493000000002</v>
      </c>
      <c r="T451">
        <v>3.6591591999999999</v>
      </c>
      <c r="U451">
        <v>3666.6667000000002</v>
      </c>
      <c r="V451" s="1">
        <f>ROUND(Table1[[#This Row],[fmpce]],0)</f>
        <v>3667</v>
      </c>
      <c r="W451">
        <v>49.883774000000003</v>
      </c>
      <c r="X451" s="4">
        <f>Table1[[#This Row],[mpce]]*89</f>
        <v>4439.6558860000005</v>
      </c>
      <c r="Y451" s="2" t="s">
        <v>32</v>
      </c>
      <c r="Z451" s="3">
        <f>VLOOKUP(Y451, rmpce_reference!$B$1:$D$7,3,FALSE) * 89</f>
        <v>4450</v>
      </c>
      <c r="AA451" s="1" t="str">
        <f>IF(Table1[rmpce_inr]&lt;=rmpce_reference!$F$2, "Low Income", IF(Table1[rmpce_inr]&lt;=rmpce_reference!$F$3, "Middle Income", "High Income"))</f>
        <v>Low Income</v>
      </c>
    </row>
    <row r="452" spans="1:27" x14ac:dyDescent="0.25">
      <c r="A452">
        <v>2195</v>
      </c>
      <c r="B452" t="s">
        <v>39</v>
      </c>
      <c r="C452" t="s">
        <v>29</v>
      </c>
      <c r="D452">
        <v>36</v>
      </c>
      <c r="E452" t="s">
        <v>22</v>
      </c>
      <c r="F452" t="s">
        <v>30</v>
      </c>
      <c r="G452">
        <v>30</v>
      </c>
      <c r="H452" s="1" t="str">
        <f>IF(Table1[[#This Row],[anxiety_score]]&lt;=10, "Normal", IF(Table1[[#This Row],[anxiety_score]]&lt;=20, "Moderate", IF(Table1[[#This Row],[anxiety_score]]&lt;=30, "Severe", "Extremely Severe")))</f>
        <v>Severe</v>
      </c>
      <c r="I452">
        <v>2.0022465999999999</v>
      </c>
      <c r="J452">
        <v>34</v>
      </c>
      <c r="K452" s="1" t="str">
        <f>IF(Table1[[#This Row],[stress_score]]&lt;=10, "Normal", IF(Table1[[#This Row],[stress_score]]&lt;=20, "Moderate", IF(Table1[[#This Row],[stress_score]]&lt;=30, "Severe", "Extremely Severe")))</f>
        <v>Extremely Severe</v>
      </c>
      <c r="L452">
        <v>2.1467700000000001</v>
      </c>
      <c r="M452">
        <v>34</v>
      </c>
      <c r="N452" s="1" t="str">
        <f>IF(Table1[[#This Row],[depression_score]]&lt;=10, "Normal", IF(Table1[[#This Row],[depression_score]]&lt;=20, "Moderate", IF(Table1[[#This Row],[depression_score]]&lt;=30, "Severe", "Extremely Severe")))</f>
        <v>Extremely Severe</v>
      </c>
      <c r="O452">
        <v>2.1659999999999999</v>
      </c>
      <c r="P452">
        <v>32.666668000000001</v>
      </c>
      <c r="Q452">
        <f>ROUND(Table1[[#This Row],[dass21_raw_score]],0)</f>
        <v>33</v>
      </c>
      <c r="R452" s="1" t="str">
        <f>IF(Table1[[#This Row],[round_dass21_raw_score]]&lt;=10, "Normal", IF(Table1[[#This Row],[round_dass21_raw_score]]&lt;=20, "Moderate", IF(Table1[[#This Row],[round_dass21_raw_score]]&lt;=30, "Severe", "Extremely Severe")))</f>
        <v>Extremely Severe</v>
      </c>
      <c r="S452">
        <v>2.1050054999999999</v>
      </c>
      <c r="T452">
        <v>3.1999154000000001</v>
      </c>
      <c r="U452">
        <v>5000</v>
      </c>
      <c r="V452" s="1">
        <f>ROUND(Table1[[#This Row],[fmpce]],0)</f>
        <v>5000</v>
      </c>
      <c r="W452">
        <v>68.023319999999998</v>
      </c>
      <c r="X452" s="4">
        <f>Table1[[#This Row],[mpce]]*89</f>
        <v>6054.0754799999995</v>
      </c>
      <c r="Y452" s="2" t="s">
        <v>28</v>
      </c>
      <c r="Z452" s="3">
        <f>VLOOKUP(Y452, rmpce_reference!$B$1:$D$7,3,FALSE) * 89</f>
        <v>6230</v>
      </c>
      <c r="AA452" s="1" t="str">
        <f>IF(Table1[rmpce_inr]&lt;=rmpce_reference!$F$2, "Low Income", IF(Table1[rmpce_inr]&lt;=rmpce_reference!$F$3, "Middle Income", "High Income"))</f>
        <v>Middle Income</v>
      </c>
    </row>
    <row r="453" spans="1:27" x14ac:dyDescent="0.25">
      <c r="A453">
        <v>2196</v>
      </c>
      <c r="B453" t="s">
        <v>39</v>
      </c>
      <c r="C453" t="s">
        <v>36</v>
      </c>
      <c r="D453">
        <v>52</v>
      </c>
      <c r="E453" t="s">
        <v>22</v>
      </c>
      <c r="F453" t="s">
        <v>30</v>
      </c>
      <c r="G453">
        <v>32</v>
      </c>
      <c r="H453" s="1" t="str">
        <f>IF(Table1[[#This Row],[anxiety_score]]&lt;=10, "Normal", IF(Table1[[#This Row],[anxiety_score]]&lt;=20, "Moderate", IF(Table1[[#This Row],[anxiety_score]]&lt;=30, "Severe", "Extremely Severe")))</f>
        <v>Extremely Severe</v>
      </c>
      <c r="I453">
        <v>2.2032911999999998</v>
      </c>
      <c r="J453">
        <v>34</v>
      </c>
      <c r="K453" s="1" t="str">
        <f>IF(Table1[[#This Row],[stress_score]]&lt;=10, "Normal", IF(Table1[[#This Row],[stress_score]]&lt;=20, "Moderate", IF(Table1[[#This Row],[stress_score]]&lt;=30, "Severe", "Extremely Severe")))</f>
        <v>Extremely Severe</v>
      </c>
      <c r="L453">
        <v>2.1467700000000001</v>
      </c>
      <c r="M453">
        <v>34</v>
      </c>
      <c r="N453" s="1" t="str">
        <f>IF(Table1[[#This Row],[depression_score]]&lt;=10, "Normal", IF(Table1[[#This Row],[depression_score]]&lt;=20, "Moderate", IF(Table1[[#This Row],[depression_score]]&lt;=30, "Severe", "Extremely Severe")))</f>
        <v>Extremely Severe</v>
      </c>
      <c r="O453">
        <v>2.1659999999999999</v>
      </c>
      <c r="P453">
        <v>33.333331999999999</v>
      </c>
      <c r="Q453">
        <f>ROUND(Table1[[#This Row],[dass21_raw_score]],0)</f>
        <v>33</v>
      </c>
      <c r="R453" s="1" t="str">
        <f>IF(Table1[[#This Row],[round_dass21_raw_score]]&lt;=10, "Normal", IF(Table1[[#This Row],[round_dass21_raw_score]]&lt;=20, "Moderate", IF(Table1[[#This Row],[round_dass21_raw_score]]&lt;=30, "Severe", "Extremely Severe")))</f>
        <v>Extremely Severe</v>
      </c>
      <c r="S453">
        <v>2.1720204000000001</v>
      </c>
      <c r="T453">
        <v>3.2669302999999998</v>
      </c>
      <c r="U453">
        <v>7500</v>
      </c>
      <c r="V453" s="1">
        <f>ROUND(Table1[[#This Row],[fmpce]],0)</f>
        <v>7500</v>
      </c>
      <c r="W453">
        <v>102.03498999999999</v>
      </c>
      <c r="X453" s="4">
        <f>Table1[[#This Row],[mpce]]*89</f>
        <v>9081.1141099999986</v>
      </c>
      <c r="Y453" s="2" t="s">
        <v>35</v>
      </c>
      <c r="Z453" s="3">
        <f>VLOOKUP(Y453, rmpce_reference!$B$1:$D$7,3,FALSE) * 89</f>
        <v>9790</v>
      </c>
      <c r="AA453" s="1" t="str">
        <f>IF(Table1[rmpce_inr]&lt;=rmpce_reference!$F$2, "Low Income", IF(Table1[rmpce_inr]&lt;=rmpce_reference!$F$3, "Middle Income", "High Income"))</f>
        <v>High Income</v>
      </c>
    </row>
    <row r="454" spans="1:27" x14ac:dyDescent="0.25">
      <c r="A454">
        <v>2197</v>
      </c>
      <c r="B454" t="s">
        <v>39</v>
      </c>
      <c r="C454" t="s">
        <v>21</v>
      </c>
      <c r="D454">
        <v>48</v>
      </c>
      <c r="E454" t="s">
        <v>22</v>
      </c>
      <c r="F454" t="s">
        <v>27</v>
      </c>
      <c r="G454">
        <v>26</v>
      </c>
      <c r="H454" s="1" t="str">
        <f>IF(Table1[[#This Row],[anxiety_score]]&lt;=10, "Normal", IF(Table1[[#This Row],[anxiety_score]]&lt;=20, "Moderate", IF(Table1[[#This Row],[anxiety_score]]&lt;=30, "Severe", "Extremely Severe")))</f>
        <v>Severe</v>
      </c>
      <c r="I454">
        <v>1.6001574999999999</v>
      </c>
      <c r="J454">
        <v>20</v>
      </c>
      <c r="K454" s="1" t="str">
        <f>IF(Table1[[#This Row],[stress_score]]&lt;=10, "Normal", IF(Table1[[#This Row],[stress_score]]&lt;=20, "Moderate", IF(Table1[[#This Row],[stress_score]]&lt;=30, "Severe", "Extremely Severe")))</f>
        <v>Moderate</v>
      </c>
      <c r="L454">
        <v>0.78414130000000004</v>
      </c>
      <c r="M454">
        <v>26</v>
      </c>
      <c r="N454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454">
        <v>1.3954502</v>
      </c>
      <c r="P454">
        <v>24</v>
      </c>
      <c r="Q454">
        <f>ROUND(Table1[[#This Row],[dass21_raw_score]],0)</f>
        <v>24</v>
      </c>
      <c r="R454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454">
        <v>1.2599163</v>
      </c>
      <c r="T454">
        <v>2.3548262000000002</v>
      </c>
      <c r="U454">
        <v>3333.3332999999998</v>
      </c>
      <c r="V454" s="1">
        <f>ROUND(Table1[[#This Row],[fmpce]],0)</f>
        <v>3333</v>
      </c>
      <c r="W454">
        <v>45.348880000000001</v>
      </c>
      <c r="X454" s="4">
        <f>Table1[[#This Row],[mpce]]*89</f>
        <v>4036.0503200000003</v>
      </c>
      <c r="Y454" s="2" t="s">
        <v>32</v>
      </c>
      <c r="Z454" s="3">
        <f>VLOOKUP(Y454, rmpce_reference!$B$1:$D$7,3,FALSE) * 89</f>
        <v>4450</v>
      </c>
      <c r="AA454" s="1" t="str">
        <f>IF(Table1[rmpce_inr]&lt;=rmpce_reference!$F$2, "Low Income", IF(Table1[rmpce_inr]&lt;=rmpce_reference!$F$3, "Middle Income", "High Income"))</f>
        <v>Low Income</v>
      </c>
    </row>
    <row r="455" spans="1:27" x14ac:dyDescent="0.25">
      <c r="A455">
        <v>2198</v>
      </c>
      <c r="B455" t="s">
        <v>39</v>
      </c>
      <c r="C455" t="s">
        <v>21</v>
      </c>
      <c r="D455">
        <v>50</v>
      </c>
      <c r="E455" t="s">
        <v>25</v>
      </c>
      <c r="F455" t="s">
        <v>30</v>
      </c>
      <c r="G455">
        <v>26</v>
      </c>
      <c r="H455" s="1" t="str">
        <f>IF(Table1[[#This Row],[anxiety_score]]&lt;=10, "Normal", IF(Table1[[#This Row],[anxiety_score]]&lt;=20, "Moderate", IF(Table1[[#This Row],[anxiety_score]]&lt;=30, "Severe", "Extremely Severe")))</f>
        <v>Severe</v>
      </c>
      <c r="I455">
        <v>1.6001574999999999</v>
      </c>
      <c r="J455">
        <v>28</v>
      </c>
      <c r="K455" s="1" t="str">
        <f>IF(Table1[[#This Row],[stress_score]]&lt;=10, "Normal", IF(Table1[[#This Row],[stress_score]]&lt;=20, "Moderate", IF(Table1[[#This Row],[stress_score]]&lt;=30, "Severe", "Extremely Severe")))</f>
        <v>Severe</v>
      </c>
      <c r="L455">
        <v>1.5627863</v>
      </c>
      <c r="M455">
        <v>20</v>
      </c>
      <c r="N455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455">
        <v>0.81753799999999999</v>
      </c>
      <c r="P455">
        <v>24.666665999999999</v>
      </c>
      <c r="Q455">
        <f>ROUND(Table1[[#This Row],[dass21_raw_score]],0)</f>
        <v>25</v>
      </c>
      <c r="R455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455">
        <v>1.3268272999999999</v>
      </c>
      <c r="T455">
        <v>2.4217371999999999</v>
      </c>
      <c r="U455">
        <v>2500</v>
      </c>
      <c r="V455" s="1">
        <f>ROUND(Table1[[#This Row],[fmpce]],0)</f>
        <v>2500</v>
      </c>
      <c r="W455">
        <v>34.011659999999999</v>
      </c>
      <c r="X455" s="4">
        <f>Table1[[#This Row],[mpce]]*89</f>
        <v>3027.0377399999998</v>
      </c>
      <c r="Y455" s="2" t="s">
        <v>34</v>
      </c>
      <c r="Z455" s="3">
        <f>VLOOKUP(Y455, rmpce_reference!$B$1:$D$7,3,FALSE) * 89</f>
        <v>2848</v>
      </c>
      <c r="AA455" s="1" t="str">
        <f>IF(Table1[rmpce_inr]&lt;=rmpce_reference!$F$2, "Low Income", IF(Table1[rmpce_inr]&lt;=rmpce_reference!$F$3, "Middle Income", "High Income"))</f>
        <v>Low Income</v>
      </c>
    </row>
    <row r="456" spans="1:27" x14ac:dyDescent="0.25">
      <c r="A456">
        <v>2199</v>
      </c>
      <c r="B456" t="s">
        <v>39</v>
      </c>
      <c r="C456" t="s">
        <v>33</v>
      </c>
      <c r="D456">
        <v>28</v>
      </c>
      <c r="E456" t="s">
        <v>25</v>
      </c>
      <c r="F456" t="s">
        <v>27</v>
      </c>
      <c r="G456">
        <v>12</v>
      </c>
      <c r="H456" s="1" t="str">
        <f>IF(Table1[[#This Row],[anxiety_score]]&lt;=10, "Normal", IF(Table1[[#This Row],[anxiety_score]]&lt;=20, "Moderate", IF(Table1[[#This Row],[anxiety_score]]&lt;=30, "Severe", "Extremely Severe")))</f>
        <v>Moderate</v>
      </c>
      <c r="I456">
        <v>0.19284514999999999</v>
      </c>
      <c r="J456">
        <v>10</v>
      </c>
      <c r="K456" s="1" t="str">
        <f>IF(Table1[[#This Row],[stress_score]]&lt;=10, "Normal", IF(Table1[[#This Row],[stress_score]]&lt;=20, "Moderate", IF(Table1[[#This Row],[stress_score]]&lt;=30, "Severe", "Extremely Severe")))</f>
        <v>Normal</v>
      </c>
      <c r="L456">
        <v>-0.18916494</v>
      </c>
      <c r="M456">
        <v>12</v>
      </c>
      <c r="N456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456">
        <v>4.6988415999999998E-2</v>
      </c>
      <c r="P456">
        <v>11.333333</v>
      </c>
      <c r="Q456">
        <f>ROUND(Table1[[#This Row],[dass21_raw_score]],0)</f>
        <v>11</v>
      </c>
      <c r="R456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456">
        <v>1.6889543999999999E-2</v>
      </c>
      <c r="T456">
        <v>1.1117995000000001</v>
      </c>
      <c r="U456">
        <v>5000</v>
      </c>
      <c r="V456" s="1">
        <f>ROUND(Table1[[#This Row],[fmpce]],0)</f>
        <v>5000</v>
      </c>
      <c r="W456">
        <v>68.023319999999998</v>
      </c>
      <c r="X456" s="4">
        <f>Table1[[#This Row],[mpce]]*89</f>
        <v>6054.0754799999995</v>
      </c>
      <c r="Y456" s="2" t="s">
        <v>28</v>
      </c>
      <c r="Z456" s="3">
        <f>VLOOKUP(Y456, rmpce_reference!$B$1:$D$7,3,FALSE) * 89</f>
        <v>6230</v>
      </c>
      <c r="AA456" s="1" t="str">
        <f>IF(Table1[rmpce_inr]&lt;=rmpce_reference!$F$2, "Low Income", IF(Table1[rmpce_inr]&lt;=rmpce_reference!$F$3, "Middle Income", "High Income"))</f>
        <v>Middle Income</v>
      </c>
    </row>
    <row r="457" spans="1:27" x14ac:dyDescent="0.25">
      <c r="A457">
        <v>2200</v>
      </c>
      <c r="B457" t="s">
        <v>39</v>
      </c>
      <c r="C457" t="s">
        <v>21</v>
      </c>
      <c r="D457">
        <v>49</v>
      </c>
      <c r="E457" t="s">
        <v>22</v>
      </c>
      <c r="F457" t="s">
        <v>23</v>
      </c>
      <c r="G457">
        <v>22</v>
      </c>
      <c r="H457" s="1" t="str">
        <f>IF(Table1[[#This Row],[anxiety_score]]&lt;=10, "Normal", IF(Table1[[#This Row],[anxiety_score]]&lt;=20, "Moderate", IF(Table1[[#This Row],[anxiety_score]]&lt;=30, "Severe", "Extremely Severe")))</f>
        <v>Severe</v>
      </c>
      <c r="I457">
        <v>1.1980683000000001</v>
      </c>
      <c r="J457">
        <v>18</v>
      </c>
      <c r="K457" s="1" t="str">
        <f>IF(Table1[[#This Row],[stress_score]]&lt;=10, "Normal", IF(Table1[[#This Row],[stress_score]]&lt;=20, "Moderate", IF(Table1[[#This Row],[stress_score]]&lt;=30, "Severe", "Extremely Severe")))</f>
        <v>Moderate</v>
      </c>
      <c r="L457">
        <v>0.58948003999999998</v>
      </c>
      <c r="M457">
        <v>24</v>
      </c>
      <c r="N457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457">
        <v>1.2028128</v>
      </c>
      <c r="P457">
        <v>21.333334000000001</v>
      </c>
      <c r="Q457">
        <f>ROUND(Table1[[#This Row],[dass21_raw_score]],0)</f>
        <v>21</v>
      </c>
      <c r="R457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457">
        <v>0.99678699999999998</v>
      </c>
      <c r="T457">
        <v>2.0916969999999999</v>
      </c>
      <c r="U457">
        <v>4000</v>
      </c>
      <c r="V457" s="1">
        <f>ROUND(Table1[[#This Row],[fmpce]],0)</f>
        <v>4000</v>
      </c>
      <c r="W457">
        <v>54.418660000000003</v>
      </c>
      <c r="X457" s="4">
        <f>Table1[[#This Row],[mpce]]*89</f>
        <v>4843.2607400000006</v>
      </c>
      <c r="Y457" s="2" t="s">
        <v>32</v>
      </c>
      <c r="Z457" s="3">
        <f>VLOOKUP(Y457, rmpce_reference!$B$1:$D$7,3,FALSE) * 89</f>
        <v>4450</v>
      </c>
      <c r="AA457" s="1" t="str">
        <f>IF(Table1[rmpce_inr]&lt;=rmpce_reference!$F$2, "Low Income", IF(Table1[rmpce_inr]&lt;=rmpce_reference!$F$3, "Middle Income", "High Income"))</f>
        <v>Low Income</v>
      </c>
    </row>
    <row r="458" spans="1:27" x14ac:dyDescent="0.25">
      <c r="A458">
        <v>3001</v>
      </c>
      <c r="B458" t="s">
        <v>40</v>
      </c>
      <c r="C458" t="s">
        <v>29</v>
      </c>
      <c r="D458">
        <v>32</v>
      </c>
      <c r="E458" t="s">
        <v>22</v>
      </c>
      <c r="F458" t="s">
        <v>30</v>
      </c>
      <c r="G458">
        <v>0</v>
      </c>
      <c r="H458" s="1" t="str">
        <f>IF(Table1[[#This Row],[anxiety_score]]&lt;=10, "Normal", IF(Table1[[#This Row],[anxiety_score]]&lt;=20, "Moderate", IF(Table1[[#This Row],[anxiety_score]]&lt;=30, "Severe", "Extremely Severe")))</f>
        <v>Normal</v>
      </c>
      <c r="I458">
        <v>-1.0134224999999999</v>
      </c>
      <c r="J458">
        <v>4</v>
      </c>
      <c r="K458" s="1" t="str">
        <f>IF(Table1[[#This Row],[stress_score]]&lt;=10, "Normal", IF(Table1[[#This Row],[stress_score]]&lt;=20, "Moderate", IF(Table1[[#This Row],[stress_score]]&lt;=30, "Severe", "Extremely Severe")))</f>
        <v>Normal</v>
      </c>
      <c r="L458">
        <v>-0.77314866000000004</v>
      </c>
      <c r="M458">
        <v>2</v>
      </c>
      <c r="N458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458">
        <v>-0.91619854999999994</v>
      </c>
      <c r="P458">
        <v>2</v>
      </c>
      <c r="Q458">
        <f>ROUND(Table1[[#This Row],[dass21_raw_score]],0)</f>
        <v>2</v>
      </c>
      <c r="R458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458">
        <v>-0.90092324999999995</v>
      </c>
      <c r="T458">
        <v>0.19398665000000001</v>
      </c>
      <c r="U458">
        <v>41666.667999999998</v>
      </c>
      <c r="V458" s="1">
        <f>ROUND(Table1[[#This Row],[fmpce]],0)</f>
        <v>41667</v>
      </c>
      <c r="W458">
        <v>566.86099999999999</v>
      </c>
      <c r="X458" s="4">
        <f>Table1[[#This Row],[mpce]]*89</f>
        <v>50450.629000000001</v>
      </c>
      <c r="Y458" s="2" t="s">
        <v>35</v>
      </c>
      <c r="Z458" s="3">
        <f>VLOOKUP(Y458, rmpce_reference!$B$1:$D$7,3,FALSE) * 89</f>
        <v>9790</v>
      </c>
      <c r="AA458" s="1" t="str">
        <f>IF(Table1[rmpce_inr]&lt;=rmpce_reference!$F$2, "Low Income", IF(Table1[rmpce_inr]&lt;=rmpce_reference!$F$3, "Middle Income", "High Income"))</f>
        <v>High Income</v>
      </c>
    </row>
    <row r="459" spans="1:27" x14ac:dyDescent="0.25">
      <c r="A459">
        <v>3002</v>
      </c>
      <c r="B459" t="s">
        <v>40</v>
      </c>
      <c r="C459" t="s">
        <v>29</v>
      </c>
      <c r="D459">
        <v>32</v>
      </c>
      <c r="E459" t="s">
        <v>22</v>
      </c>
      <c r="F459" t="s">
        <v>23</v>
      </c>
      <c r="G459">
        <v>0</v>
      </c>
      <c r="H459" s="1" t="str">
        <f>IF(Table1[[#This Row],[anxiety_score]]&lt;=10, "Normal", IF(Table1[[#This Row],[anxiety_score]]&lt;=20, "Moderate", IF(Table1[[#This Row],[anxiety_score]]&lt;=30, "Severe", "Extremely Severe")))</f>
        <v>Normal</v>
      </c>
      <c r="I459">
        <v>-1.0134224999999999</v>
      </c>
      <c r="J459">
        <v>10</v>
      </c>
      <c r="K459" s="1" t="str">
        <f>IF(Table1[[#This Row],[stress_score]]&lt;=10, "Normal", IF(Table1[[#This Row],[stress_score]]&lt;=20, "Moderate", IF(Table1[[#This Row],[stress_score]]&lt;=30, "Severe", "Extremely Severe")))</f>
        <v>Normal</v>
      </c>
      <c r="L459">
        <v>-0.18916494</v>
      </c>
      <c r="M459">
        <v>8</v>
      </c>
      <c r="N459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459">
        <v>-0.33828637</v>
      </c>
      <c r="P459">
        <v>6</v>
      </c>
      <c r="Q459">
        <f>ROUND(Table1[[#This Row],[dass21_raw_score]],0)</f>
        <v>6</v>
      </c>
      <c r="R459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459">
        <v>-0.51362459999999999</v>
      </c>
      <c r="T459">
        <v>0.5812853</v>
      </c>
      <c r="U459">
        <v>5000</v>
      </c>
      <c r="V459" s="1">
        <f>ROUND(Table1[[#This Row],[fmpce]],0)</f>
        <v>5000</v>
      </c>
      <c r="W459">
        <v>68.023319999999998</v>
      </c>
      <c r="X459" s="4">
        <f>Table1[[#This Row],[mpce]]*89</f>
        <v>6054.0754799999995</v>
      </c>
      <c r="Y459" s="2" t="s">
        <v>28</v>
      </c>
      <c r="Z459" s="3">
        <f>VLOOKUP(Y459, rmpce_reference!$B$1:$D$7,3,FALSE) * 89</f>
        <v>6230</v>
      </c>
      <c r="AA459" s="1" t="str">
        <f>IF(Table1[rmpce_inr]&lt;=rmpce_reference!$F$2, "Low Income", IF(Table1[rmpce_inr]&lt;=rmpce_reference!$F$3, "Middle Income", "High Income"))</f>
        <v>Middle Income</v>
      </c>
    </row>
    <row r="460" spans="1:27" x14ac:dyDescent="0.25">
      <c r="A460">
        <v>3003</v>
      </c>
      <c r="B460" t="s">
        <v>40</v>
      </c>
      <c r="C460" t="s">
        <v>33</v>
      </c>
      <c r="D460">
        <v>27</v>
      </c>
      <c r="E460" t="s">
        <v>25</v>
      </c>
      <c r="F460" t="s">
        <v>26</v>
      </c>
      <c r="G460">
        <v>0</v>
      </c>
      <c r="H460" s="1" t="str">
        <f>IF(Table1[[#This Row],[anxiety_score]]&lt;=10, "Normal", IF(Table1[[#This Row],[anxiety_score]]&lt;=20, "Moderate", IF(Table1[[#This Row],[anxiety_score]]&lt;=30, "Severe", "Extremely Severe")))</f>
        <v>Normal</v>
      </c>
      <c r="I460">
        <v>-1.0134224999999999</v>
      </c>
      <c r="J460">
        <v>6</v>
      </c>
      <c r="K460" s="1" t="str">
        <f>IF(Table1[[#This Row],[stress_score]]&lt;=10, "Normal", IF(Table1[[#This Row],[stress_score]]&lt;=20, "Moderate", IF(Table1[[#This Row],[stress_score]]&lt;=30, "Severe", "Extremely Severe")))</f>
        <v>Normal</v>
      </c>
      <c r="L460">
        <v>-0.57848745999999995</v>
      </c>
      <c r="M460">
        <v>2</v>
      </c>
      <c r="N460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460">
        <v>-0.91619854999999994</v>
      </c>
      <c r="P460">
        <v>2.6666666999999999</v>
      </c>
      <c r="Q460">
        <f>ROUND(Table1[[#This Row],[dass21_raw_score]],0)</f>
        <v>3</v>
      </c>
      <c r="R460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460">
        <v>-0.83603614999999998</v>
      </c>
      <c r="T460">
        <v>0.25887376000000001</v>
      </c>
      <c r="U460">
        <v>5000</v>
      </c>
      <c r="V460" s="1">
        <f>ROUND(Table1[[#This Row],[fmpce]],0)</f>
        <v>5000</v>
      </c>
      <c r="W460">
        <v>68.023319999999998</v>
      </c>
      <c r="X460" s="4">
        <f>Table1[[#This Row],[mpce]]*89</f>
        <v>6054.0754799999995</v>
      </c>
      <c r="Y460" s="2" t="s">
        <v>28</v>
      </c>
      <c r="Z460" s="3">
        <f>VLOOKUP(Y460, rmpce_reference!$B$1:$D$7,3,FALSE) * 89</f>
        <v>6230</v>
      </c>
      <c r="AA460" s="1" t="str">
        <f>IF(Table1[rmpce_inr]&lt;=rmpce_reference!$F$2, "Low Income", IF(Table1[rmpce_inr]&lt;=rmpce_reference!$F$3, "Middle Income", "High Income"))</f>
        <v>Middle Income</v>
      </c>
    </row>
    <row r="461" spans="1:27" x14ac:dyDescent="0.25">
      <c r="A461">
        <v>3004</v>
      </c>
      <c r="B461" t="s">
        <v>40</v>
      </c>
      <c r="C461" t="s">
        <v>29</v>
      </c>
      <c r="D461">
        <v>31</v>
      </c>
      <c r="E461" t="s">
        <v>22</v>
      </c>
      <c r="F461" t="s">
        <v>30</v>
      </c>
      <c r="G461">
        <v>2</v>
      </c>
      <c r="H461" s="1" t="str">
        <f>IF(Table1[[#This Row],[anxiety_score]]&lt;=10, "Normal", IF(Table1[[#This Row],[anxiety_score]]&lt;=20, "Moderate", IF(Table1[[#This Row],[anxiety_score]]&lt;=30, "Severe", "Extremely Severe")))</f>
        <v>Normal</v>
      </c>
      <c r="I461">
        <v>-0.81237789999999999</v>
      </c>
      <c r="J461">
        <v>6</v>
      </c>
      <c r="K461" s="1" t="str">
        <f>IF(Table1[[#This Row],[stress_score]]&lt;=10, "Normal", IF(Table1[[#This Row],[stress_score]]&lt;=20, "Moderate", IF(Table1[[#This Row],[stress_score]]&lt;=30, "Severe", "Extremely Severe")))</f>
        <v>Normal</v>
      </c>
      <c r="L461">
        <v>-0.57848745999999995</v>
      </c>
      <c r="M461">
        <v>2</v>
      </c>
      <c r="N461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461">
        <v>-0.91619854999999994</v>
      </c>
      <c r="P461">
        <v>3.3333333000000001</v>
      </c>
      <c r="Q461">
        <f>ROUND(Table1[[#This Row],[dass21_raw_score]],0)</f>
        <v>3</v>
      </c>
      <c r="R461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461">
        <v>-0.76902132999999995</v>
      </c>
      <c r="T461">
        <v>0.32588856999999999</v>
      </c>
      <c r="U461">
        <v>3666.6667000000002</v>
      </c>
      <c r="V461" s="1">
        <f>ROUND(Table1[[#This Row],[fmpce]],0)</f>
        <v>3667</v>
      </c>
      <c r="W461">
        <v>49.883774000000003</v>
      </c>
      <c r="X461" s="4">
        <f>Table1[[#This Row],[mpce]]*89</f>
        <v>4439.6558860000005</v>
      </c>
      <c r="Y461" s="2" t="s">
        <v>32</v>
      </c>
      <c r="Z461" s="3">
        <f>VLOOKUP(Y461, rmpce_reference!$B$1:$D$7,3,FALSE) * 89</f>
        <v>4450</v>
      </c>
      <c r="AA461" s="1" t="str">
        <f>IF(Table1[rmpce_inr]&lt;=rmpce_reference!$F$2, "Low Income", IF(Table1[rmpce_inr]&lt;=rmpce_reference!$F$3, "Middle Income", "High Income"))</f>
        <v>Low Income</v>
      </c>
    </row>
    <row r="462" spans="1:27" x14ac:dyDescent="0.25">
      <c r="A462">
        <v>3005</v>
      </c>
      <c r="B462" t="s">
        <v>40</v>
      </c>
      <c r="C462" t="s">
        <v>29</v>
      </c>
      <c r="D462">
        <v>32</v>
      </c>
      <c r="E462" t="s">
        <v>22</v>
      </c>
      <c r="F462" t="s">
        <v>30</v>
      </c>
      <c r="G462">
        <v>0</v>
      </c>
      <c r="H462" s="1" t="str">
        <f>IF(Table1[[#This Row],[anxiety_score]]&lt;=10, "Normal", IF(Table1[[#This Row],[anxiety_score]]&lt;=20, "Moderate", IF(Table1[[#This Row],[anxiety_score]]&lt;=30, "Severe", "Extremely Severe")))</f>
        <v>Normal</v>
      </c>
      <c r="I462">
        <v>-1.0134224999999999</v>
      </c>
      <c r="J462">
        <v>8</v>
      </c>
      <c r="K462" s="1" t="str">
        <f>IF(Table1[[#This Row],[stress_score]]&lt;=10, "Normal", IF(Table1[[#This Row],[stress_score]]&lt;=20, "Moderate", IF(Table1[[#This Row],[stress_score]]&lt;=30, "Severe", "Extremely Severe")))</f>
        <v>Normal</v>
      </c>
      <c r="L462">
        <v>-0.38382620000000001</v>
      </c>
      <c r="M462">
        <v>8</v>
      </c>
      <c r="N462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462">
        <v>-0.33828637</v>
      </c>
      <c r="P462">
        <v>5.3333335000000002</v>
      </c>
      <c r="Q462">
        <f>ROUND(Table1[[#This Row],[dass21_raw_score]],0)</f>
        <v>5</v>
      </c>
      <c r="R462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462">
        <v>-0.57851169999999996</v>
      </c>
      <c r="T462">
        <v>0.51639820000000003</v>
      </c>
      <c r="U462">
        <v>5000</v>
      </c>
      <c r="V462" s="1">
        <f>ROUND(Table1[[#This Row],[fmpce]],0)</f>
        <v>5000</v>
      </c>
      <c r="W462">
        <v>68.023319999999998</v>
      </c>
      <c r="X462" s="4">
        <f>Table1[[#This Row],[mpce]]*89</f>
        <v>6054.0754799999995</v>
      </c>
      <c r="Y462" s="2" t="s">
        <v>28</v>
      </c>
      <c r="Z462" s="3">
        <f>VLOOKUP(Y462, rmpce_reference!$B$1:$D$7,3,FALSE) * 89</f>
        <v>6230</v>
      </c>
      <c r="AA462" s="1" t="str">
        <f>IF(Table1[rmpce_inr]&lt;=rmpce_reference!$F$2, "Low Income", IF(Table1[rmpce_inr]&lt;=rmpce_reference!$F$3, "Middle Income", "High Income"))</f>
        <v>Middle Income</v>
      </c>
    </row>
    <row r="463" spans="1:27" x14ac:dyDescent="0.25">
      <c r="A463">
        <v>3006</v>
      </c>
      <c r="B463" t="s">
        <v>40</v>
      </c>
      <c r="C463" t="s">
        <v>33</v>
      </c>
      <c r="D463">
        <v>27</v>
      </c>
      <c r="E463" t="s">
        <v>25</v>
      </c>
      <c r="F463" t="s">
        <v>26</v>
      </c>
      <c r="G463">
        <v>2</v>
      </c>
      <c r="H463" s="1" t="str">
        <f>IF(Table1[[#This Row],[anxiety_score]]&lt;=10, "Normal", IF(Table1[[#This Row],[anxiety_score]]&lt;=20, "Moderate", IF(Table1[[#This Row],[anxiety_score]]&lt;=30, "Severe", "Extremely Severe")))</f>
        <v>Normal</v>
      </c>
      <c r="I463">
        <v>-0.81237789999999999</v>
      </c>
      <c r="J463">
        <v>4</v>
      </c>
      <c r="K463" s="1" t="str">
        <f>IF(Table1[[#This Row],[stress_score]]&lt;=10, "Normal", IF(Table1[[#This Row],[stress_score]]&lt;=20, "Moderate", IF(Table1[[#This Row],[stress_score]]&lt;=30, "Severe", "Extremely Severe")))</f>
        <v>Normal</v>
      </c>
      <c r="L463">
        <v>-0.77314866000000004</v>
      </c>
      <c r="M463">
        <v>2</v>
      </c>
      <c r="N463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463">
        <v>-0.91619854999999994</v>
      </c>
      <c r="P463">
        <v>2.6666666999999999</v>
      </c>
      <c r="Q463">
        <f>ROUND(Table1[[#This Row],[dass21_raw_score]],0)</f>
        <v>3</v>
      </c>
      <c r="R463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463">
        <v>-0.83390839999999999</v>
      </c>
      <c r="T463">
        <v>0.26100152999999998</v>
      </c>
      <c r="U463">
        <v>3333.3332999999998</v>
      </c>
      <c r="V463" s="1">
        <f>ROUND(Table1[[#This Row],[fmpce]],0)</f>
        <v>3333</v>
      </c>
      <c r="W463">
        <v>45.348880000000001</v>
      </c>
      <c r="X463" s="4">
        <f>Table1[[#This Row],[mpce]]*89</f>
        <v>4036.0503200000003</v>
      </c>
      <c r="Y463" s="2" t="s">
        <v>32</v>
      </c>
      <c r="Z463" s="3">
        <f>VLOOKUP(Y463, rmpce_reference!$B$1:$D$7,3,FALSE) * 89</f>
        <v>4450</v>
      </c>
      <c r="AA463" s="1" t="str">
        <f>IF(Table1[rmpce_inr]&lt;=rmpce_reference!$F$2, "Low Income", IF(Table1[rmpce_inr]&lt;=rmpce_reference!$F$3, "Middle Income", "High Income"))</f>
        <v>Low Income</v>
      </c>
    </row>
    <row r="464" spans="1:27" x14ac:dyDescent="0.25">
      <c r="A464">
        <v>3007</v>
      </c>
      <c r="B464" t="s">
        <v>40</v>
      </c>
      <c r="C464" t="s">
        <v>29</v>
      </c>
      <c r="D464">
        <v>34</v>
      </c>
      <c r="E464" t="s">
        <v>22</v>
      </c>
      <c r="F464" t="s">
        <v>30</v>
      </c>
      <c r="G464">
        <v>0</v>
      </c>
      <c r="H464" s="1" t="str">
        <f>IF(Table1[[#This Row],[anxiety_score]]&lt;=10, "Normal", IF(Table1[[#This Row],[anxiety_score]]&lt;=20, "Moderate", IF(Table1[[#This Row],[anxiety_score]]&lt;=30, "Severe", "Extremely Severe")))</f>
        <v>Normal</v>
      </c>
      <c r="I464">
        <v>-1.0134224999999999</v>
      </c>
      <c r="J464">
        <v>4</v>
      </c>
      <c r="K464" s="1" t="str">
        <f>IF(Table1[[#This Row],[stress_score]]&lt;=10, "Normal", IF(Table1[[#This Row],[stress_score]]&lt;=20, "Moderate", IF(Table1[[#This Row],[stress_score]]&lt;=30, "Severe", "Extremely Severe")))</f>
        <v>Normal</v>
      </c>
      <c r="L464">
        <v>-0.77314866000000004</v>
      </c>
      <c r="M464">
        <v>0</v>
      </c>
      <c r="N464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464">
        <v>-1.1088359000000001</v>
      </c>
      <c r="P464">
        <v>1.3333333999999999</v>
      </c>
      <c r="Q464">
        <f>ROUND(Table1[[#This Row],[dass21_raw_score]],0)</f>
        <v>1</v>
      </c>
      <c r="R464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464">
        <v>-0.96513570000000004</v>
      </c>
      <c r="T464">
        <v>0.12977421</v>
      </c>
      <c r="U464">
        <v>3750</v>
      </c>
      <c r="V464" s="1">
        <f>ROUND(Table1[[#This Row],[fmpce]],0)</f>
        <v>3750</v>
      </c>
      <c r="W464">
        <v>51.017493999999999</v>
      </c>
      <c r="X464" s="4">
        <f>Table1[[#This Row],[mpce]]*89</f>
        <v>4540.5569660000001</v>
      </c>
      <c r="Y464" s="2" t="s">
        <v>32</v>
      </c>
      <c r="Z464" s="3">
        <f>VLOOKUP(Y464, rmpce_reference!$B$1:$D$7,3,FALSE) * 89</f>
        <v>4450</v>
      </c>
      <c r="AA464" s="1" t="str">
        <f>IF(Table1[rmpce_inr]&lt;=rmpce_reference!$F$2, "Low Income", IF(Table1[rmpce_inr]&lt;=rmpce_reference!$F$3, "Middle Income", "High Income"))</f>
        <v>Low Income</v>
      </c>
    </row>
    <row r="465" spans="1:27" x14ac:dyDescent="0.25">
      <c r="A465">
        <v>3008</v>
      </c>
      <c r="B465" t="s">
        <v>40</v>
      </c>
      <c r="C465" t="s">
        <v>29</v>
      </c>
      <c r="D465">
        <v>36</v>
      </c>
      <c r="E465" t="s">
        <v>22</v>
      </c>
      <c r="F465" t="s">
        <v>30</v>
      </c>
      <c r="G465">
        <v>14</v>
      </c>
      <c r="H465" s="1" t="str">
        <f>IF(Table1[[#This Row],[anxiety_score]]&lt;=10, "Normal", IF(Table1[[#This Row],[anxiety_score]]&lt;=20, "Moderate", IF(Table1[[#This Row],[anxiety_score]]&lt;=30, "Severe", "Extremely Severe")))</f>
        <v>Moderate</v>
      </c>
      <c r="I465">
        <v>0.39388975999999998</v>
      </c>
      <c r="J465">
        <v>32</v>
      </c>
      <c r="K465" s="1" t="str">
        <f>IF(Table1[[#This Row],[stress_score]]&lt;=10, "Normal", IF(Table1[[#This Row],[stress_score]]&lt;=20, "Moderate", IF(Table1[[#This Row],[stress_score]]&lt;=30, "Severe", "Extremely Severe")))</f>
        <v>Extremely Severe</v>
      </c>
      <c r="L465">
        <v>1.9521089</v>
      </c>
      <c r="M465">
        <v>34</v>
      </c>
      <c r="N465" s="1" t="str">
        <f>IF(Table1[[#This Row],[depression_score]]&lt;=10, "Normal", IF(Table1[[#This Row],[depression_score]]&lt;=20, "Moderate", IF(Table1[[#This Row],[depression_score]]&lt;=30, "Severe", "Extremely Severe")))</f>
        <v>Extremely Severe</v>
      </c>
      <c r="O465">
        <v>2.1659999999999999</v>
      </c>
      <c r="P465">
        <v>26.666665999999999</v>
      </c>
      <c r="Q465">
        <f>ROUND(Table1[[#This Row],[dass21_raw_score]],0)</f>
        <v>27</v>
      </c>
      <c r="R465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465">
        <v>1.5039994999999999</v>
      </c>
      <c r="T465">
        <v>2.5989094000000001</v>
      </c>
      <c r="U465">
        <v>3750</v>
      </c>
      <c r="V465" s="1">
        <f>ROUND(Table1[[#This Row],[fmpce]],0)</f>
        <v>3750</v>
      </c>
      <c r="W465">
        <v>51.017493999999999</v>
      </c>
      <c r="X465" s="4">
        <f>Table1[[#This Row],[mpce]]*89</f>
        <v>4540.5569660000001</v>
      </c>
      <c r="Y465" s="2" t="s">
        <v>32</v>
      </c>
      <c r="Z465" s="3">
        <f>VLOOKUP(Y465, rmpce_reference!$B$1:$D$7,3,FALSE) * 89</f>
        <v>4450</v>
      </c>
      <c r="AA465" s="1" t="str">
        <f>IF(Table1[rmpce_inr]&lt;=rmpce_reference!$F$2, "Low Income", IF(Table1[rmpce_inr]&lt;=rmpce_reference!$F$3, "Middle Income", "High Income"))</f>
        <v>Low Income</v>
      </c>
    </row>
    <row r="466" spans="1:27" x14ac:dyDescent="0.25">
      <c r="A466">
        <v>3009</v>
      </c>
      <c r="B466" t="s">
        <v>40</v>
      </c>
      <c r="C466" t="s">
        <v>29</v>
      </c>
      <c r="D466">
        <v>32</v>
      </c>
      <c r="E466" t="s">
        <v>22</v>
      </c>
      <c r="F466" t="s">
        <v>30</v>
      </c>
      <c r="G466">
        <v>0</v>
      </c>
      <c r="H466" s="1" t="str">
        <f>IF(Table1[[#This Row],[anxiety_score]]&lt;=10, "Normal", IF(Table1[[#This Row],[anxiety_score]]&lt;=20, "Moderate", IF(Table1[[#This Row],[anxiety_score]]&lt;=30, "Severe", "Extremely Severe")))</f>
        <v>Normal</v>
      </c>
      <c r="I466">
        <v>-1.0134224999999999</v>
      </c>
      <c r="J466">
        <v>0</v>
      </c>
      <c r="K466" s="1" t="str">
        <f>IF(Table1[[#This Row],[stress_score]]&lt;=10, "Normal", IF(Table1[[#This Row],[stress_score]]&lt;=20, "Moderate", IF(Table1[[#This Row],[stress_score]]&lt;=30, "Severe", "Extremely Severe")))</f>
        <v>Normal</v>
      </c>
      <c r="L466">
        <v>-1.1624711999999999</v>
      </c>
      <c r="M466">
        <v>2</v>
      </c>
      <c r="N466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466">
        <v>-0.91619854999999994</v>
      </c>
      <c r="P466">
        <v>0.66666669999999995</v>
      </c>
      <c r="Q466">
        <f>ROUND(Table1[[#This Row],[dass21_raw_score]],0)</f>
        <v>1</v>
      </c>
      <c r="R466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466">
        <v>-1.0306972999999999</v>
      </c>
      <c r="T466">
        <v>6.4212560000000002E-2</v>
      </c>
      <c r="U466">
        <v>6000</v>
      </c>
      <c r="V466" s="1">
        <f>ROUND(Table1[[#This Row],[fmpce]],0)</f>
        <v>6000</v>
      </c>
      <c r="W466">
        <v>81.627989999999997</v>
      </c>
      <c r="X466" s="4">
        <f>Table1[[#This Row],[mpce]]*89</f>
        <v>7264.8911099999996</v>
      </c>
      <c r="Y466" s="2" t="s">
        <v>31</v>
      </c>
      <c r="Z466" s="3">
        <f>VLOOKUP(Y466, rmpce_reference!$B$1:$D$7,3,FALSE) * 89</f>
        <v>8010</v>
      </c>
      <c r="AA466" s="1" t="str">
        <f>IF(Table1[rmpce_inr]&lt;=rmpce_reference!$F$2, "Low Income", IF(Table1[rmpce_inr]&lt;=rmpce_reference!$F$3, "Middle Income", "High Income"))</f>
        <v>High Income</v>
      </c>
    </row>
    <row r="467" spans="1:27" x14ac:dyDescent="0.25">
      <c r="A467">
        <v>3010</v>
      </c>
      <c r="B467" t="s">
        <v>40</v>
      </c>
      <c r="C467" t="s">
        <v>33</v>
      </c>
      <c r="D467">
        <v>30</v>
      </c>
      <c r="E467" t="s">
        <v>22</v>
      </c>
      <c r="F467" t="s">
        <v>30</v>
      </c>
      <c r="G467">
        <v>0</v>
      </c>
      <c r="H467" s="1" t="str">
        <f>IF(Table1[[#This Row],[anxiety_score]]&lt;=10, "Normal", IF(Table1[[#This Row],[anxiety_score]]&lt;=20, "Moderate", IF(Table1[[#This Row],[anxiety_score]]&lt;=30, "Severe", "Extremely Severe")))</f>
        <v>Normal</v>
      </c>
      <c r="I467">
        <v>-1.0134224999999999</v>
      </c>
      <c r="J467">
        <v>4</v>
      </c>
      <c r="K467" s="1" t="str">
        <f>IF(Table1[[#This Row],[stress_score]]&lt;=10, "Normal", IF(Table1[[#This Row],[stress_score]]&lt;=20, "Moderate", IF(Table1[[#This Row],[stress_score]]&lt;=30, "Severe", "Extremely Severe")))</f>
        <v>Normal</v>
      </c>
      <c r="L467">
        <v>-0.77314866000000004</v>
      </c>
      <c r="M467">
        <v>0</v>
      </c>
      <c r="N467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467">
        <v>-1.1088359000000001</v>
      </c>
      <c r="P467">
        <v>1.3333333999999999</v>
      </c>
      <c r="Q467">
        <f>ROUND(Table1[[#This Row],[dass21_raw_score]],0)</f>
        <v>1</v>
      </c>
      <c r="R467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467">
        <v>-0.96513570000000004</v>
      </c>
      <c r="T467">
        <v>0.12977421</v>
      </c>
      <c r="U467">
        <v>5000</v>
      </c>
      <c r="V467" s="1">
        <f>ROUND(Table1[[#This Row],[fmpce]],0)</f>
        <v>5000</v>
      </c>
      <c r="W467">
        <v>68.023319999999998</v>
      </c>
      <c r="X467" s="4">
        <f>Table1[[#This Row],[mpce]]*89</f>
        <v>6054.0754799999995</v>
      </c>
      <c r="Y467" s="2" t="s">
        <v>28</v>
      </c>
      <c r="Z467" s="3">
        <f>VLOOKUP(Y467, rmpce_reference!$B$1:$D$7,3,FALSE) * 89</f>
        <v>6230</v>
      </c>
      <c r="AA467" s="1" t="str">
        <f>IF(Table1[rmpce_inr]&lt;=rmpce_reference!$F$2, "Low Income", IF(Table1[rmpce_inr]&lt;=rmpce_reference!$F$3, "Middle Income", "High Income"))</f>
        <v>Middle Income</v>
      </c>
    </row>
    <row r="468" spans="1:27" x14ac:dyDescent="0.25">
      <c r="A468">
        <v>3011</v>
      </c>
      <c r="B468" t="s">
        <v>40</v>
      </c>
      <c r="C468" t="s">
        <v>29</v>
      </c>
      <c r="D468">
        <v>36</v>
      </c>
      <c r="E468" t="s">
        <v>22</v>
      </c>
      <c r="F468" t="s">
        <v>30</v>
      </c>
      <c r="G468">
        <v>2</v>
      </c>
      <c r="H468" s="1" t="str">
        <f>IF(Table1[[#This Row],[anxiety_score]]&lt;=10, "Normal", IF(Table1[[#This Row],[anxiety_score]]&lt;=20, "Moderate", IF(Table1[[#This Row],[anxiety_score]]&lt;=30, "Severe", "Extremely Severe")))</f>
        <v>Normal</v>
      </c>
      <c r="I468">
        <v>-0.81237789999999999</v>
      </c>
      <c r="J468">
        <v>6</v>
      </c>
      <c r="K468" s="1" t="str">
        <f>IF(Table1[[#This Row],[stress_score]]&lt;=10, "Normal", IF(Table1[[#This Row],[stress_score]]&lt;=20, "Moderate", IF(Table1[[#This Row],[stress_score]]&lt;=30, "Severe", "Extremely Severe")))</f>
        <v>Normal</v>
      </c>
      <c r="L468">
        <v>-0.57848745999999995</v>
      </c>
      <c r="M468">
        <v>4</v>
      </c>
      <c r="N468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468">
        <v>-0.72356116999999998</v>
      </c>
      <c r="P468">
        <v>4</v>
      </c>
      <c r="Q468">
        <f>ROUND(Table1[[#This Row],[dass21_raw_score]],0)</f>
        <v>4</v>
      </c>
      <c r="R468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468">
        <v>-0.70480883000000005</v>
      </c>
      <c r="T468">
        <v>0.39010107999999999</v>
      </c>
      <c r="U468">
        <v>6666.6665000000003</v>
      </c>
      <c r="V468" s="1">
        <f>ROUND(Table1[[#This Row],[fmpce]],0)</f>
        <v>6667</v>
      </c>
      <c r="W468">
        <v>90.697760000000002</v>
      </c>
      <c r="X468" s="4">
        <f>Table1[[#This Row],[mpce]]*89</f>
        <v>8072.1006400000006</v>
      </c>
      <c r="Y468" s="2" t="s">
        <v>31</v>
      </c>
      <c r="Z468" s="3">
        <f>VLOOKUP(Y468, rmpce_reference!$B$1:$D$7,3,FALSE) * 89</f>
        <v>8010</v>
      </c>
      <c r="AA468" s="1" t="str">
        <f>IF(Table1[rmpce_inr]&lt;=rmpce_reference!$F$2, "Low Income", IF(Table1[rmpce_inr]&lt;=rmpce_reference!$F$3, "Middle Income", "High Income"))</f>
        <v>High Income</v>
      </c>
    </row>
    <row r="469" spans="1:27" x14ac:dyDescent="0.25">
      <c r="A469">
        <v>3012</v>
      </c>
      <c r="B469" t="s">
        <v>40</v>
      </c>
      <c r="C469" t="s">
        <v>29</v>
      </c>
      <c r="D469">
        <v>34</v>
      </c>
      <c r="E469" t="s">
        <v>25</v>
      </c>
      <c r="F469" t="s">
        <v>26</v>
      </c>
      <c r="G469">
        <v>2</v>
      </c>
      <c r="H469" s="1" t="str">
        <f>IF(Table1[[#This Row],[anxiety_score]]&lt;=10, "Normal", IF(Table1[[#This Row],[anxiety_score]]&lt;=20, "Moderate", IF(Table1[[#This Row],[anxiety_score]]&lt;=30, "Severe", "Extremely Severe")))</f>
        <v>Normal</v>
      </c>
      <c r="I469">
        <v>-0.81237789999999999</v>
      </c>
      <c r="J469">
        <v>10</v>
      </c>
      <c r="K469" s="1" t="str">
        <f>IF(Table1[[#This Row],[stress_score]]&lt;=10, "Normal", IF(Table1[[#This Row],[stress_score]]&lt;=20, "Moderate", IF(Table1[[#This Row],[stress_score]]&lt;=30, "Severe", "Extremely Severe")))</f>
        <v>Normal</v>
      </c>
      <c r="L469">
        <v>-0.18916494</v>
      </c>
      <c r="M469">
        <v>2</v>
      </c>
      <c r="N469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469">
        <v>-0.91619854999999994</v>
      </c>
      <c r="P469">
        <v>4.6666664999999998</v>
      </c>
      <c r="Q469">
        <f>ROUND(Table1[[#This Row],[dass21_raw_score]],0)</f>
        <v>5</v>
      </c>
      <c r="R469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469">
        <v>-0.63924709999999996</v>
      </c>
      <c r="T469">
        <v>0.45566279999999998</v>
      </c>
      <c r="U469">
        <v>3750</v>
      </c>
      <c r="V469" s="1">
        <f>ROUND(Table1[[#This Row],[fmpce]],0)</f>
        <v>3750</v>
      </c>
      <c r="W469">
        <v>51.017493999999999</v>
      </c>
      <c r="X469" s="4">
        <f>Table1[[#This Row],[mpce]]*89</f>
        <v>4540.5569660000001</v>
      </c>
      <c r="Y469" s="2" t="s">
        <v>32</v>
      </c>
      <c r="Z469" s="3">
        <f>VLOOKUP(Y469, rmpce_reference!$B$1:$D$7,3,FALSE) * 89</f>
        <v>4450</v>
      </c>
      <c r="AA469" s="1" t="str">
        <f>IF(Table1[rmpce_inr]&lt;=rmpce_reference!$F$2, "Low Income", IF(Table1[rmpce_inr]&lt;=rmpce_reference!$F$3, "Middle Income", "High Income"))</f>
        <v>Low Income</v>
      </c>
    </row>
    <row r="470" spans="1:27" x14ac:dyDescent="0.25">
      <c r="A470">
        <v>3013</v>
      </c>
      <c r="B470" t="s">
        <v>40</v>
      </c>
      <c r="C470" t="s">
        <v>33</v>
      </c>
      <c r="D470">
        <v>27</v>
      </c>
      <c r="E470" t="s">
        <v>25</v>
      </c>
      <c r="F470" t="s">
        <v>26</v>
      </c>
      <c r="G470">
        <v>0</v>
      </c>
      <c r="H470" s="1" t="str">
        <f>IF(Table1[[#This Row],[anxiety_score]]&lt;=10, "Normal", IF(Table1[[#This Row],[anxiety_score]]&lt;=20, "Moderate", IF(Table1[[#This Row],[anxiety_score]]&lt;=30, "Severe", "Extremely Severe")))</f>
        <v>Normal</v>
      </c>
      <c r="I470">
        <v>-1.0134224999999999</v>
      </c>
      <c r="J470">
        <v>10</v>
      </c>
      <c r="K470" s="1" t="str">
        <f>IF(Table1[[#This Row],[stress_score]]&lt;=10, "Normal", IF(Table1[[#This Row],[stress_score]]&lt;=20, "Moderate", IF(Table1[[#This Row],[stress_score]]&lt;=30, "Severe", "Extremely Severe")))</f>
        <v>Normal</v>
      </c>
      <c r="L470">
        <v>-0.18916494</v>
      </c>
      <c r="M470">
        <v>0</v>
      </c>
      <c r="N470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470">
        <v>-1.1088359000000001</v>
      </c>
      <c r="P470">
        <v>3.3333333000000001</v>
      </c>
      <c r="Q470">
        <f>ROUND(Table1[[#This Row],[dass21_raw_score]],0)</f>
        <v>3</v>
      </c>
      <c r="R470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470">
        <v>-0.77047443000000004</v>
      </c>
      <c r="T470">
        <v>0.32443547</v>
      </c>
      <c r="U470">
        <v>5000</v>
      </c>
      <c r="V470" s="1">
        <f>ROUND(Table1[[#This Row],[fmpce]],0)</f>
        <v>5000</v>
      </c>
      <c r="W470">
        <v>68.023319999999998</v>
      </c>
      <c r="X470" s="4">
        <f>Table1[[#This Row],[mpce]]*89</f>
        <v>6054.0754799999995</v>
      </c>
      <c r="Y470" s="2" t="s">
        <v>28</v>
      </c>
      <c r="Z470" s="3">
        <f>VLOOKUP(Y470, rmpce_reference!$B$1:$D$7,3,FALSE) * 89</f>
        <v>6230</v>
      </c>
      <c r="AA470" s="1" t="str">
        <f>IF(Table1[rmpce_inr]&lt;=rmpce_reference!$F$2, "Low Income", IF(Table1[rmpce_inr]&lt;=rmpce_reference!$F$3, "Middle Income", "High Income"))</f>
        <v>Middle Income</v>
      </c>
    </row>
    <row r="471" spans="1:27" x14ac:dyDescent="0.25">
      <c r="A471">
        <v>3014</v>
      </c>
      <c r="B471" t="s">
        <v>40</v>
      </c>
      <c r="C471" t="s">
        <v>29</v>
      </c>
      <c r="D471">
        <v>35</v>
      </c>
      <c r="E471" t="s">
        <v>22</v>
      </c>
      <c r="F471" t="s">
        <v>30</v>
      </c>
      <c r="G471">
        <v>2</v>
      </c>
      <c r="H471" s="1" t="str">
        <f>IF(Table1[[#This Row],[anxiety_score]]&lt;=10, "Normal", IF(Table1[[#This Row],[anxiety_score]]&lt;=20, "Moderate", IF(Table1[[#This Row],[anxiety_score]]&lt;=30, "Severe", "Extremely Severe")))</f>
        <v>Normal</v>
      </c>
      <c r="I471">
        <v>-0.81237789999999999</v>
      </c>
      <c r="J471">
        <v>6</v>
      </c>
      <c r="K471" s="1" t="str">
        <f>IF(Table1[[#This Row],[stress_score]]&lt;=10, "Normal", IF(Table1[[#This Row],[stress_score]]&lt;=20, "Moderate", IF(Table1[[#This Row],[stress_score]]&lt;=30, "Severe", "Extremely Severe")))</f>
        <v>Normal</v>
      </c>
      <c r="L471">
        <v>-0.57848745999999995</v>
      </c>
      <c r="M471">
        <v>2</v>
      </c>
      <c r="N471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471">
        <v>-0.91619854999999994</v>
      </c>
      <c r="P471">
        <v>3.3333333000000001</v>
      </c>
      <c r="Q471">
        <f>ROUND(Table1[[#This Row],[dass21_raw_score]],0)</f>
        <v>3</v>
      </c>
      <c r="R471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471">
        <v>-0.76902132999999995</v>
      </c>
      <c r="T471">
        <v>0.32588856999999999</v>
      </c>
      <c r="U471">
        <v>3833.3332999999998</v>
      </c>
      <c r="V471" s="1">
        <f>ROUND(Table1[[#This Row],[fmpce]],0)</f>
        <v>3833</v>
      </c>
      <c r="W471">
        <v>52.151215000000001</v>
      </c>
      <c r="X471" s="4">
        <f>Table1[[#This Row],[mpce]]*89</f>
        <v>4641.4581349999999</v>
      </c>
      <c r="Y471" s="2" t="s">
        <v>32</v>
      </c>
      <c r="Z471" s="3">
        <f>VLOOKUP(Y471, rmpce_reference!$B$1:$D$7,3,FALSE) * 89</f>
        <v>4450</v>
      </c>
      <c r="AA471" s="1" t="str">
        <f>IF(Table1[rmpce_inr]&lt;=rmpce_reference!$F$2, "Low Income", IF(Table1[rmpce_inr]&lt;=rmpce_reference!$F$3, "Middle Income", "High Income"))</f>
        <v>Low Income</v>
      </c>
    </row>
    <row r="472" spans="1:27" x14ac:dyDescent="0.25">
      <c r="A472">
        <v>3015</v>
      </c>
      <c r="B472" t="s">
        <v>40</v>
      </c>
      <c r="C472" t="s">
        <v>29</v>
      </c>
      <c r="D472">
        <v>38</v>
      </c>
      <c r="E472" t="s">
        <v>22</v>
      </c>
      <c r="F472" t="s">
        <v>30</v>
      </c>
      <c r="G472">
        <v>0</v>
      </c>
      <c r="H472" s="1" t="str">
        <f>IF(Table1[[#This Row],[anxiety_score]]&lt;=10, "Normal", IF(Table1[[#This Row],[anxiety_score]]&lt;=20, "Moderate", IF(Table1[[#This Row],[anxiety_score]]&lt;=30, "Severe", "Extremely Severe")))</f>
        <v>Normal</v>
      </c>
      <c r="I472">
        <v>-1.0134224999999999</v>
      </c>
      <c r="J472">
        <v>8</v>
      </c>
      <c r="K472" s="1" t="str">
        <f>IF(Table1[[#This Row],[stress_score]]&lt;=10, "Normal", IF(Table1[[#This Row],[stress_score]]&lt;=20, "Moderate", IF(Table1[[#This Row],[stress_score]]&lt;=30, "Severe", "Extremely Severe")))</f>
        <v>Normal</v>
      </c>
      <c r="L472">
        <v>-0.38382620000000001</v>
      </c>
      <c r="M472">
        <v>8</v>
      </c>
      <c r="N472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472">
        <v>-0.33828637</v>
      </c>
      <c r="P472">
        <v>5.3333335000000002</v>
      </c>
      <c r="Q472">
        <f>ROUND(Table1[[#This Row],[dass21_raw_score]],0)</f>
        <v>5</v>
      </c>
      <c r="R472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472">
        <v>-0.57851169999999996</v>
      </c>
      <c r="T472">
        <v>0.51639820000000003</v>
      </c>
      <c r="U472">
        <v>5000</v>
      </c>
      <c r="V472" s="1">
        <f>ROUND(Table1[[#This Row],[fmpce]],0)</f>
        <v>5000</v>
      </c>
      <c r="W472">
        <v>68.023319999999998</v>
      </c>
      <c r="X472" s="4">
        <f>Table1[[#This Row],[mpce]]*89</f>
        <v>6054.0754799999995</v>
      </c>
      <c r="Y472" s="2" t="s">
        <v>28</v>
      </c>
      <c r="Z472" s="3">
        <f>VLOOKUP(Y472, rmpce_reference!$B$1:$D$7,3,FALSE) * 89</f>
        <v>6230</v>
      </c>
      <c r="AA472" s="1" t="str">
        <f>IF(Table1[rmpce_inr]&lt;=rmpce_reference!$F$2, "Low Income", IF(Table1[rmpce_inr]&lt;=rmpce_reference!$F$3, "Middle Income", "High Income"))</f>
        <v>Middle Income</v>
      </c>
    </row>
    <row r="473" spans="1:27" x14ac:dyDescent="0.25">
      <c r="A473">
        <v>3016</v>
      </c>
      <c r="B473" t="s">
        <v>40</v>
      </c>
      <c r="C473" t="s">
        <v>33</v>
      </c>
      <c r="D473">
        <v>30</v>
      </c>
      <c r="E473" t="s">
        <v>25</v>
      </c>
      <c r="F473" t="s">
        <v>26</v>
      </c>
      <c r="G473">
        <v>8</v>
      </c>
      <c r="H473" s="1" t="str">
        <f>IF(Table1[[#This Row],[anxiety_score]]&lt;=10, "Normal", IF(Table1[[#This Row],[anxiety_score]]&lt;=20, "Moderate", IF(Table1[[#This Row],[anxiety_score]]&lt;=30, "Severe", "Extremely Severe")))</f>
        <v>Normal</v>
      </c>
      <c r="I473">
        <v>-0.20924408999999999</v>
      </c>
      <c r="J473">
        <v>14</v>
      </c>
      <c r="K473" s="1" t="str">
        <f>IF(Table1[[#This Row],[stress_score]]&lt;=10, "Normal", IF(Table1[[#This Row],[stress_score]]&lt;=20, "Moderate", IF(Table1[[#This Row],[stress_score]]&lt;=30, "Severe", "Extremely Severe")))</f>
        <v>Moderate</v>
      </c>
      <c r="L473">
        <v>0.20015757000000001</v>
      </c>
      <c r="M473">
        <v>14</v>
      </c>
      <c r="N473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473">
        <v>0.23962580999999999</v>
      </c>
      <c r="P473">
        <v>12</v>
      </c>
      <c r="Q473">
        <f>ROUND(Table1[[#This Row],[dass21_raw_score]],0)</f>
        <v>12</v>
      </c>
      <c r="R473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473">
        <v>7.6846429999999993E-2</v>
      </c>
      <c r="T473">
        <v>1.1717564</v>
      </c>
      <c r="U473">
        <v>5000</v>
      </c>
      <c r="V473" s="1">
        <f>ROUND(Table1[[#This Row],[fmpce]],0)</f>
        <v>5000</v>
      </c>
      <c r="W473">
        <v>68.023319999999998</v>
      </c>
      <c r="X473" s="4">
        <f>Table1[[#This Row],[mpce]]*89</f>
        <v>6054.0754799999995</v>
      </c>
      <c r="Y473" s="2" t="s">
        <v>28</v>
      </c>
      <c r="Z473" s="3">
        <f>VLOOKUP(Y473, rmpce_reference!$B$1:$D$7,3,FALSE) * 89</f>
        <v>6230</v>
      </c>
      <c r="AA473" s="1" t="str">
        <f>IF(Table1[rmpce_inr]&lt;=rmpce_reference!$F$2, "Low Income", IF(Table1[rmpce_inr]&lt;=rmpce_reference!$F$3, "Middle Income", "High Income"))</f>
        <v>Middle Income</v>
      </c>
    </row>
    <row r="474" spans="1:27" x14ac:dyDescent="0.25">
      <c r="A474">
        <v>3017</v>
      </c>
      <c r="B474" t="s">
        <v>40</v>
      </c>
      <c r="C474" t="s">
        <v>29</v>
      </c>
      <c r="D474">
        <v>32</v>
      </c>
      <c r="E474" t="s">
        <v>22</v>
      </c>
      <c r="F474" t="s">
        <v>30</v>
      </c>
      <c r="G474">
        <v>0</v>
      </c>
      <c r="H474" s="1" t="str">
        <f>IF(Table1[[#This Row],[anxiety_score]]&lt;=10, "Normal", IF(Table1[[#This Row],[anxiety_score]]&lt;=20, "Moderate", IF(Table1[[#This Row],[anxiety_score]]&lt;=30, "Severe", "Extremely Severe")))</f>
        <v>Normal</v>
      </c>
      <c r="I474">
        <v>-1.0134224999999999</v>
      </c>
      <c r="J474">
        <v>4</v>
      </c>
      <c r="K474" s="1" t="str">
        <f>IF(Table1[[#This Row],[stress_score]]&lt;=10, "Normal", IF(Table1[[#This Row],[stress_score]]&lt;=20, "Moderate", IF(Table1[[#This Row],[stress_score]]&lt;=30, "Severe", "Extremely Severe")))</f>
        <v>Normal</v>
      </c>
      <c r="L474">
        <v>-0.77314866000000004</v>
      </c>
      <c r="M474">
        <v>2</v>
      </c>
      <c r="N474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474">
        <v>-0.91619854999999994</v>
      </c>
      <c r="P474">
        <v>2</v>
      </c>
      <c r="Q474">
        <f>ROUND(Table1[[#This Row],[dass21_raw_score]],0)</f>
        <v>2</v>
      </c>
      <c r="R474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474">
        <v>-0.90092324999999995</v>
      </c>
      <c r="T474">
        <v>0.19398665000000001</v>
      </c>
      <c r="U474">
        <v>4166.6665000000003</v>
      </c>
      <c r="V474" s="1">
        <f>ROUND(Table1[[#This Row],[fmpce]],0)</f>
        <v>4167</v>
      </c>
      <c r="W474">
        <v>56.686100000000003</v>
      </c>
      <c r="X474" s="4">
        <f>Table1[[#This Row],[mpce]]*89</f>
        <v>5045.0628999999999</v>
      </c>
      <c r="Y474" s="2" t="s">
        <v>32</v>
      </c>
      <c r="Z474" s="3">
        <f>VLOOKUP(Y474, rmpce_reference!$B$1:$D$7,3,FALSE) * 89</f>
        <v>4450</v>
      </c>
      <c r="AA474" s="1" t="str">
        <f>IF(Table1[rmpce_inr]&lt;=rmpce_reference!$F$2, "Low Income", IF(Table1[rmpce_inr]&lt;=rmpce_reference!$F$3, "Middle Income", "High Income"))</f>
        <v>Low Income</v>
      </c>
    </row>
    <row r="475" spans="1:27" x14ac:dyDescent="0.25">
      <c r="A475">
        <v>3018</v>
      </c>
      <c r="B475" t="s">
        <v>40</v>
      </c>
      <c r="C475" t="s">
        <v>21</v>
      </c>
      <c r="D475">
        <v>45</v>
      </c>
      <c r="E475" t="s">
        <v>22</v>
      </c>
      <c r="F475" t="s">
        <v>37</v>
      </c>
      <c r="G475">
        <v>0</v>
      </c>
      <c r="H475" s="1" t="str">
        <f>IF(Table1[[#This Row],[anxiety_score]]&lt;=10, "Normal", IF(Table1[[#This Row],[anxiety_score]]&lt;=20, "Moderate", IF(Table1[[#This Row],[anxiety_score]]&lt;=30, "Severe", "Extremely Severe")))</f>
        <v>Normal</v>
      </c>
      <c r="I475">
        <v>-1.0134224999999999</v>
      </c>
      <c r="J475">
        <v>8</v>
      </c>
      <c r="K475" s="1" t="str">
        <f>IF(Table1[[#This Row],[stress_score]]&lt;=10, "Normal", IF(Table1[[#This Row],[stress_score]]&lt;=20, "Moderate", IF(Table1[[#This Row],[stress_score]]&lt;=30, "Severe", "Extremely Severe")))</f>
        <v>Normal</v>
      </c>
      <c r="L475">
        <v>-0.38382620000000001</v>
      </c>
      <c r="M475">
        <v>6</v>
      </c>
      <c r="N475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475">
        <v>-0.53092379999999995</v>
      </c>
      <c r="P475">
        <v>4.6666664999999998</v>
      </c>
      <c r="Q475">
        <f>ROUND(Table1[[#This Row],[dass21_raw_score]],0)</f>
        <v>5</v>
      </c>
      <c r="R475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475">
        <v>-0.64272415999999999</v>
      </c>
      <c r="T475">
        <v>0.45218575</v>
      </c>
      <c r="U475">
        <v>3333.3332999999998</v>
      </c>
      <c r="V475" s="1">
        <f>ROUND(Table1[[#This Row],[fmpce]],0)</f>
        <v>3333</v>
      </c>
      <c r="W475">
        <v>45.348880000000001</v>
      </c>
      <c r="X475" s="4">
        <f>Table1[[#This Row],[mpce]]*89</f>
        <v>4036.0503200000003</v>
      </c>
      <c r="Y475" s="2" t="s">
        <v>32</v>
      </c>
      <c r="Z475" s="3">
        <f>VLOOKUP(Y475, rmpce_reference!$B$1:$D$7,3,FALSE) * 89</f>
        <v>4450</v>
      </c>
      <c r="AA475" s="1" t="str">
        <f>IF(Table1[rmpce_inr]&lt;=rmpce_reference!$F$2, "Low Income", IF(Table1[rmpce_inr]&lt;=rmpce_reference!$F$3, "Middle Income", "High Income"))</f>
        <v>Low Income</v>
      </c>
    </row>
    <row r="476" spans="1:27" x14ac:dyDescent="0.25">
      <c r="A476">
        <v>3019</v>
      </c>
      <c r="B476" t="s">
        <v>40</v>
      </c>
      <c r="C476" t="s">
        <v>29</v>
      </c>
      <c r="D476">
        <v>32</v>
      </c>
      <c r="E476" t="s">
        <v>22</v>
      </c>
      <c r="F476" t="s">
        <v>23</v>
      </c>
      <c r="G476">
        <v>2</v>
      </c>
      <c r="H476" s="1" t="str">
        <f>IF(Table1[[#This Row],[anxiety_score]]&lt;=10, "Normal", IF(Table1[[#This Row],[anxiety_score]]&lt;=20, "Moderate", IF(Table1[[#This Row],[anxiety_score]]&lt;=30, "Severe", "Extremely Severe")))</f>
        <v>Normal</v>
      </c>
      <c r="I476">
        <v>-0.81237789999999999</v>
      </c>
      <c r="J476">
        <v>8</v>
      </c>
      <c r="K476" s="1" t="str">
        <f>IF(Table1[[#This Row],[stress_score]]&lt;=10, "Normal", IF(Table1[[#This Row],[stress_score]]&lt;=20, "Moderate", IF(Table1[[#This Row],[stress_score]]&lt;=30, "Severe", "Extremely Severe")))</f>
        <v>Normal</v>
      </c>
      <c r="L476">
        <v>-0.38382620000000001</v>
      </c>
      <c r="M476">
        <v>10</v>
      </c>
      <c r="N476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476">
        <v>-0.14564899000000001</v>
      </c>
      <c r="P476">
        <v>6.6666664999999998</v>
      </c>
      <c r="Q476">
        <f>ROUND(Table1[[#This Row],[dass21_raw_score]],0)</f>
        <v>7</v>
      </c>
      <c r="R476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476">
        <v>-0.44728436999999999</v>
      </c>
      <c r="T476">
        <v>0.64762556999999998</v>
      </c>
      <c r="U476">
        <v>7500</v>
      </c>
      <c r="V476" s="1">
        <f>ROUND(Table1[[#This Row],[fmpce]],0)</f>
        <v>7500</v>
      </c>
      <c r="W476">
        <v>102.03498999999999</v>
      </c>
      <c r="X476" s="4">
        <f>Table1[[#This Row],[mpce]]*89</f>
        <v>9081.1141099999986</v>
      </c>
      <c r="Y476" s="2" t="s">
        <v>35</v>
      </c>
      <c r="Z476" s="3">
        <f>VLOOKUP(Y476, rmpce_reference!$B$1:$D$7,3,FALSE) * 89</f>
        <v>9790</v>
      </c>
      <c r="AA476" s="1" t="str">
        <f>IF(Table1[rmpce_inr]&lt;=rmpce_reference!$F$2, "Low Income", IF(Table1[rmpce_inr]&lt;=rmpce_reference!$F$3, "Middle Income", "High Income"))</f>
        <v>High Income</v>
      </c>
    </row>
    <row r="477" spans="1:27" x14ac:dyDescent="0.25">
      <c r="A477">
        <v>3020</v>
      </c>
      <c r="B477" t="s">
        <v>40</v>
      </c>
      <c r="C477" t="s">
        <v>29</v>
      </c>
      <c r="D477">
        <v>36</v>
      </c>
      <c r="E477" t="s">
        <v>22</v>
      </c>
      <c r="F477" t="s">
        <v>23</v>
      </c>
      <c r="G477">
        <v>6</v>
      </c>
      <c r="H477" s="1" t="str">
        <f>IF(Table1[[#This Row],[anxiety_score]]&lt;=10, "Normal", IF(Table1[[#This Row],[anxiety_score]]&lt;=20, "Moderate", IF(Table1[[#This Row],[anxiety_score]]&lt;=30, "Severe", "Extremely Severe")))</f>
        <v>Normal</v>
      </c>
      <c r="I477">
        <v>-0.41028870000000001</v>
      </c>
      <c r="J477">
        <v>6</v>
      </c>
      <c r="K477" s="1" t="str">
        <f>IF(Table1[[#This Row],[stress_score]]&lt;=10, "Normal", IF(Table1[[#This Row],[stress_score]]&lt;=20, "Moderate", IF(Table1[[#This Row],[stress_score]]&lt;=30, "Severe", "Extremely Severe")))</f>
        <v>Normal</v>
      </c>
      <c r="L477">
        <v>-0.57848745999999995</v>
      </c>
      <c r="M477">
        <v>6</v>
      </c>
      <c r="N477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477">
        <v>-0.53092379999999995</v>
      </c>
      <c r="P477">
        <v>6</v>
      </c>
      <c r="Q477">
        <f>ROUND(Table1[[#This Row],[dass21_raw_score]],0)</f>
        <v>6</v>
      </c>
      <c r="R477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477">
        <v>-0.50656663999999996</v>
      </c>
      <c r="T477">
        <v>0.58834326000000003</v>
      </c>
      <c r="U477">
        <v>3750</v>
      </c>
      <c r="V477" s="1">
        <f>ROUND(Table1[[#This Row],[fmpce]],0)</f>
        <v>3750</v>
      </c>
      <c r="W477">
        <v>51.017493999999999</v>
      </c>
      <c r="X477" s="4">
        <f>Table1[[#This Row],[mpce]]*89</f>
        <v>4540.5569660000001</v>
      </c>
      <c r="Y477" s="2" t="s">
        <v>32</v>
      </c>
      <c r="Z477" s="3">
        <f>VLOOKUP(Y477, rmpce_reference!$B$1:$D$7,3,FALSE) * 89</f>
        <v>4450</v>
      </c>
      <c r="AA477" s="1" t="str">
        <f>IF(Table1[rmpce_inr]&lt;=rmpce_reference!$F$2, "Low Income", IF(Table1[rmpce_inr]&lt;=rmpce_reference!$F$3, "Middle Income", "High Income"))</f>
        <v>Low Income</v>
      </c>
    </row>
    <row r="478" spans="1:27" x14ac:dyDescent="0.25">
      <c r="A478">
        <v>3021</v>
      </c>
      <c r="B478" t="s">
        <v>40</v>
      </c>
      <c r="C478" t="s">
        <v>33</v>
      </c>
      <c r="D478">
        <v>28</v>
      </c>
      <c r="E478" t="s">
        <v>22</v>
      </c>
      <c r="F478" t="s">
        <v>30</v>
      </c>
      <c r="G478">
        <v>0</v>
      </c>
      <c r="H478" s="1" t="str">
        <f>IF(Table1[[#This Row],[anxiety_score]]&lt;=10, "Normal", IF(Table1[[#This Row],[anxiety_score]]&lt;=20, "Moderate", IF(Table1[[#This Row],[anxiety_score]]&lt;=30, "Severe", "Extremely Severe")))</f>
        <v>Normal</v>
      </c>
      <c r="I478">
        <v>-1.0134224999999999</v>
      </c>
      <c r="J478">
        <v>6</v>
      </c>
      <c r="K478" s="1" t="str">
        <f>IF(Table1[[#This Row],[stress_score]]&lt;=10, "Normal", IF(Table1[[#This Row],[stress_score]]&lt;=20, "Moderate", IF(Table1[[#This Row],[stress_score]]&lt;=30, "Severe", "Extremely Severe")))</f>
        <v>Normal</v>
      </c>
      <c r="L478">
        <v>-0.57848745999999995</v>
      </c>
      <c r="M478">
        <v>4</v>
      </c>
      <c r="N478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478">
        <v>-0.72356116999999998</v>
      </c>
      <c r="P478">
        <v>3.3333333000000001</v>
      </c>
      <c r="Q478">
        <f>ROUND(Table1[[#This Row],[dass21_raw_score]],0)</f>
        <v>3</v>
      </c>
      <c r="R478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478">
        <v>-0.7718237</v>
      </c>
      <c r="T478">
        <v>0.32308619999999999</v>
      </c>
      <c r="U478">
        <v>5000</v>
      </c>
      <c r="V478" s="1">
        <f>ROUND(Table1[[#This Row],[fmpce]],0)</f>
        <v>5000</v>
      </c>
      <c r="W478">
        <v>68.023319999999998</v>
      </c>
      <c r="X478" s="4">
        <f>Table1[[#This Row],[mpce]]*89</f>
        <v>6054.0754799999995</v>
      </c>
      <c r="Y478" s="2" t="s">
        <v>28</v>
      </c>
      <c r="Z478" s="3">
        <f>VLOOKUP(Y478, rmpce_reference!$B$1:$D$7,3,FALSE) * 89</f>
        <v>6230</v>
      </c>
      <c r="AA478" s="1" t="str">
        <f>IF(Table1[rmpce_inr]&lt;=rmpce_reference!$F$2, "Low Income", IF(Table1[rmpce_inr]&lt;=rmpce_reference!$F$3, "Middle Income", "High Income"))</f>
        <v>Middle Income</v>
      </c>
    </row>
    <row r="479" spans="1:27" x14ac:dyDescent="0.25">
      <c r="A479">
        <v>3022</v>
      </c>
      <c r="B479" t="s">
        <v>40</v>
      </c>
      <c r="C479" t="s">
        <v>29</v>
      </c>
      <c r="D479">
        <v>38</v>
      </c>
      <c r="E479" t="s">
        <v>22</v>
      </c>
      <c r="F479" t="s">
        <v>23</v>
      </c>
      <c r="G479">
        <v>14</v>
      </c>
      <c r="H479" s="1" t="str">
        <f>IF(Table1[[#This Row],[anxiety_score]]&lt;=10, "Normal", IF(Table1[[#This Row],[anxiety_score]]&lt;=20, "Moderate", IF(Table1[[#This Row],[anxiety_score]]&lt;=30, "Severe", "Extremely Severe")))</f>
        <v>Moderate</v>
      </c>
      <c r="I479">
        <v>0.39388975999999998</v>
      </c>
      <c r="J479">
        <v>32</v>
      </c>
      <c r="K479" s="1" t="str">
        <f>IF(Table1[[#This Row],[stress_score]]&lt;=10, "Normal", IF(Table1[[#This Row],[stress_score]]&lt;=20, "Moderate", IF(Table1[[#This Row],[stress_score]]&lt;=30, "Severe", "Extremely Severe")))</f>
        <v>Extremely Severe</v>
      </c>
      <c r="L479">
        <v>1.9521089</v>
      </c>
      <c r="M479">
        <v>30</v>
      </c>
      <c r="N479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479">
        <v>1.7807249999999999</v>
      </c>
      <c r="P479">
        <v>25.333334000000001</v>
      </c>
      <c r="Q479">
        <f>ROUND(Table1[[#This Row],[dass21_raw_score]],0)</f>
        <v>25</v>
      </c>
      <c r="R479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479">
        <v>1.3755746</v>
      </c>
      <c r="T479">
        <v>2.4704845</v>
      </c>
      <c r="U479">
        <v>5000</v>
      </c>
      <c r="V479" s="1">
        <f>ROUND(Table1[[#This Row],[fmpce]],0)</f>
        <v>5000</v>
      </c>
      <c r="W479">
        <v>68.023319999999998</v>
      </c>
      <c r="X479" s="4">
        <f>Table1[[#This Row],[mpce]]*89</f>
        <v>6054.0754799999995</v>
      </c>
      <c r="Y479" s="2" t="s">
        <v>28</v>
      </c>
      <c r="Z479" s="3">
        <f>VLOOKUP(Y479, rmpce_reference!$B$1:$D$7,3,FALSE) * 89</f>
        <v>6230</v>
      </c>
      <c r="AA479" s="1" t="str">
        <f>IF(Table1[rmpce_inr]&lt;=rmpce_reference!$F$2, "Low Income", IF(Table1[rmpce_inr]&lt;=rmpce_reference!$F$3, "Middle Income", "High Income"))</f>
        <v>Middle Income</v>
      </c>
    </row>
    <row r="480" spans="1:27" x14ac:dyDescent="0.25">
      <c r="A480">
        <v>3023</v>
      </c>
      <c r="B480" t="s">
        <v>40</v>
      </c>
      <c r="C480" t="s">
        <v>33</v>
      </c>
      <c r="D480">
        <v>27</v>
      </c>
      <c r="E480" t="s">
        <v>25</v>
      </c>
      <c r="F480" t="s">
        <v>38</v>
      </c>
      <c r="G480">
        <v>2</v>
      </c>
      <c r="H480" s="1" t="str">
        <f>IF(Table1[[#This Row],[anxiety_score]]&lt;=10, "Normal", IF(Table1[[#This Row],[anxiety_score]]&lt;=20, "Moderate", IF(Table1[[#This Row],[anxiety_score]]&lt;=30, "Severe", "Extremely Severe")))</f>
        <v>Normal</v>
      </c>
      <c r="I480">
        <v>-0.81237789999999999</v>
      </c>
      <c r="J480">
        <v>4</v>
      </c>
      <c r="K480" s="1" t="str">
        <f>IF(Table1[[#This Row],[stress_score]]&lt;=10, "Normal", IF(Table1[[#This Row],[stress_score]]&lt;=20, "Moderate", IF(Table1[[#This Row],[stress_score]]&lt;=30, "Severe", "Extremely Severe")))</f>
        <v>Normal</v>
      </c>
      <c r="L480">
        <v>-0.77314866000000004</v>
      </c>
      <c r="M480">
        <v>0</v>
      </c>
      <c r="N480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480">
        <v>-1.1088359000000001</v>
      </c>
      <c r="P480">
        <v>2</v>
      </c>
      <c r="Q480">
        <f>ROUND(Table1[[#This Row],[dass21_raw_score]],0)</f>
        <v>2</v>
      </c>
      <c r="R480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480">
        <v>-0.89812080000000005</v>
      </c>
      <c r="T480">
        <v>0.19678909</v>
      </c>
      <c r="U480">
        <v>2500</v>
      </c>
      <c r="V480" s="1">
        <f>ROUND(Table1[[#This Row],[fmpce]],0)</f>
        <v>2500</v>
      </c>
      <c r="W480">
        <v>34.011659999999999</v>
      </c>
      <c r="X480" s="4">
        <f>Table1[[#This Row],[mpce]]*89</f>
        <v>3027.0377399999998</v>
      </c>
      <c r="Y480" s="2" t="s">
        <v>34</v>
      </c>
      <c r="Z480" s="3">
        <f>VLOOKUP(Y480, rmpce_reference!$B$1:$D$7,3,FALSE) * 89</f>
        <v>2848</v>
      </c>
      <c r="AA480" s="1" t="str">
        <f>IF(Table1[rmpce_inr]&lt;=rmpce_reference!$F$2, "Low Income", IF(Table1[rmpce_inr]&lt;=rmpce_reference!$F$3, "Middle Income", "High Income"))</f>
        <v>Low Income</v>
      </c>
    </row>
    <row r="481" spans="1:27" x14ac:dyDescent="0.25">
      <c r="A481">
        <v>3024</v>
      </c>
      <c r="B481" t="s">
        <v>40</v>
      </c>
      <c r="C481" t="s">
        <v>29</v>
      </c>
      <c r="D481">
        <v>38</v>
      </c>
      <c r="E481" t="s">
        <v>25</v>
      </c>
      <c r="F481" t="s">
        <v>26</v>
      </c>
      <c r="G481">
        <v>0</v>
      </c>
      <c r="H481" s="1" t="str">
        <f>IF(Table1[[#This Row],[anxiety_score]]&lt;=10, "Normal", IF(Table1[[#This Row],[anxiety_score]]&lt;=20, "Moderate", IF(Table1[[#This Row],[anxiety_score]]&lt;=30, "Severe", "Extremely Severe")))</f>
        <v>Normal</v>
      </c>
      <c r="I481">
        <v>-1.0134224999999999</v>
      </c>
      <c r="J481">
        <v>6</v>
      </c>
      <c r="K481" s="1" t="str">
        <f>IF(Table1[[#This Row],[stress_score]]&lt;=10, "Normal", IF(Table1[[#This Row],[stress_score]]&lt;=20, "Moderate", IF(Table1[[#This Row],[stress_score]]&lt;=30, "Severe", "Extremely Severe")))</f>
        <v>Normal</v>
      </c>
      <c r="L481">
        <v>-0.57848745999999995</v>
      </c>
      <c r="M481">
        <v>2</v>
      </c>
      <c r="N481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481">
        <v>-0.91619854999999994</v>
      </c>
      <c r="P481">
        <v>2.6666666999999999</v>
      </c>
      <c r="Q481">
        <f>ROUND(Table1[[#This Row],[dass21_raw_score]],0)</f>
        <v>3</v>
      </c>
      <c r="R481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481">
        <v>-0.83603614999999998</v>
      </c>
      <c r="T481">
        <v>0.25887376000000001</v>
      </c>
      <c r="U481">
        <v>6666.6665000000003</v>
      </c>
      <c r="V481" s="1">
        <f>ROUND(Table1[[#This Row],[fmpce]],0)</f>
        <v>6667</v>
      </c>
      <c r="W481">
        <v>90.697760000000002</v>
      </c>
      <c r="X481" s="4">
        <f>Table1[[#This Row],[mpce]]*89</f>
        <v>8072.1006400000006</v>
      </c>
      <c r="Y481" s="2" t="s">
        <v>31</v>
      </c>
      <c r="Z481" s="3">
        <f>VLOOKUP(Y481, rmpce_reference!$B$1:$D$7,3,FALSE) * 89</f>
        <v>8010</v>
      </c>
      <c r="AA481" s="1" t="str">
        <f>IF(Table1[rmpce_inr]&lt;=rmpce_reference!$F$2, "Low Income", IF(Table1[rmpce_inr]&lt;=rmpce_reference!$F$3, "Middle Income", "High Income"))</f>
        <v>High Income</v>
      </c>
    </row>
    <row r="482" spans="1:27" x14ac:dyDescent="0.25">
      <c r="A482">
        <v>3025</v>
      </c>
      <c r="B482" t="s">
        <v>40</v>
      </c>
      <c r="C482" t="s">
        <v>21</v>
      </c>
      <c r="D482">
        <v>45</v>
      </c>
      <c r="E482" t="s">
        <v>22</v>
      </c>
      <c r="F482" t="s">
        <v>23</v>
      </c>
      <c r="G482">
        <v>2</v>
      </c>
      <c r="H482" s="1" t="str">
        <f>IF(Table1[[#This Row],[anxiety_score]]&lt;=10, "Normal", IF(Table1[[#This Row],[anxiety_score]]&lt;=20, "Moderate", IF(Table1[[#This Row],[anxiety_score]]&lt;=30, "Severe", "Extremely Severe")))</f>
        <v>Normal</v>
      </c>
      <c r="I482">
        <v>-0.81237789999999999</v>
      </c>
      <c r="J482">
        <v>14</v>
      </c>
      <c r="K482" s="1" t="str">
        <f>IF(Table1[[#This Row],[stress_score]]&lt;=10, "Normal", IF(Table1[[#This Row],[stress_score]]&lt;=20, "Moderate", IF(Table1[[#This Row],[stress_score]]&lt;=30, "Severe", "Extremely Severe")))</f>
        <v>Moderate</v>
      </c>
      <c r="L482">
        <v>0.20015757000000001</v>
      </c>
      <c r="M482">
        <v>2</v>
      </c>
      <c r="N482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482">
        <v>-0.91619854999999994</v>
      </c>
      <c r="P482">
        <v>6</v>
      </c>
      <c r="Q482">
        <f>ROUND(Table1[[#This Row],[dass21_raw_score]],0)</f>
        <v>6</v>
      </c>
      <c r="R482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482">
        <v>-0.50947297000000002</v>
      </c>
      <c r="T482">
        <v>0.58543694000000002</v>
      </c>
      <c r="U482">
        <v>8333.3330000000005</v>
      </c>
      <c r="V482" s="1">
        <f>ROUND(Table1[[#This Row],[fmpce]],0)</f>
        <v>8333</v>
      </c>
      <c r="W482">
        <v>113.37220000000001</v>
      </c>
      <c r="X482" s="4">
        <f>Table1[[#This Row],[mpce]]*89</f>
        <v>10090.1258</v>
      </c>
      <c r="Y482" s="2" t="s">
        <v>35</v>
      </c>
      <c r="Z482" s="3">
        <f>VLOOKUP(Y482, rmpce_reference!$B$1:$D$7,3,FALSE) * 89</f>
        <v>9790</v>
      </c>
      <c r="AA482" s="1" t="str">
        <f>IF(Table1[rmpce_inr]&lt;=rmpce_reference!$F$2, "Low Income", IF(Table1[rmpce_inr]&lt;=rmpce_reference!$F$3, "Middle Income", "High Income"))</f>
        <v>High Income</v>
      </c>
    </row>
    <row r="483" spans="1:27" x14ac:dyDescent="0.25">
      <c r="A483">
        <v>3026</v>
      </c>
      <c r="B483" t="s">
        <v>40</v>
      </c>
      <c r="C483" t="s">
        <v>33</v>
      </c>
      <c r="D483">
        <v>30</v>
      </c>
      <c r="E483" t="s">
        <v>25</v>
      </c>
      <c r="F483" t="s">
        <v>26</v>
      </c>
      <c r="G483">
        <v>2</v>
      </c>
      <c r="H483" s="1" t="str">
        <f>IF(Table1[[#This Row],[anxiety_score]]&lt;=10, "Normal", IF(Table1[[#This Row],[anxiety_score]]&lt;=20, "Moderate", IF(Table1[[#This Row],[anxiety_score]]&lt;=30, "Severe", "Extremely Severe")))</f>
        <v>Normal</v>
      </c>
      <c r="I483">
        <v>-0.81237789999999999</v>
      </c>
      <c r="J483">
        <v>10</v>
      </c>
      <c r="K483" s="1" t="str">
        <f>IF(Table1[[#This Row],[stress_score]]&lt;=10, "Normal", IF(Table1[[#This Row],[stress_score]]&lt;=20, "Moderate", IF(Table1[[#This Row],[stress_score]]&lt;=30, "Severe", "Extremely Severe")))</f>
        <v>Normal</v>
      </c>
      <c r="L483">
        <v>-0.18916494</v>
      </c>
      <c r="M483">
        <v>8</v>
      </c>
      <c r="N483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483">
        <v>-0.33828637</v>
      </c>
      <c r="P483">
        <v>6.6666664999999998</v>
      </c>
      <c r="Q483">
        <f>ROUND(Table1[[#This Row],[dass21_raw_score]],0)</f>
        <v>7</v>
      </c>
      <c r="R483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483">
        <v>-0.44660973999999998</v>
      </c>
      <c r="T483">
        <v>0.64830019999999999</v>
      </c>
      <c r="U483">
        <v>5000</v>
      </c>
      <c r="V483" s="1">
        <f>ROUND(Table1[[#This Row],[fmpce]],0)</f>
        <v>5000</v>
      </c>
      <c r="W483">
        <v>68.023319999999998</v>
      </c>
      <c r="X483" s="4">
        <f>Table1[[#This Row],[mpce]]*89</f>
        <v>6054.0754799999995</v>
      </c>
      <c r="Y483" s="2" t="s">
        <v>28</v>
      </c>
      <c r="Z483" s="3">
        <f>VLOOKUP(Y483, rmpce_reference!$B$1:$D$7,3,FALSE) * 89</f>
        <v>6230</v>
      </c>
      <c r="AA483" s="1" t="str">
        <f>IF(Table1[rmpce_inr]&lt;=rmpce_reference!$F$2, "Low Income", IF(Table1[rmpce_inr]&lt;=rmpce_reference!$F$3, "Middle Income", "High Income"))</f>
        <v>Middle Income</v>
      </c>
    </row>
    <row r="484" spans="1:27" x14ac:dyDescent="0.25">
      <c r="A484">
        <v>3027</v>
      </c>
      <c r="B484" t="s">
        <v>40</v>
      </c>
      <c r="C484" t="s">
        <v>33</v>
      </c>
      <c r="D484">
        <v>28</v>
      </c>
      <c r="E484" t="s">
        <v>22</v>
      </c>
      <c r="F484" t="s">
        <v>23</v>
      </c>
      <c r="G484">
        <v>0</v>
      </c>
      <c r="H484" s="1" t="str">
        <f>IF(Table1[[#This Row],[anxiety_score]]&lt;=10, "Normal", IF(Table1[[#This Row],[anxiety_score]]&lt;=20, "Moderate", IF(Table1[[#This Row],[anxiety_score]]&lt;=30, "Severe", "Extremely Severe")))</f>
        <v>Normal</v>
      </c>
      <c r="I484">
        <v>-1.0134224999999999</v>
      </c>
      <c r="J484">
        <v>8</v>
      </c>
      <c r="K484" s="1" t="str">
        <f>IF(Table1[[#This Row],[stress_score]]&lt;=10, "Normal", IF(Table1[[#This Row],[stress_score]]&lt;=20, "Moderate", IF(Table1[[#This Row],[stress_score]]&lt;=30, "Severe", "Extremely Severe")))</f>
        <v>Normal</v>
      </c>
      <c r="L484">
        <v>-0.38382620000000001</v>
      </c>
      <c r="M484">
        <v>4</v>
      </c>
      <c r="N484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484">
        <v>-0.72356116999999998</v>
      </c>
      <c r="P484">
        <v>4</v>
      </c>
      <c r="Q484">
        <f>ROUND(Table1[[#This Row],[dass21_raw_score]],0)</f>
        <v>4</v>
      </c>
      <c r="R484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484">
        <v>-0.70693660000000003</v>
      </c>
      <c r="T484">
        <v>0.38797330000000002</v>
      </c>
      <c r="U484">
        <v>2000</v>
      </c>
      <c r="V484" s="1">
        <f>ROUND(Table1[[#This Row],[fmpce]],0)</f>
        <v>2000</v>
      </c>
      <c r="W484">
        <v>27.209330000000001</v>
      </c>
      <c r="X484" s="4">
        <f>Table1[[#This Row],[mpce]]*89</f>
        <v>2421.6303700000003</v>
      </c>
      <c r="Y484" s="2" t="s">
        <v>34</v>
      </c>
      <c r="Z484" s="3">
        <f>VLOOKUP(Y484, rmpce_reference!$B$1:$D$7,3,FALSE) * 89</f>
        <v>2848</v>
      </c>
      <c r="AA484" s="1" t="str">
        <f>IF(Table1[rmpce_inr]&lt;=rmpce_reference!$F$2, "Low Income", IF(Table1[rmpce_inr]&lt;=rmpce_reference!$F$3, "Middle Income", "High Income"))</f>
        <v>Low Income</v>
      </c>
    </row>
    <row r="485" spans="1:27" x14ac:dyDescent="0.25">
      <c r="A485">
        <v>3028</v>
      </c>
      <c r="B485" t="s">
        <v>40</v>
      </c>
      <c r="C485" t="s">
        <v>29</v>
      </c>
      <c r="D485">
        <v>34</v>
      </c>
      <c r="E485" t="s">
        <v>22</v>
      </c>
      <c r="F485" t="s">
        <v>30</v>
      </c>
      <c r="G485">
        <v>6</v>
      </c>
      <c r="H485" s="1" t="str">
        <f>IF(Table1[[#This Row],[anxiety_score]]&lt;=10, "Normal", IF(Table1[[#This Row],[anxiety_score]]&lt;=20, "Moderate", IF(Table1[[#This Row],[anxiety_score]]&lt;=30, "Severe", "Extremely Severe")))</f>
        <v>Normal</v>
      </c>
      <c r="I485">
        <v>-0.41028870000000001</v>
      </c>
      <c r="J485">
        <v>22</v>
      </c>
      <c r="K485" s="1" t="str">
        <f>IF(Table1[[#This Row],[stress_score]]&lt;=10, "Normal", IF(Table1[[#This Row],[stress_score]]&lt;=20, "Moderate", IF(Table1[[#This Row],[stress_score]]&lt;=30, "Severe", "Extremely Severe")))</f>
        <v>Severe</v>
      </c>
      <c r="L485">
        <v>0.97880255999999999</v>
      </c>
      <c r="M485">
        <v>20</v>
      </c>
      <c r="N485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485">
        <v>0.81753799999999999</v>
      </c>
      <c r="P485">
        <v>16</v>
      </c>
      <c r="Q485">
        <f>ROUND(Table1[[#This Row],[dass21_raw_score]],0)</f>
        <v>16</v>
      </c>
      <c r="R485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485">
        <v>0.46201730000000002</v>
      </c>
      <c r="T485">
        <v>1.5569272000000001</v>
      </c>
      <c r="U485">
        <v>6666.6665000000003</v>
      </c>
      <c r="V485" s="1">
        <f>ROUND(Table1[[#This Row],[fmpce]],0)</f>
        <v>6667</v>
      </c>
      <c r="W485">
        <v>90.697760000000002</v>
      </c>
      <c r="X485" s="4">
        <f>Table1[[#This Row],[mpce]]*89</f>
        <v>8072.1006400000006</v>
      </c>
      <c r="Y485" s="2" t="s">
        <v>31</v>
      </c>
      <c r="Z485" s="3">
        <f>VLOOKUP(Y485, rmpce_reference!$B$1:$D$7,3,FALSE) * 89</f>
        <v>8010</v>
      </c>
      <c r="AA485" s="1" t="str">
        <f>IF(Table1[rmpce_inr]&lt;=rmpce_reference!$F$2, "Low Income", IF(Table1[rmpce_inr]&lt;=rmpce_reference!$F$3, "Middle Income", "High Income"))</f>
        <v>High Income</v>
      </c>
    </row>
    <row r="486" spans="1:27" x14ac:dyDescent="0.25">
      <c r="A486">
        <v>3029</v>
      </c>
      <c r="B486" t="s">
        <v>40</v>
      </c>
      <c r="C486" t="s">
        <v>33</v>
      </c>
      <c r="D486">
        <v>30</v>
      </c>
      <c r="E486" t="s">
        <v>22</v>
      </c>
      <c r="F486" t="s">
        <v>30</v>
      </c>
      <c r="G486">
        <v>0</v>
      </c>
      <c r="H486" s="1" t="str">
        <f>IF(Table1[[#This Row],[anxiety_score]]&lt;=10, "Normal", IF(Table1[[#This Row],[anxiety_score]]&lt;=20, "Moderate", IF(Table1[[#This Row],[anxiety_score]]&lt;=30, "Severe", "Extremely Severe")))</f>
        <v>Normal</v>
      </c>
      <c r="I486">
        <v>-1.0134224999999999</v>
      </c>
      <c r="J486">
        <v>0</v>
      </c>
      <c r="K486" s="1" t="str">
        <f>IF(Table1[[#This Row],[stress_score]]&lt;=10, "Normal", IF(Table1[[#This Row],[stress_score]]&lt;=20, "Moderate", IF(Table1[[#This Row],[stress_score]]&lt;=30, "Severe", "Extremely Severe")))</f>
        <v>Normal</v>
      </c>
      <c r="L486">
        <v>-1.1624711999999999</v>
      </c>
      <c r="M486">
        <v>0</v>
      </c>
      <c r="N486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486">
        <v>-1.1088359000000001</v>
      </c>
      <c r="P486">
        <v>0</v>
      </c>
      <c r="Q486">
        <f>ROUND(Table1[[#This Row],[dass21_raw_score]],0)</f>
        <v>0</v>
      </c>
      <c r="R486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486">
        <v>-1.0949099</v>
      </c>
      <c r="T486">
        <v>0</v>
      </c>
      <c r="U486">
        <v>6250</v>
      </c>
      <c r="V486" s="1">
        <f>ROUND(Table1[[#This Row],[fmpce]],0)</f>
        <v>6250</v>
      </c>
      <c r="W486">
        <v>85.029150000000001</v>
      </c>
      <c r="X486" s="4">
        <f>Table1[[#This Row],[mpce]]*89</f>
        <v>7567.5943500000003</v>
      </c>
      <c r="Y486" s="2" t="s">
        <v>31</v>
      </c>
      <c r="Z486" s="3">
        <f>VLOOKUP(Y486, rmpce_reference!$B$1:$D$7,3,FALSE) * 89</f>
        <v>8010</v>
      </c>
      <c r="AA486" s="1" t="str">
        <f>IF(Table1[rmpce_inr]&lt;=rmpce_reference!$F$2, "Low Income", IF(Table1[rmpce_inr]&lt;=rmpce_reference!$F$3, "Middle Income", "High Income"))</f>
        <v>High Income</v>
      </c>
    </row>
    <row r="487" spans="1:27" x14ac:dyDescent="0.25">
      <c r="A487">
        <v>3030</v>
      </c>
      <c r="B487" t="s">
        <v>40</v>
      </c>
      <c r="C487" t="s">
        <v>29</v>
      </c>
      <c r="D487">
        <v>36</v>
      </c>
      <c r="E487" t="s">
        <v>22</v>
      </c>
      <c r="F487" t="s">
        <v>30</v>
      </c>
      <c r="G487">
        <v>6</v>
      </c>
      <c r="H487" s="1" t="str">
        <f>IF(Table1[[#This Row],[anxiety_score]]&lt;=10, "Normal", IF(Table1[[#This Row],[anxiety_score]]&lt;=20, "Moderate", IF(Table1[[#This Row],[anxiety_score]]&lt;=30, "Severe", "Extremely Severe")))</f>
        <v>Normal</v>
      </c>
      <c r="I487">
        <v>-0.41028870000000001</v>
      </c>
      <c r="J487">
        <v>20</v>
      </c>
      <c r="K487" s="1" t="str">
        <f>IF(Table1[[#This Row],[stress_score]]&lt;=10, "Normal", IF(Table1[[#This Row],[stress_score]]&lt;=20, "Moderate", IF(Table1[[#This Row],[stress_score]]&lt;=30, "Severe", "Extremely Severe")))</f>
        <v>Moderate</v>
      </c>
      <c r="L487">
        <v>0.78414130000000004</v>
      </c>
      <c r="M487">
        <v>10</v>
      </c>
      <c r="N487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487">
        <v>-0.14564899000000001</v>
      </c>
      <c r="P487">
        <v>12</v>
      </c>
      <c r="Q487">
        <f>ROUND(Table1[[#This Row],[dass21_raw_score]],0)</f>
        <v>12</v>
      </c>
      <c r="R487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487">
        <v>7.6067869999999996E-2</v>
      </c>
      <c r="T487">
        <v>1.1709778</v>
      </c>
      <c r="U487">
        <v>6250</v>
      </c>
      <c r="V487" s="1">
        <f>ROUND(Table1[[#This Row],[fmpce]],0)</f>
        <v>6250</v>
      </c>
      <c r="W487">
        <v>85.029150000000001</v>
      </c>
      <c r="X487" s="4">
        <f>Table1[[#This Row],[mpce]]*89</f>
        <v>7567.5943500000003</v>
      </c>
      <c r="Y487" s="2" t="s">
        <v>31</v>
      </c>
      <c r="Z487" s="3">
        <f>VLOOKUP(Y487, rmpce_reference!$B$1:$D$7,3,FALSE) * 89</f>
        <v>8010</v>
      </c>
      <c r="AA487" s="1" t="str">
        <f>IF(Table1[rmpce_inr]&lt;=rmpce_reference!$F$2, "Low Income", IF(Table1[rmpce_inr]&lt;=rmpce_reference!$F$3, "Middle Income", "High Income"))</f>
        <v>High Income</v>
      </c>
    </row>
    <row r="488" spans="1:27" x14ac:dyDescent="0.25">
      <c r="A488">
        <v>3031</v>
      </c>
      <c r="B488" t="s">
        <v>40</v>
      </c>
      <c r="C488" t="s">
        <v>29</v>
      </c>
      <c r="D488">
        <v>31</v>
      </c>
      <c r="E488" t="s">
        <v>25</v>
      </c>
      <c r="F488" t="s">
        <v>30</v>
      </c>
      <c r="G488">
        <v>0</v>
      </c>
      <c r="H488" s="1" t="str">
        <f>IF(Table1[[#This Row],[anxiety_score]]&lt;=10, "Normal", IF(Table1[[#This Row],[anxiety_score]]&lt;=20, "Moderate", IF(Table1[[#This Row],[anxiety_score]]&lt;=30, "Severe", "Extremely Severe")))</f>
        <v>Normal</v>
      </c>
      <c r="I488">
        <v>-1.0134224999999999</v>
      </c>
      <c r="J488">
        <v>14</v>
      </c>
      <c r="K488" s="1" t="str">
        <f>IF(Table1[[#This Row],[stress_score]]&lt;=10, "Normal", IF(Table1[[#This Row],[stress_score]]&lt;=20, "Moderate", IF(Table1[[#This Row],[stress_score]]&lt;=30, "Severe", "Extremely Severe")))</f>
        <v>Moderate</v>
      </c>
      <c r="L488">
        <v>0.20015757000000001</v>
      </c>
      <c r="M488">
        <v>10</v>
      </c>
      <c r="N488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488">
        <v>-0.14564899000000001</v>
      </c>
      <c r="P488">
        <v>8</v>
      </c>
      <c r="Q488">
        <f>ROUND(Table1[[#This Row],[dass21_raw_score]],0)</f>
        <v>8</v>
      </c>
      <c r="R488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488">
        <v>-0.31963795</v>
      </c>
      <c r="T488">
        <v>0.77527195000000004</v>
      </c>
      <c r="U488">
        <v>7500</v>
      </c>
      <c r="V488" s="1">
        <f>ROUND(Table1[[#This Row],[fmpce]],0)</f>
        <v>7500</v>
      </c>
      <c r="W488">
        <v>102.03498999999999</v>
      </c>
      <c r="X488" s="4">
        <f>Table1[[#This Row],[mpce]]*89</f>
        <v>9081.1141099999986</v>
      </c>
      <c r="Y488" s="2" t="s">
        <v>35</v>
      </c>
      <c r="Z488" s="3">
        <f>VLOOKUP(Y488, rmpce_reference!$B$1:$D$7,3,FALSE) * 89</f>
        <v>9790</v>
      </c>
      <c r="AA488" s="1" t="str">
        <f>IF(Table1[rmpce_inr]&lt;=rmpce_reference!$F$2, "Low Income", IF(Table1[rmpce_inr]&lt;=rmpce_reference!$F$3, "Middle Income", "High Income"))</f>
        <v>High Income</v>
      </c>
    </row>
    <row r="489" spans="1:27" x14ac:dyDescent="0.25">
      <c r="A489">
        <v>3032</v>
      </c>
      <c r="B489" t="s">
        <v>40</v>
      </c>
      <c r="C489" t="s">
        <v>33</v>
      </c>
      <c r="D489">
        <v>29</v>
      </c>
      <c r="E489" t="s">
        <v>22</v>
      </c>
      <c r="F489" t="s">
        <v>30</v>
      </c>
      <c r="G489">
        <v>0</v>
      </c>
      <c r="H489" s="1" t="str">
        <f>IF(Table1[[#This Row],[anxiety_score]]&lt;=10, "Normal", IF(Table1[[#This Row],[anxiety_score]]&lt;=20, "Moderate", IF(Table1[[#This Row],[anxiety_score]]&lt;=30, "Severe", "Extremely Severe")))</f>
        <v>Normal</v>
      </c>
      <c r="I489">
        <v>-1.0134224999999999</v>
      </c>
      <c r="J489">
        <v>14</v>
      </c>
      <c r="K489" s="1" t="str">
        <f>IF(Table1[[#This Row],[stress_score]]&lt;=10, "Normal", IF(Table1[[#This Row],[stress_score]]&lt;=20, "Moderate", IF(Table1[[#This Row],[stress_score]]&lt;=30, "Severe", "Extremely Severe")))</f>
        <v>Moderate</v>
      </c>
      <c r="L489">
        <v>0.20015757000000001</v>
      </c>
      <c r="M489">
        <v>12</v>
      </c>
      <c r="N489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489">
        <v>4.6988415999999998E-2</v>
      </c>
      <c r="P489">
        <v>8.6666670000000003</v>
      </c>
      <c r="Q489">
        <f>ROUND(Table1[[#This Row],[dass21_raw_score]],0)</f>
        <v>9</v>
      </c>
      <c r="R489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489">
        <v>-0.25542550000000003</v>
      </c>
      <c r="T489">
        <v>0.83948440000000002</v>
      </c>
      <c r="U489">
        <v>6666.6665000000003</v>
      </c>
      <c r="V489" s="1">
        <f>ROUND(Table1[[#This Row],[fmpce]],0)</f>
        <v>6667</v>
      </c>
      <c r="W489">
        <v>90.697760000000002</v>
      </c>
      <c r="X489" s="4">
        <f>Table1[[#This Row],[mpce]]*89</f>
        <v>8072.1006400000006</v>
      </c>
      <c r="Y489" s="2" t="s">
        <v>31</v>
      </c>
      <c r="Z489" s="3">
        <f>VLOOKUP(Y489, rmpce_reference!$B$1:$D$7,3,FALSE) * 89</f>
        <v>8010</v>
      </c>
      <c r="AA489" s="1" t="str">
        <f>IF(Table1[rmpce_inr]&lt;=rmpce_reference!$F$2, "Low Income", IF(Table1[rmpce_inr]&lt;=rmpce_reference!$F$3, "Middle Income", "High Income"))</f>
        <v>High Income</v>
      </c>
    </row>
    <row r="490" spans="1:27" x14ac:dyDescent="0.25">
      <c r="A490">
        <v>3033</v>
      </c>
      <c r="B490" t="s">
        <v>40</v>
      </c>
      <c r="C490" t="s">
        <v>36</v>
      </c>
      <c r="D490">
        <v>53</v>
      </c>
      <c r="E490" t="s">
        <v>22</v>
      </c>
      <c r="F490" t="s">
        <v>23</v>
      </c>
      <c r="G490">
        <v>4</v>
      </c>
      <c r="H490" s="1" t="str">
        <f>IF(Table1[[#This Row],[anxiety_score]]&lt;=10, "Normal", IF(Table1[[#This Row],[anxiety_score]]&lt;=20, "Moderate", IF(Table1[[#This Row],[anxiety_score]]&lt;=30, "Severe", "Extremely Severe")))</f>
        <v>Normal</v>
      </c>
      <c r="I490">
        <v>-0.61133329999999997</v>
      </c>
      <c r="J490">
        <v>14</v>
      </c>
      <c r="K490" s="1" t="str">
        <f>IF(Table1[[#This Row],[stress_score]]&lt;=10, "Normal", IF(Table1[[#This Row],[stress_score]]&lt;=20, "Moderate", IF(Table1[[#This Row],[stress_score]]&lt;=30, "Severe", "Extremely Severe")))</f>
        <v>Moderate</v>
      </c>
      <c r="L490">
        <v>0.20015757000000001</v>
      </c>
      <c r="M490">
        <v>14</v>
      </c>
      <c r="N490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490">
        <v>0.23962580999999999</v>
      </c>
      <c r="P490">
        <v>10.666667</v>
      </c>
      <c r="Q490">
        <f>ROUND(Table1[[#This Row],[dass21_raw_score]],0)</f>
        <v>11</v>
      </c>
      <c r="R490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490">
        <v>-5.7183310000000001E-2</v>
      </c>
      <c r="T490">
        <v>1.0377266000000001</v>
      </c>
      <c r="U490">
        <v>3750</v>
      </c>
      <c r="V490" s="1">
        <f>ROUND(Table1[[#This Row],[fmpce]],0)</f>
        <v>3750</v>
      </c>
      <c r="W490">
        <v>51.017493999999999</v>
      </c>
      <c r="X490" s="4">
        <f>Table1[[#This Row],[mpce]]*89</f>
        <v>4540.5569660000001</v>
      </c>
      <c r="Y490" s="2" t="s">
        <v>32</v>
      </c>
      <c r="Z490" s="3">
        <f>VLOOKUP(Y490, rmpce_reference!$B$1:$D$7,3,FALSE) * 89</f>
        <v>4450</v>
      </c>
      <c r="AA490" s="1" t="str">
        <f>IF(Table1[rmpce_inr]&lt;=rmpce_reference!$F$2, "Low Income", IF(Table1[rmpce_inr]&lt;=rmpce_reference!$F$3, "Middle Income", "High Income"))</f>
        <v>Low Income</v>
      </c>
    </row>
    <row r="491" spans="1:27" x14ac:dyDescent="0.25">
      <c r="A491">
        <v>3034</v>
      </c>
      <c r="B491" t="s">
        <v>40</v>
      </c>
      <c r="C491" t="s">
        <v>21</v>
      </c>
      <c r="D491">
        <v>45</v>
      </c>
      <c r="E491" t="s">
        <v>22</v>
      </c>
      <c r="F491" t="s">
        <v>23</v>
      </c>
      <c r="G491">
        <v>2</v>
      </c>
      <c r="H491" s="1" t="str">
        <f>IF(Table1[[#This Row],[anxiety_score]]&lt;=10, "Normal", IF(Table1[[#This Row],[anxiety_score]]&lt;=20, "Moderate", IF(Table1[[#This Row],[anxiety_score]]&lt;=30, "Severe", "Extremely Severe")))</f>
        <v>Normal</v>
      </c>
      <c r="I491">
        <v>-0.81237789999999999</v>
      </c>
      <c r="J491">
        <v>14</v>
      </c>
      <c r="K491" s="1" t="str">
        <f>IF(Table1[[#This Row],[stress_score]]&lt;=10, "Normal", IF(Table1[[#This Row],[stress_score]]&lt;=20, "Moderate", IF(Table1[[#This Row],[stress_score]]&lt;=30, "Severe", "Extremely Severe")))</f>
        <v>Moderate</v>
      </c>
      <c r="L491">
        <v>0.20015757000000001</v>
      </c>
      <c r="M491">
        <v>14</v>
      </c>
      <c r="N491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491">
        <v>0.23962580999999999</v>
      </c>
      <c r="P491">
        <v>10</v>
      </c>
      <c r="Q491">
        <f>ROUND(Table1[[#This Row],[dass21_raw_score]],0)</f>
        <v>10</v>
      </c>
      <c r="R491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491">
        <v>-0.12419818000000001</v>
      </c>
      <c r="T491">
        <v>0.97071169999999996</v>
      </c>
      <c r="U491">
        <v>3750</v>
      </c>
      <c r="V491" s="1">
        <f>ROUND(Table1[[#This Row],[fmpce]],0)</f>
        <v>3750</v>
      </c>
      <c r="W491">
        <v>51.017493999999999</v>
      </c>
      <c r="X491" s="4">
        <f>Table1[[#This Row],[mpce]]*89</f>
        <v>4540.5569660000001</v>
      </c>
      <c r="Y491" s="2" t="s">
        <v>32</v>
      </c>
      <c r="Z491" s="3">
        <f>VLOOKUP(Y491, rmpce_reference!$B$1:$D$7,3,FALSE) * 89</f>
        <v>4450</v>
      </c>
      <c r="AA491" s="1" t="str">
        <f>IF(Table1[rmpce_inr]&lt;=rmpce_reference!$F$2, "Low Income", IF(Table1[rmpce_inr]&lt;=rmpce_reference!$F$3, "Middle Income", "High Income"))</f>
        <v>Low Income</v>
      </c>
    </row>
    <row r="492" spans="1:27" x14ac:dyDescent="0.25">
      <c r="A492">
        <v>3035</v>
      </c>
      <c r="B492" t="s">
        <v>40</v>
      </c>
      <c r="C492" t="s">
        <v>21</v>
      </c>
      <c r="D492">
        <v>46</v>
      </c>
      <c r="E492" t="s">
        <v>22</v>
      </c>
      <c r="F492" t="s">
        <v>23</v>
      </c>
      <c r="G492">
        <v>4</v>
      </c>
      <c r="H492" s="1" t="str">
        <f>IF(Table1[[#This Row],[anxiety_score]]&lt;=10, "Normal", IF(Table1[[#This Row],[anxiety_score]]&lt;=20, "Moderate", IF(Table1[[#This Row],[anxiety_score]]&lt;=30, "Severe", "Extremely Severe")))</f>
        <v>Normal</v>
      </c>
      <c r="I492">
        <v>-0.61133329999999997</v>
      </c>
      <c r="J492">
        <v>10</v>
      </c>
      <c r="K492" s="1" t="str">
        <f>IF(Table1[[#This Row],[stress_score]]&lt;=10, "Normal", IF(Table1[[#This Row],[stress_score]]&lt;=20, "Moderate", IF(Table1[[#This Row],[stress_score]]&lt;=30, "Severe", "Extremely Severe")))</f>
        <v>Normal</v>
      </c>
      <c r="L492">
        <v>-0.18916494</v>
      </c>
      <c r="M492">
        <v>4</v>
      </c>
      <c r="N492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492">
        <v>-0.72356116999999998</v>
      </c>
      <c r="P492">
        <v>6</v>
      </c>
      <c r="Q492">
        <f>ROUND(Table1[[#This Row],[dass21_raw_score]],0)</f>
        <v>6</v>
      </c>
      <c r="R492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492">
        <v>-0.50801980000000002</v>
      </c>
      <c r="T492">
        <v>0.58689009999999997</v>
      </c>
      <c r="U492">
        <v>7500</v>
      </c>
      <c r="V492" s="1">
        <f>ROUND(Table1[[#This Row],[fmpce]],0)</f>
        <v>7500</v>
      </c>
      <c r="W492">
        <v>102.03498999999999</v>
      </c>
      <c r="X492" s="4">
        <f>Table1[[#This Row],[mpce]]*89</f>
        <v>9081.1141099999986</v>
      </c>
      <c r="Y492" s="2" t="s">
        <v>35</v>
      </c>
      <c r="Z492" s="3">
        <f>VLOOKUP(Y492, rmpce_reference!$B$1:$D$7,3,FALSE) * 89</f>
        <v>9790</v>
      </c>
      <c r="AA492" s="1" t="str">
        <f>IF(Table1[rmpce_inr]&lt;=rmpce_reference!$F$2, "Low Income", IF(Table1[rmpce_inr]&lt;=rmpce_reference!$F$3, "Middle Income", "High Income"))</f>
        <v>High Income</v>
      </c>
    </row>
    <row r="493" spans="1:27" x14ac:dyDescent="0.25">
      <c r="A493">
        <v>3036</v>
      </c>
      <c r="B493" t="s">
        <v>40</v>
      </c>
      <c r="C493" t="s">
        <v>29</v>
      </c>
      <c r="D493">
        <v>36</v>
      </c>
      <c r="E493" t="s">
        <v>22</v>
      </c>
      <c r="F493" t="s">
        <v>30</v>
      </c>
      <c r="G493">
        <v>0</v>
      </c>
      <c r="H493" s="1" t="str">
        <f>IF(Table1[[#This Row],[anxiety_score]]&lt;=10, "Normal", IF(Table1[[#This Row],[anxiety_score]]&lt;=20, "Moderate", IF(Table1[[#This Row],[anxiety_score]]&lt;=30, "Severe", "Extremely Severe")))</f>
        <v>Normal</v>
      </c>
      <c r="I493">
        <v>-1.0134224999999999</v>
      </c>
      <c r="J493">
        <v>10</v>
      </c>
      <c r="K493" s="1" t="str">
        <f>IF(Table1[[#This Row],[stress_score]]&lt;=10, "Normal", IF(Table1[[#This Row],[stress_score]]&lt;=20, "Moderate", IF(Table1[[#This Row],[stress_score]]&lt;=30, "Severe", "Extremely Severe")))</f>
        <v>Normal</v>
      </c>
      <c r="L493">
        <v>-0.18916494</v>
      </c>
      <c r="M493">
        <v>4</v>
      </c>
      <c r="N493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493">
        <v>-0.72356116999999998</v>
      </c>
      <c r="P493">
        <v>4.6666664999999998</v>
      </c>
      <c r="Q493">
        <f>ROUND(Table1[[#This Row],[dass21_raw_score]],0)</f>
        <v>5</v>
      </c>
      <c r="R493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493">
        <v>-0.64204954999999997</v>
      </c>
      <c r="T493">
        <v>0.45286036000000002</v>
      </c>
      <c r="U493">
        <v>7500</v>
      </c>
      <c r="V493" s="1">
        <f>ROUND(Table1[[#This Row],[fmpce]],0)</f>
        <v>7500</v>
      </c>
      <c r="W493">
        <v>102.03498999999999</v>
      </c>
      <c r="X493" s="4">
        <f>Table1[[#This Row],[mpce]]*89</f>
        <v>9081.1141099999986</v>
      </c>
      <c r="Y493" s="2" t="s">
        <v>35</v>
      </c>
      <c r="Z493" s="3">
        <f>VLOOKUP(Y493, rmpce_reference!$B$1:$D$7,3,FALSE) * 89</f>
        <v>9790</v>
      </c>
      <c r="AA493" s="1" t="str">
        <f>IF(Table1[rmpce_inr]&lt;=rmpce_reference!$F$2, "Low Income", IF(Table1[rmpce_inr]&lt;=rmpce_reference!$F$3, "Middle Income", "High Income"))</f>
        <v>High Income</v>
      </c>
    </row>
    <row r="494" spans="1:27" x14ac:dyDescent="0.25">
      <c r="A494">
        <v>3037</v>
      </c>
      <c r="B494" t="s">
        <v>40</v>
      </c>
      <c r="C494" t="s">
        <v>33</v>
      </c>
      <c r="D494">
        <v>28</v>
      </c>
      <c r="E494" t="s">
        <v>25</v>
      </c>
      <c r="F494" t="s">
        <v>26</v>
      </c>
      <c r="G494">
        <v>0</v>
      </c>
      <c r="H494" s="1" t="str">
        <f>IF(Table1[[#This Row],[anxiety_score]]&lt;=10, "Normal", IF(Table1[[#This Row],[anxiety_score]]&lt;=20, "Moderate", IF(Table1[[#This Row],[anxiety_score]]&lt;=30, "Severe", "Extremely Severe")))</f>
        <v>Normal</v>
      </c>
      <c r="I494">
        <v>-1.0134224999999999</v>
      </c>
      <c r="J494">
        <v>10</v>
      </c>
      <c r="K494" s="1" t="str">
        <f>IF(Table1[[#This Row],[stress_score]]&lt;=10, "Normal", IF(Table1[[#This Row],[stress_score]]&lt;=20, "Moderate", IF(Table1[[#This Row],[stress_score]]&lt;=30, "Severe", "Extremely Severe")))</f>
        <v>Normal</v>
      </c>
      <c r="L494">
        <v>-0.18916494</v>
      </c>
      <c r="M494">
        <v>0</v>
      </c>
      <c r="N494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494">
        <v>-1.1088359000000001</v>
      </c>
      <c r="P494">
        <v>3.3333333000000001</v>
      </c>
      <c r="Q494">
        <f>ROUND(Table1[[#This Row],[dass21_raw_score]],0)</f>
        <v>3</v>
      </c>
      <c r="R494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494">
        <v>-0.77047443000000004</v>
      </c>
      <c r="T494">
        <v>0.32443547</v>
      </c>
      <c r="U494">
        <v>5000</v>
      </c>
      <c r="V494" s="1">
        <f>ROUND(Table1[[#This Row],[fmpce]],0)</f>
        <v>5000</v>
      </c>
      <c r="W494">
        <v>68.023319999999998</v>
      </c>
      <c r="X494" s="4">
        <f>Table1[[#This Row],[mpce]]*89</f>
        <v>6054.0754799999995</v>
      </c>
      <c r="Y494" s="2" t="s">
        <v>28</v>
      </c>
      <c r="Z494" s="3">
        <f>VLOOKUP(Y494, rmpce_reference!$B$1:$D$7,3,FALSE) * 89</f>
        <v>6230</v>
      </c>
      <c r="AA494" s="1" t="str">
        <f>IF(Table1[rmpce_inr]&lt;=rmpce_reference!$F$2, "Low Income", IF(Table1[rmpce_inr]&lt;=rmpce_reference!$F$3, "Middle Income", "High Income"))</f>
        <v>Middle Income</v>
      </c>
    </row>
    <row r="495" spans="1:27" x14ac:dyDescent="0.25">
      <c r="A495">
        <v>3038</v>
      </c>
      <c r="B495" t="s">
        <v>40</v>
      </c>
      <c r="C495" t="s">
        <v>29</v>
      </c>
      <c r="D495">
        <v>32</v>
      </c>
      <c r="E495" t="s">
        <v>22</v>
      </c>
      <c r="F495" t="s">
        <v>30</v>
      </c>
      <c r="G495">
        <v>0</v>
      </c>
      <c r="H495" s="1" t="str">
        <f>IF(Table1[[#This Row],[anxiety_score]]&lt;=10, "Normal", IF(Table1[[#This Row],[anxiety_score]]&lt;=20, "Moderate", IF(Table1[[#This Row],[anxiety_score]]&lt;=30, "Severe", "Extremely Severe")))</f>
        <v>Normal</v>
      </c>
      <c r="I495">
        <v>-1.0134224999999999</v>
      </c>
      <c r="J495">
        <v>4</v>
      </c>
      <c r="K495" s="1" t="str">
        <f>IF(Table1[[#This Row],[stress_score]]&lt;=10, "Normal", IF(Table1[[#This Row],[stress_score]]&lt;=20, "Moderate", IF(Table1[[#This Row],[stress_score]]&lt;=30, "Severe", "Extremely Severe")))</f>
        <v>Normal</v>
      </c>
      <c r="L495">
        <v>-0.77314866000000004</v>
      </c>
      <c r="M495">
        <v>4</v>
      </c>
      <c r="N495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495">
        <v>-0.72356116999999998</v>
      </c>
      <c r="P495">
        <v>2.6666666999999999</v>
      </c>
      <c r="Q495">
        <f>ROUND(Table1[[#This Row],[dass21_raw_score]],0)</f>
        <v>3</v>
      </c>
      <c r="R495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495">
        <v>-0.83671074999999995</v>
      </c>
      <c r="T495">
        <v>0.25819915999999998</v>
      </c>
      <c r="U495">
        <v>6250</v>
      </c>
      <c r="V495" s="1">
        <f>ROUND(Table1[[#This Row],[fmpce]],0)</f>
        <v>6250</v>
      </c>
      <c r="W495">
        <v>85.029150000000001</v>
      </c>
      <c r="X495" s="4">
        <f>Table1[[#This Row],[mpce]]*89</f>
        <v>7567.5943500000003</v>
      </c>
      <c r="Y495" s="2" t="s">
        <v>31</v>
      </c>
      <c r="Z495" s="3">
        <f>VLOOKUP(Y495, rmpce_reference!$B$1:$D$7,3,FALSE) * 89</f>
        <v>8010</v>
      </c>
      <c r="AA495" s="1" t="str">
        <f>IF(Table1[rmpce_inr]&lt;=rmpce_reference!$F$2, "Low Income", IF(Table1[rmpce_inr]&lt;=rmpce_reference!$F$3, "Middle Income", "High Income"))</f>
        <v>High Income</v>
      </c>
    </row>
    <row r="496" spans="1:27" x14ac:dyDescent="0.25">
      <c r="A496">
        <v>3039</v>
      </c>
      <c r="B496" t="s">
        <v>40</v>
      </c>
      <c r="C496" t="s">
        <v>33</v>
      </c>
      <c r="D496">
        <v>26</v>
      </c>
      <c r="E496" t="s">
        <v>22</v>
      </c>
      <c r="F496" t="s">
        <v>30</v>
      </c>
      <c r="G496">
        <v>8</v>
      </c>
      <c r="H496" s="1" t="str">
        <f>IF(Table1[[#This Row],[anxiety_score]]&lt;=10, "Normal", IF(Table1[[#This Row],[anxiety_score]]&lt;=20, "Moderate", IF(Table1[[#This Row],[anxiety_score]]&lt;=30, "Severe", "Extremely Severe")))</f>
        <v>Normal</v>
      </c>
      <c r="I496">
        <v>-0.20924408999999999</v>
      </c>
      <c r="J496">
        <v>26</v>
      </c>
      <c r="K496" s="1" t="str">
        <f>IF(Table1[[#This Row],[stress_score]]&lt;=10, "Normal", IF(Table1[[#This Row],[stress_score]]&lt;=20, "Moderate", IF(Table1[[#This Row],[stress_score]]&lt;=30, "Severe", "Extremely Severe")))</f>
        <v>Severe</v>
      </c>
      <c r="L496">
        <v>1.3681251000000001</v>
      </c>
      <c r="M496">
        <v>28</v>
      </c>
      <c r="N496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496">
        <v>1.5880875999999999</v>
      </c>
      <c r="P496">
        <v>20.666665999999999</v>
      </c>
      <c r="Q496">
        <f>ROUND(Table1[[#This Row],[dass21_raw_score]],0)</f>
        <v>21</v>
      </c>
      <c r="R496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496">
        <v>0.91565620000000003</v>
      </c>
      <c r="T496">
        <v>2.0105662</v>
      </c>
      <c r="U496">
        <v>6666.6665000000003</v>
      </c>
      <c r="V496" s="1">
        <f>ROUND(Table1[[#This Row],[fmpce]],0)</f>
        <v>6667</v>
      </c>
      <c r="W496">
        <v>90.697760000000002</v>
      </c>
      <c r="X496" s="4">
        <f>Table1[[#This Row],[mpce]]*89</f>
        <v>8072.1006400000006</v>
      </c>
      <c r="Y496" s="2" t="s">
        <v>31</v>
      </c>
      <c r="Z496" s="3">
        <f>VLOOKUP(Y496, rmpce_reference!$B$1:$D$7,3,FALSE) * 89</f>
        <v>8010</v>
      </c>
      <c r="AA496" s="1" t="str">
        <f>IF(Table1[rmpce_inr]&lt;=rmpce_reference!$F$2, "Low Income", IF(Table1[rmpce_inr]&lt;=rmpce_reference!$F$3, "Middle Income", "High Income"))</f>
        <v>High Income</v>
      </c>
    </row>
    <row r="497" spans="1:27" x14ac:dyDescent="0.25">
      <c r="A497">
        <v>3040</v>
      </c>
      <c r="B497" t="s">
        <v>40</v>
      </c>
      <c r="C497" t="s">
        <v>29</v>
      </c>
      <c r="D497">
        <v>34</v>
      </c>
      <c r="E497" t="s">
        <v>22</v>
      </c>
      <c r="F497" t="s">
        <v>23</v>
      </c>
      <c r="G497">
        <v>0</v>
      </c>
      <c r="H497" s="1" t="str">
        <f>IF(Table1[[#This Row],[anxiety_score]]&lt;=10, "Normal", IF(Table1[[#This Row],[anxiety_score]]&lt;=20, "Moderate", IF(Table1[[#This Row],[anxiety_score]]&lt;=30, "Severe", "Extremely Severe")))</f>
        <v>Normal</v>
      </c>
      <c r="I497">
        <v>-1.0134224999999999</v>
      </c>
      <c r="J497">
        <v>8</v>
      </c>
      <c r="K497" s="1" t="str">
        <f>IF(Table1[[#This Row],[stress_score]]&lt;=10, "Normal", IF(Table1[[#This Row],[stress_score]]&lt;=20, "Moderate", IF(Table1[[#This Row],[stress_score]]&lt;=30, "Severe", "Extremely Severe")))</f>
        <v>Normal</v>
      </c>
      <c r="L497">
        <v>-0.38382620000000001</v>
      </c>
      <c r="M497">
        <v>6</v>
      </c>
      <c r="N497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497">
        <v>-0.53092379999999995</v>
      </c>
      <c r="P497">
        <v>4.6666664999999998</v>
      </c>
      <c r="Q497">
        <f>ROUND(Table1[[#This Row],[dass21_raw_score]],0)</f>
        <v>5</v>
      </c>
      <c r="R497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497">
        <v>-0.64272415999999999</v>
      </c>
      <c r="T497">
        <v>0.45218575</v>
      </c>
      <c r="U497">
        <v>3000</v>
      </c>
      <c r="V497" s="1">
        <f>ROUND(Table1[[#This Row],[fmpce]],0)</f>
        <v>3000</v>
      </c>
      <c r="W497">
        <v>40.813994999999998</v>
      </c>
      <c r="X497" s="4">
        <f>Table1[[#This Row],[mpce]]*89</f>
        <v>3632.4455549999998</v>
      </c>
      <c r="Y497" s="2" t="s">
        <v>32</v>
      </c>
      <c r="Z497" s="3">
        <f>VLOOKUP(Y497, rmpce_reference!$B$1:$D$7,3,FALSE) * 89</f>
        <v>4450</v>
      </c>
      <c r="AA497" s="1" t="str">
        <f>IF(Table1[rmpce_inr]&lt;=rmpce_reference!$F$2, "Low Income", IF(Table1[rmpce_inr]&lt;=rmpce_reference!$F$3, "Middle Income", "High Income"))</f>
        <v>Low Income</v>
      </c>
    </row>
    <row r="498" spans="1:27" x14ac:dyDescent="0.25">
      <c r="A498">
        <v>3041</v>
      </c>
      <c r="B498" t="s">
        <v>40</v>
      </c>
      <c r="C498" t="s">
        <v>21</v>
      </c>
      <c r="D498">
        <v>49</v>
      </c>
      <c r="E498" t="s">
        <v>22</v>
      </c>
      <c r="F498" t="s">
        <v>23</v>
      </c>
      <c r="G498">
        <v>0</v>
      </c>
      <c r="H498" s="1" t="str">
        <f>IF(Table1[[#This Row],[anxiety_score]]&lt;=10, "Normal", IF(Table1[[#This Row],[anxiety_score]]&lt;=20, "Moderate", IF(Table1[[#This Row],[anxiety_score]]&lt;=30, "Severe", "Extremely Severe")))</f>
        <v>Normal</v>
      </c>
      <c r="I498">
        <v>-1.0134224999999999</v>
      </c>
      <c r="J498">
        <v>6</v>
      </c>
      <c r="K498" s="1" t="str">
        <f>IF(Table1[[#This Row],[stress_score]]&lt;=10, "Normal", IF(Table1[[#This Row],[stress_score]]&lt;=20, "Moderate", IF(Table1[[#This Row],[stress_score]]&lt;=30, "Severe", "Extremely Severe")))</f>
        <v>Normal</v>
      </c>
      <c r="L498">
        <v>-0.57848745999999995</v>
      </c>
      <c r="M498">
        <v>0</v>
      </c>
      <c r="N498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498">
        <v>-1.1088359000000001</v>
      </c>
      <c r="P498">
        <v>2</v>
      </c>
      <c r="Q498">
        <f>ROUND(Table1[[#This Row],[dass21_raw_score]],0)</f>
        <v>2</v>
      </c>
      <c r="R498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498">
        <v>-0.90024864999999998</v>
      </c>
      <c r="T498">
        <v>0.19466126</v>
      </c>
      <c r="U498">
        <v>8000</v>
      </c>
      <c r="V498" s="1">
        <f>ROUND(Table1[[#This Row],[fmpce]],0)</f>
        <v>8000</v>
      </c>
      <c r="W498">
        <v>108.83732000000001</v>
      </c>
      <c r="X498" s="4">
        <f>Table1[[#This Row],[mpce]]*89</f>
        <v>9686.5214800000012</v>
      </c>
      <c r="Y498" s="2" t="s">
        <v>35</v>
      </c>
      <c r="Z498" s="3">
        <f>VLOOKUP(Y498, rmpce_reference!$B$1:$D$7,3,FALSE) * 89</f>
        <v>9790</v>
      </c>
      <c r="AA498" s="1" t="str">
        <f>IF(Table1[rmpce_inr]&lt;=rmpce_reference!$F$2, "Low Income", IF(Table1[rmpce_inr]&lt;=rmpce_reference!$F$3, "Middle Income", "High Income"))</f>
        <v>High Income</v>
      </c>
    </row>
    <row r="499" spans="1:27" x14ac:dyDescent="0.25">
      <c r="A499">
        <v>3042</v>
      </c>
      <c r="B499" t="s">
        <v>40</v>
      </c>
      <c r="C499" t="s">
        <v>33</v>
      </c>
      <c r="D499">
        <v>27</v>
      </c>
      <c r="E499" t="s">
        <v>22</v>
      </c>
      <c r="F499" t="s">
        <v>30</v>
      </c>
      <c r="G499">
        <v>0</v>
      </c>
      <c r="H499" s="1" t="str">
        <f>IF(Table1[[#This Row],[anxiety_score]]&lt;=10, "Normal", IF(Table1[[#This Row],[anxiety_score]]&lt;=20, "Moderate", IF(Table1[[#This Row],[anxiety_score]]&lt;=30, "Severe", "Extremely Severe")))</f>
        <v>Normal</v>
      </c>
      <c r="I499">
        <v>-1.0134224999999999</v>
      </c>
      <c r="J499">
        <v>14</v>
      </c>
      <c r="K499" s="1" t="str">
        <f>IF(Table1[[#This Row],[stress_score]]&lt;=10, "Normal", IF(Table1[[#This Row],[stress_score]]&lt;=20, "Moderate", IF(Table1[[#This Row],[stress_score]]&lt;=30, "Severe", "Extremely Severe")))</f>
        <v>Moderate</v>
      </c>
      <c r="L499">
        <v>0.20015757000000001</v>
      </c>
      <c r="M499">
        <v>16</v>
      </c>
      <c r="N499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499">
        <v>0.43226320000000001</v>
      </c>
      <c r="P499">
        <v>10</v>
      </c>
      <c r="Q499">
        <f>ROUND(Table1[[#This Row],[dass21_raw_score]],0)</f>
        <v>10</v>
      </c>
      <c r="R499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499">
        <v>-0.12700057000000001</v>
      </c>
      <c r="T499">
        <v>0.96790933999999995</v>
      </c>
      <c r="U499">
        <v>3000</v>
      </c>
      <c r="V499" s="1">
        <f>ROUND(Table1[[#This Row],[fmpce]],0)</f>
        <v>3000</v>
      </c>
      <c r="W499">
        <v>40.813994999999998</v>
      </c>
      <c r="X499" s="4">
        <f>Table1[[#This Row],[mpce]]*89</f>
        <v>3632.4455549999998</v>
      </c>
      <c r="Y499" s="2" t="s">
        <v>32</v>
      </c>
      <c r="Z499" s="3">
        <f>VLOOKUP(Y499, rmpce_reference!$B$1:$D$7,3,FALSE) * 89</f>
        <v>4450</v>
      </c>
      <c r="AA499" s="1" t="str">
        <f>IF(Table1[rmpce_inr]&lt;=rmpce_reference!$F$2, "Low Income", IF(Table1[rmpce_inr]&lt;=rmpce_reference!$F$3, "Middle Income", "High Income"))</f>
        <v>Low Income</v>
      </c>
    </row>
    <row r="500" spans="1:27" x14ac:dyDescent="0.25">
      <c r="A500">
        <v>3043</v>
      </c>
      <c r="B500" t="s">
        <v>40</v>
      </c>
      <c r="C500" t="s">
        <v>29</v>
      </c>
      <c r="D500">
        <v>32</v>
      </c>
      <c r="E500" t="s">
        <v>22</v>
      </c>
      <c r="F500" t="s">
        <v>30</v>
      </c>
      <c r="G500">
        <v>0</v>
      </c>
      <c r="H500" s="1" t="str">
        <f>IF(Table1[[#This Row],[anxiety_score]]&lt;=10, "Normal", IF(Table1[[#This Row],[anxiety_score]]&lt;=20, "Moderate", IF(Table1[[#This Row],[anxiety_score]]&lt;=30, "Severe", "Extremely Severe")))</f>
        <v>Normal</v>
      </c>
      <c r="I500">
        <v>-1.0134224999999999</v>
      </c>
      <c r="J500">
        <v>6</v>
      </c>
      <c r="K500" s="1" t="str">
        <f>IF(Table1[[#This Row],[stress_score]]&lt;=10, "Normal", IF(Table1[[#This Row],[stress_score]]&lt;=20, "Moderate", IF(Table1[[#This Row],[stress_score]]&lt;=30, "Severe", "Extremely Severe")))</f>
        <v>Normal</v>
      </c>
      <c r="L500">
        <v>-0.57848745999999995</v>
      </c>
      <c r="M500">
        <v>14</v>
      </c>
      <c r="N500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500">
        <v>0.23962580999999999</v>
      </c>
      <c r="P500">
        <v>6.6666664999999998</v>
      </c>
      <c r="Q500">
        <f>ROUND(Table1[[#This Row],[dass21_raw_score]],0)</f>
        <v>7</v>
      </c>
      <c r="R500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500">
        <v>-0.45076137999999999</v>
      </c>
      <c r="T500">
        <v>0.64414850000000001</v>
      </c>
      <c r="U500">
        <v>6250</v>
      </c>
      <c r="V500" s="1">
        <f>ROUND(Table1[[#This Row],[fmpce]],0)</f>
        <v>6250</v>
      </c>
      <c r="W500">
        <v>85.029150000000001</v>
      </c>
      <c r="X500" s="4">
        <f>Table1[[#This Row],[mpce]]*89</f>
        <v>7567.5943500000003</v>
      </c>
      <c r="Y500" s="2" t="s">
        <v>31</v>
      </c>
      <c r="Z500" s="3">
        <f>VLOOKUP(Y500, rmpce_reference!$B$1:$D$7,3,FALSE) * 89</f>
        <v>8010</v>
      </c>
      <c r="AA500" s="1" t="str">
        <f>IF(Table1[rmpce_inr]&lt;=rmpce_reference!$F$2, "Low Income", IF(Table1[rmpce_inr]&lt;=rmpce_reference!$F$3, "Middle Income", "High Income"))</f>
        <v>High Income</v>
      </c>
    </row>
    <row r="501" spans="1:27" x14ac:dyDescent="0.25">
      <c r="A501">
        <v>3044</v>
      </c>
      <c r="B501" t="s">
        <v>40</v>
      </c>
      <c r="C501" t="s">
        <v>33</v>
      </c>
      <c r="D501">
        <v>26</v>
      </c>
      <c r="E501" t="s">
        <v>22</v>
      </c>
      <c r="F501" t="s">
        <v>30</v>
      </c>
      <c r="G501">
        <v>0</v>
      </c>
      <c r="H501" s="1" t="str">
        <f>IF(Table1[[#This Row],[anxiety_score]]&lt;=10, "Normal", IF(Table1[[#This Row],[anxiety_score]]&lt;=20, "Moderate", IF(Table1[[#This Row],[anxiety_score]]&lt;=30, "Severe", "Extremely Severe")))</f>
        <v>Normal</v>
      </c>
      <c r="I501">
        <v>-1.0134224999999999</v>
      </c>
      <c r="J501">
        <v>6</v>
      </c>
      <c r="K501" s="1" t="str">
        <f>IF(Table1[[#This Row],[stress_score]]&lt;=10, "Normal", IF(Table1[[#This Row],[stress_score]]&lt;=20, "Moderate", IF(Table1[[#This Row],[stress_score]]&lt;=30, "Severe", "Extremely Severe")))</f>
        <v>Normal</v>
      </c>
      <c r="L501">
        <v>-0.57848745999999995</v>
      </c>
      <c r="M501">
        <v>2</v>
      </c>
      <c r="N501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501">
        <v>-0.91619854999999994</v>
      </c>
      <c r="P501">
        <v>2.6666666999999999</v>
      </c>
      <c r="Q501">
        <f>ROUND(Table1[[#This Row],[dass21_raw_score]],0)</f>
        <v>3</v>
      </c>
      <c r="R501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501">
        <v>-0.83603614999999998</v>
      </c>
      <c r="T501">
        <v>0.25887376000000001</v>
      </c>
      <c r="U501">
        <v>7500</v>
      </c>
      <c r="V501" s="1">
        <f>ROUND(Table1[[#This Row],[fmpce]],0)</f>
        <v>7500</v>
      </c>
      <c r="W501">
        <v>102.03498999999999</v>
      </c>
      <c r="X501" s="4">
        <f>Table1[[#This Row],[mpce]]*89</f>
        <v>9081.1141099999986</v>
      </c>
      <c r="Y501" s="2" t="s">
        <v>35</v>
      </c>
      <c r="Z501" s="3">
        <f>VLOOKUP(Y501, rmpce_reference!$B$1:$D$7,3,FALSE) * 89</f>
        <v>9790</v>
      </c>
      <c r="AA501" s="1" t="str">
        <f>IF(Table1[rmpce_inr]&lt;=rmpce_reference!$F$2, "Low Income", IF(Table1[rmpce_inr]&lt;=rmpce_reference!$F$3, "Middle Income", "High Income"))</f>
        <v>High Income</v>
      </c>
    </row>
    <row r="502" spans="1:27" x14ac:dyDescent="0.25">
      <c r="A502">
        <v>3045</v>
      </c>
      <c r="B502" t="s">
        <v>40</v>
      </c>
      <c r="C502" t="s">
        <v>29</v>
      </c>
      <c r="D502">
        <v>32</v>
      </c>
      <c r="E502" t="s">
        <v>22</v>
      </c>
      <c r="F502" t="s">
        <v>30</v>
      </c>
      <c r="G502">
        <v>6</v>
      </c>
      <c r="H502" s="1" t="str">
        <f>IF(Table1[[#This Row],[anxiety_score]]&lt;=10, "Normal", IF(Table1[[#This Row],[anxiety_score]]&lt;=20, "Moderate", IF(Table1[[#This Row],[anxiety_score]]&lt;=30, "Severe", "Extremely Severe")))</f>
        <v>Normal</v>
      </c>
      <c r="I502">
        <v>-0.41028870000000001</v>
      </c>
      <c r="J502">
        <v>16</v>
      </c>
      <c r="K502" s="1" t="str">
        <f>IF(Table1[[#This Row],[stress_score]]&lt;=10, "Normal", IF(Table1[[#This Row],[stress_score]]&lt;=20, "Moderate", IF(Table1[[#This Row],[stress_score]]&lt;=30, "Severe", "Extremely Severe")))</f>
        <v>Moderate</v>
      </c>
      <c r="L502">
        <v>0.39481880000000003</v>
      </c>
      <c r="M502">
        <v>22</v>
      </c>
      <c r="N502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502">
        <v>1.0101753</v>
      </c>
      <c r="P502">
        <v>14.666667</v>
      </c>
      <c r="Q502">
        <f>ROUND(Table1[[#This Row],[dass21_raw_score]],0)</f>
        <v>15</v>
      </c>
      <c r="R502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502">
        <v>0.33156848</v>
      </c>
      <c r="T502">
        <v>1.4264783999999999</v>
      </c>
      <c r="U502">
        <v>3750</v>
      </c>
      <c r="V502" s="1">
        <f>ROUND(Table1[[#This Row],[fmpce]],0)</f>
        <v>3750</v>
      </c>
      <c r="W502">
        <v>51.017493999999999</v>
      </c>
      <c r="X502" s="4">
        <f>Table1[[#This Row],[mpce]]*89</f>
        <v>4540.5569660000001</v>
      </c>
      <c r="Y502" s="2" t="s">
        <v>32</v>
      </c>
      <c r="Z502" s="3">
        <f>VLOOKUP(Y502, rmpce_reference!$B$1:$D$7,3,FALSE) * 89</f>
        <v>4450</v>
      </c>
      <c r="AA502" s="1" t="str">
        <f>IF(Table1[rmpce_inr]&lt;=rmpce_reference!$F$2, "Low Income", IF(Table1[rmpce_inr]&lt;=rmpce_reference!$F$3, "Middle Income", "High Income"))</f>
        <v>Low Income</v>
      </c>
    </row>
    <row r="503" spans="1:27" x14ac:dyDescent="0.25">
      <c r="A503">
        <v>3046</v>
      </c>
      <c r="B503" t="s">
        <v>40</v>
      </c>
      <c r="C503" t="s">
        <v>29</v>
      </c>
      <c r="D503">
        <v>35</v>
      </c>
      <c r="E503" t="s">
        <v>22</v>
      </c>
      <c r="F503" t="s">
        <v>30</v>
      </c>
      <c r="G503">
        <v>4</v>
      </c>
      <c r="H503" s="1" t="str">
        <f>IF(Table1[[#This Row],[anxiety_score]]&lt;=10, "Normal", IF(Table1[[#This Row],[anxiety_score]]&lt;=20, "Moderate", IF(Table1[[#This Row],[anxiety_score]]&lt;=30, "Severe", "Extremely Severe")))</f>
        <v>Normal</v>
      </c>
      <c r="I503">
        <v>-0.61133329999999997</v>
      </c>
      <c r="J503">
        <v>10</v>
      </c>
      <c r="K503" s="1" t="str">
        <f>IF(Table1[[#This Row],[stress_score]]&lt;=10, "Normal", IF(Table1[[#This Row],[stress_score]]&lt;=20, "Moderate", IF(Table1[[#This Row],[stress_score]]&lt;=30, "Severe", "Extremely Severe")))</f>
        <v>Normal</v>
      </c>
      <c r="L503">
        <v>-0.18916494</v>
      </c>
      <c r="M503">
        <v>18</v>
      </c>
      <c r="N503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503">
        <v>0.62490060000000003</v>
      </c>
      <c r="P503">
        <v>10.666667</v>
      </c>
      <c r="Q503">
        <f>ROUND(Table1[[#This Row],[dass21_raw_score]],0)</f>
        <v>11</v>
      </c>
      <c r="R503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503">
        <v>-5.8532555E-2</v>
      </c>
      <c r="T503">
        <v>1.0363773000000001</v>
      </c>
      <c r="U503">
        <v>4000</v>
      </c>
      <c r="V503" s="1">
        <f>ROUND(Table1[[#This Row],[fmpce]],0)</f>
        <v>4000</v>
      </c>
      <c r="W503">
        <v>54.418660000000003</v>
      </c>
      <c r="X503" s="4">
        <f>Table1[[#This Row],[mpce]]*89</f>
        <v>4843.2607400000006</v>
      </c>
      <c r="Y503" s="2" t="s">
        <v>32</v>
      </c>
      <c r="Z503" s="3">
        <f>VLOOKUP(Y503, rmpce_reference!$B$1:$D$7,3,FALSE) * 89</f>
        <v>4450</v>
      </c>
      <c r="AA503" s="1" t="str">
        <f>IF(Table1[rmpce_inr]&lt;=rmpce_reference!$F$2, "Low Income", IF(Table1[rmpce_inr]&lt;=rmpce_reference!$F$3, "Middle Income", "High Income"))</f>
        <v>Low Income</v>
      </c>
    </row>
    <row r="504" spans="1:27" x14ac:dyDescent="0.25">
      <c r="A504">
        <v>3047</v>
      </c>
      <c r="B504" t="s">
        <v>40</v>
      </c>
      <c r="C504" t="s">
        <v>21</v>
      </c>
      <c r="D504">
        <v>41</v>
      </c>
      <c r="E504" t="s">
        <v>22</v>
      </c>
      <c r="F504" t="s">
        <v>30</v>
      </c>
      <c r="G504">
        <v>0</v>
      </c>
      <c r="H504" s="1" t="str">
        <f>IF(Table1[[#This Row],[anxiety_score]]&lt;=10, "Normal", IF(Table1[[#This Row],[anxiety_score]]&lt;=20, "Moderate", IF(Table1[[#This Row],[anxiety_score]]&lt;=30, "Severe", "Extremely Severe")))</f>
        <v>Normal</v>
      </c>
      <c r="I504">
        <v>-1.0134224999999999</v>
      </c>
      <c r="J504">
        <v>20</v>
      </c>
      <c r="K504" s="1" t="str">
        <f>IF(Table1[[#This Row],[stress_score]]&lt;=10, "Normal", IF(Table1[[#This Row],[stress_score]]&lt;=20, "Moderate", IF(Table1[[#This Row],[stress_score]]&lt;=30, "Severe", "Extremely Severe")))</f>
        <v>Moderate</v>
      </c>
      <c r="L504">
        <v>0.78414130000000004</v>
      </c>
      <c r="M504">
        <v>8</v>
      </c>
      <c r="N504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504">
        <v>-0.33828637</v>
      </c>
      <c r="P504">
        <v>9.3333329999999997</v>
      </c>
      <c r="Q504">
        <f>ROUND(Table1[[#This Row],[dass21_raw_score]],0)</f>
        <v>9</v>
      </c>
      <c r="R504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504">
        <v>-0.18918918000000001</v>
      </c>
      <c r="T504">
        <v>0.90572070000000005</v>
      </c>
      <c r="U504">
        <v>4000</v>
      </c>
      <c r="V504" s="1">
        <f>ROUND(Table1[[#This Row],[fmpce]],0)</f>
        <v>4000</v>
      </c>
      <c r="W504">
        <v>54.418660000000003</v>
      </c>
      <c r="X504" s="4">
        <f>Table1[[#This Row],[mpce]]*89</f>
        <v>4843.2607400000006</v>
      </c>
      <c r="Y504" s="2" t="s">
        <v>32</v>
      </c>
      <c r="Z504" s="3">
        <f>VLOOKUP(Y504, rmpce_reference!$B$1:$D$7,3,FALSE) * 89</f>
        <v>4450</v>
      </c>
      <c r="AA504" s="1" t="str">
        <f>IF(Table1[rmpce_inr]&lt;=rmpce_reference!$F$2, "Low Income", IF(Table1[rmpce_inr]&lt;=rmpce_reference!$F$3, "Middle Income", "High Income"))</f>
        <v>Low Income</v>
      </c>
    </row>
    <row r="505" spans="1:27" x14ac:dyDescent="0.25">
      <c r="A505">
        <v>3048</v>
      </c>
      <c r="B505" t="s">
        <v>40</v>
      </c>
      <c r="C505" t="s">
        <v>33</v>
      </c>
      <c r="D505">
        <v>26</v>
      </c>
      <c r="E505" t="s">
        <v>22</v>
      </c>
      <c r="F505" t="s">
        <v>23</v>
      </c>
      <c r="G505">
        <v>0</v>
      </c>
      <c r="H505" s="1" t="str">
        <f>IF(Table1[[#This Row],[anxiety_score]]&lt;=10, "Normal", IF(Table1[[#This Row],[anxiety_score]]&lt;=20, "Moderate", IF(Table1[[#This Row],[anxiety_score]]&lt;=30, "Severe", "Extremely Severe")))</f>
        <v>Normal</v>
      </c>
      <c r="I505">
        <v>-1.0134224999999999</v>
      </c>
      <c r="J505">
        <v>12</v>
      </c>
      <c r="K505" s="1" t="str">
        <f>IF(Table1[[#This Row],[stress_score]]&lt;=10, "Normal", IF(Table1[[#This Row],[stress_score]]&lt;=20, "Moderate", IF(Table1[[#This Row],[stress_score]]&lt;=30, "Severe", "Extremely Severe")))</f>
        <v>Moderate</v>
      </c>
      <c r="L505">
        <v>5.496318E-3</v>
      </c>
      <c r="M505">
        <v>14</v>
      </c>
      <c r="N505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505">
        <v>0.23962580999999999</v>
      </c>
      <c r="P505">
        <v>8.6666670000000003</v>
      </c>
      <c r="Q505">
        <f>ROUND(Table1[[#This Row],[dass21_raw_score]],0)</f>
        <v>9</v>
      </c>
      <c r="R505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505">
        <v>-0.25610011999999999</v>
      </c>
      <c r="T505">
        <v>0.83880980000000005</v>
      </c>
      <c r="U505">
        <v>5000</v>
      </c>
      <c r="V505" s="1">
        <f>ROUND(Table1[[#This Row],[fmpce]],0)</f>
        <v>5000</v>
      </c>
      <c r="W505">
        <v>68.023319999999998</v>
      </c>
      <c r="X505" s="4">
        <f>Table1[[#This Row],[mpce]]*89</f>
        <v>6054.0754799999995</v>
      </c>
      <c r="Y505" s="2" t="s">
        <v>28</v>
      </c>
      <c r="Z505" s="3">
        <f>VLOOKUP(Y505, rmpce_reference!$B$1:$D$7,3,FALSE) * 89</f>
        <v>6230</v>
      </c>
      <c r="AA505" s="1" t="str">
        <f>IF(Table1[rmpce_inr]&lt;=rmpce_reference!$F$2, "Low Income", IF(Table1[rmpce_inr]&lt;=rmpce_reference!$F$3, "Middle Income", "High Income"))</f>
        <v>Middle Income</v>
      </c>
    </row>
    <row r="506" spans="1:27" x14ac:dyDescent="0.25">
      <c r="A506">
        <v>3049</v>
      </c>
      <c r="B506" t="s">
        <v>40</v>
      </c>
      <c r="C506" t="s">
        <v>29</v>
      </c>
      <c r="D506">
        <v>32</v>
      </c>
      <c r="E506" t="s">
        <v>22</v>
      </c>
      <c r="F506" t="s">
        <v>30</v>
      </c>
      <c r="G506">
        <v>8</v>
      </c>
      <c r="H506" s="1" t="str">
        <f>IF(Table1[[#This Row],[anxiety_score]]&lt;=10, "Normal", IF(Table1[[#This Row],[anxiety_score]]&lt;=20, "Moderate", IF(Table1[[#This Row],[anxiety_score]]&lt;=30, "Severe", "Extremely Severe")))</f>
        <v>Normal</v>
      </c>
      <c r="I506">
        <v>-0.20924408999999999</v>
      </c>
      <c r="J506">
        <v>28</v>
      </c>
      <c r="K506" s="1" t="str">
        <f>IF(Table1[[#This Row],[stress_score]]&lt;=10, "Normal", IF(Table1[[#This Row],[stress_score]]&lt;=20, "Moderate", IF(Table1[[#This Row],[stress_score]]&lt;=30, "Severe", "Extremely Severe")))</f>
        <v>Severe</v>
      </c>
      <c r="L506">
        <v>1.5627863</v>
      </c>
      <c r="M506">
        <v>4</v>
      </c>
      <c r="N506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506">
        <v>-0.72356116999999998</v>
      </c>
      <c r="P506">
        <v>13.333333</v>
      </c>
      <c r="Q506">
        <f>ROUND(Table1[[#This Row],[dass21_raw_score]],0)</f>
        <v>13</v>
      </c>
      <c r="R506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506">
        <v>0.20999369000000001</v>
      </c>
      <c r="T506">
        <v>1.3049036000000001</v>
      </c>
      <c r="U506">
        <v>5000</v>
      </c>
      <c r="V506" s="1">
        <f>ROUND(Table1[[#This Row],[fmpce]],0)</f>
        <v>5000</v>
      </c>
      <c r="W506">
        <v>68.023319999999998</v>
      </c>
      <c r="X506" s="4">
        <f>Table1[[#This Row],[mpce]]*89</f>
        <v>6054.0754799999995</v>
      </c>
      <c r="Y506" s="2" t="s">
        <v>28</v>
      </c>
      <c r="Z506" s="3">
        <f>VLOOKUP(Y506, rmpce_reference!$B$1:$D$7,3,FALSE) * 89</f>
        <v>6230</v>
      </c>
      <c r="AA506" s="1" t="str">
        <f>IF(Table1[rmpce_inr]&lt;=rmpce_reference!$F$2, "Low Income", IF(Table1[rmpce_inr]&lt;=rmpce_reference!$F$3, "Middle Income", "High Income"))</f>
        <v>Middle Income</v>
      </c>
    </row>
    <row r="507" spans="1:27" x14ac:dyDescent="0.25">
      <c r="A507">
        <v>3050</v>
      </c>
      <c r="B507" t="s">
        <v>40</v>
      </c>
      <c r="C507" t="s">
        <v>29</v>
      </c>
      <c r="D507">
        <v>32</v>
      </c>
      <c r="E507" t="s">
        <v>22</v>
      </c>
      <c r="F507" t="s">
        <v>30</v>
      </c>
      <c r="G507">
        <v>0</v>
      </c>
      <c r="H507" s="1" t="str">
        <f>IF(Table1[[#This Row],[anxiety_score]]&lt;=10, "Normal", IF(Table1[[#This Row],[anxiety_score]]&lt;=20, "Moderate", IF(Table1[[#This Row],[anxiety_score]]&lt;=30, "Severe", "Extremely Severe")))</f>
        <v>Normal</v>
      </c>
      <c r="I507">
        <v>-1.0134224999999999</v>
      </c>
      <c r="J507">
        <v>4</v>
      </c>
      <c r="K507" s="1" t="str">
        <f>IF(Table1[[#This Row],[stress_score]]&lt;=10, "Normal", IF(Table1[[#This Row],[stress_score]]&lt;=20, "Moderate", IF(Table1[[#This Row],[stress_score]]&lt;=30, "Severe", "Extremely Severe")))</f>
        <v>Normal</v>
      </c>
      <c r="L507">
        <v>-0.77314866000000004</v>
      </c>
      <c r="M507">
        <v>4</v>
      </c>
      <c r="N507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507">
        <v>-0.72356116999999998</v>
      </c>
      <c r="P507">
        <v>2.6666666999999999</v>
      </c>
      <c r="Q507">
        <f>ROUND(Table1[[#This Row],[dass21_raw_score]],0)</f>
        <v>3</v>
      </c>
      <c r="R507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507">
        <v>-0.83671074999999995</v>
      </c>
      <c r="T507">
        <v>0.25819915999999998</v>
      </c>
      <c r="U507">
        <v>5000</v>
      </c>
      <c r="V507" s="1">
        <f>ROUND(Table1[[#This Row],[fmpce]],0)</f>
        <v>5000</v>
      </c>
      <c r="W507">
        <v>68.023319999999998</v>
      </c>
      <c r="X507" s="4">
        <f>Table1[[#This Row],[mpce]]*89</f>
        <v>6054.0754799999995</v>
      </c>
      <c r="Y507" s="2" t="s">
        <v>28</v>
      </c>
      <c r="Z507" s="3">
        <f>VLOOKUP(Y507, rmpce_reference!$B$1:$D$7,3,FALSE) * 89</f>
        <v>6230</v>
      </c>
      <c r="AA507" s="1" t="str">
        <f>IF(Table1[rmpce_inr]&lt;=rmpce_reference!$F$2, "Low Income", IF(Table1[rmpce_inr]&lt;=rmpce_reference!$F$3, "Middle Income", "High Income"))</f>
        <v>Middle Income</v>
      </c>
    </row>
    <row r="508" spans="1:27" x14ac:dyDescent="0.25">
      <c r="A508">
        <v>3051</v>
      </c>
      <c r="B508" t="s">
        <v>40</v>
      </c>
      <c r="C508" t="s">
        <v>29</v>
      </c>
      <c r="D508">
        <v>33</v>
      </c>
      <c r="E508" t="s">
        <v>22</v>
      </c>
      <c r="F508" t="s">
        <v>23</v>
      </c>
      <c r="G508">
        <v>12</v>
      </c>
      <c r="H508" s="1" t="str">
        <f>IF(Table1[[#This Row],[anxiety_score]]&lt;=10, "Normal", IF(Table1[[#This Row],[anxiety_score]]&lt;=20, "Moderate", IF(Table1[[#This Row],[anxiety_score]]&lt;=30, "Severe", "Extremely Severe")))</f>
        <v>Moderate</v>
      </c>
      <c r="I508">
        <v>0.19284514999999999</v>
      </c>
      <c r="J508">
        <v>8</v>
      </c>
      <c r="K508" s="1" t="str">
        <f>IF(Table1[[#This Row],[stress_score]]&lt;=10, "Normal", IF(Table1[[#This Row],[stress_score]]&lt;=20, "Moderate", IF(Table1[[#This Row],[stress_score]]&lt;=30, "Severe", "Extremely Severe")))</f>
        <v>Normal</v>
      </c>
      <c r="L508">
        <v>-0.38382620000000001</v>
      </c>
      <c r="M508">
        <v>14</v>
      </c>
      <c r="N508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508">
        <v>0.23962580999999999</v>
      </c>
      <c r="P508">
        <v>11.333333</v>
      </c>
      <c r="Q508">
        <f>ROUND(Table1[[#This Row],[dass21_raw_score]],0)</f>
        <v>11</v>
      </c>
      <c r="R508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508">
        <v>1.6214922E-2</v>
      </c>
      <c r="T508">
        <v>1.1111249000000001</v>
      </c>
      <c r="U508">
        <v>8000</v>
      </c>
      <c r="V508" s="1">
        <f>ROUND(Table1[[#This Row],[fmpce]],0)</f>
        <v>8000</v>
      </c>
      <c r="W508">
        <v>108.83732000000001</v>
      </c>
      <c r="X508" s="4">
        <f>Table1[[#This Row],[mpce]]*89</f>
        <v>9686.5214800000012</v>
      </c>
      <c r="Y508" s="2" t="s">
        <v>35</v>
      </c>
      <c r="Z508" s="3">
        <f>VLOOKUP(Y508, rmpce_reference!$B$1:$D$7,3,FALSE) * 89</f>
        <v>9790</v>
      </c>
      <c r="AA508" s="1" t="str">
        <f>IF(Table1[rmpce_inr]&lt;=rmpce_reference!$F$2, "Low Income", IF(Table1[rmpce_inr]&lt;=rmpce_reference!$F$3, "Middle Income", "High Income"))</f>
        <v>High Income</v>
      </c>
    </row>
    <row r="509" spans="1:27" x14ac:dyDescent="0.25">
      <c r="A509">
        <v>3052</v>
      </c>
      <c r="B509" t="s">
        <v>40</v>
      </c>
      <c r="C509" t="s">
        <v>33</v>
      </c>
      <c r="D509">
        <v>27</v>
      </c>
      <c r="E509" t="s">
        <v>22</v>
      </c>
      <c r="F509" t="s">
        <v>30</v>
      </c>
      <c r="G509">
        <v>8</v>
      </c>
      <c r="H509" s="1" t="str">
        <f>IF(Table1[[#This Row],[anxiety_score]]&lt;=10, "Normal", IF(Table1[[#This Row],[anxiety_score]]&lt;=20, "Moderate", IF(Table1[[#This Row],[anxiety_score]]&lt;=30, "Severe", "Extremely Severe")))</f>
        <v>Normal</v>
      </c>
      <c r="I509">
        <v>-0.20924408999999999</v>
      </c>
      <c r="J509">
        <v>8</v>
      </c>
      <c r="K509" s="1" t="str">
        <f>IF(Table1[[#This Row],[stress_score]]&lt;=10, "Normal", IF(Table1[[#This Row],[stress_score]]&lt;=20, "Moderate", IF(Table1[[#This Row],[stress_score]]&lt;=30, "Severe", "Extremely Severe")))</f>
        <v>Normal</v>
      </c>
      <c r="L509">
        <v>-0.38382620000000001</v>
      </c>
      <c r="M509">
        <v>6</v>
      </c>
      <c r="N509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509">
        <v>-0.53092379999999995</v>
      </c>
      <c r="P509">
        <v>7.3333335000000002</v>
      </c>
      <c r="Q509">
        <f>ROUND(Table1[[#This Row],[dass21_raw_score]],0)</f>
        <v>7</v>
      </c>
      <c r="R509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509">
        <v>-0.37466470000000002</v>
      </c>
      <c r="T509">
        <v>0.72024524000000001</v>
      </c>
      <c r="U509">
        <v>4000</v>
      </c>
      <c r="V509" s="1">
        <f>ROUND(Table1[[#This Row],[fmpce]],0)</f>
        <v>4000</v>
      </c>
      <c r="W509">
        <v>54.418660000000003</v>
      </c>
      <c r="X509" s="4">
        <f>Table1[[#This Row],[mpce]]*89</f>
        <v>4843.2607400000006</v>
      </c>
      <c r="Y509" s="2" t="s">
        <v>32</v>
      </c>
      <c r="Z509" s="3">
        <f>VLOOKUP(Y509, rmpce_reference!$B$1:$D$7,3,FALSE) * 89</f>
        <v>4450</v>
      </c>
      <c r="AA509" s="1" t="str">
        <f>IF(Table1[rmpce_inr]&lt;=rmpce_reference!$F$2, "Low Income", IF(Table1[rmpce_inr]&lt;=rmpce_reference!$F$3, "Middle Income", "High Income"))</f>
        <v>Low Income</v>
      </c>
    </row>
    <row r="510" spans="1:27" x14ac:dyDescent="0.25">
      <c r="A510">
        <v>3053</v>
      </c>
      <c r="B510" t="s">
        <v>40</v>
      </c>
      <c r="C510" t="s">
        <v>29</v>
      </c>
      <c r="D510">
        <v>33</v>
      </c>
      <c r="E510" t="s">
        <v>22</v>
      </c>
      <c r="F510" t="s">
        <v>30</v>
      </c>
      <c r="G510">
        <v>10</v>
      </c>
      <c r="H510" s="1" t="str">
        <f>IF(Table1[[#This Row],[anxiety_score]]&lt;=10, "Normal", IF(Table1[[#This Row],[anxiety_score]]&lt;=20, "Moderate", IF(Table1[[#This Row],[anxiety_score]]&lt;=30, "Severe", "Extremely Severe")))</f>
        <v>Normal</v>
      </c>
      <c r="I510">
        <v>-8.1994660000000007E-3</v>
      </c>
      <c r="J510">
        <v>8</v>
      </c>
      <c r="K510" s="1" t="str">
        <f>IF(Table1[[#This Row],[stress_score]]&lt;=10, "Normal", IF(Table1[[#This Row],[stress_score]]&lt;=20, "Moderate", IF(Table1[[#This Row],[stress_score]]&lt;=30, "Severe", "Extremely Severe")))</f>
        <v>Normal</v>
      </c>
      <c r="L510">
        <v>-0.38382620000000001</v>
      </c>
      <c r="M510">
        <v>10</v>
      </c>
      <c r="N510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510">
        <v>-0.14564899000000001</v>
      </c>
      <c r="P510">
        <v>9.3333329999999997</v>
      </c>
      <c r="Q510">
        <f>ROUND(Table1[[#This Row],[dass21_raw_score]],0)</f>
        <v>9</v>
      </c>
      <c r="R510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510">
        <v>-0.17922488</v>
      </c>
      <c r="T510">
        <v>0.91568506000000005</v>
      </c>
      <c r="U510">
        <v>3000</v>
      </c>
      <c r="V510" s="1">
        <f>ROUND(Table1[[#This Row],[fmpce]],0)</f>
        <v>3000</v>
      </c>
      <c r="W510">
        <v>40.813994999999998</v>
      </c>
      <c r="X510" s="4">
        <f>Table1[[#This Row],[mpce]]*89</f>
        <v>3632.4455549999998</v>
      </c>
      <c r="Y510" s="2" t="s">
        <v>32</v>
      </c>
      <c r="Z510" s="3">
        <f>VLOOKUP(Y510, rmpce_reference!$B$1:$D$7,3,FALSE) * 89</f>
        <v>4450</v>
      </c>
      <c r="AA510" s="1" t="str">
        <f>IF(Table1[rmpce_inr]&lt;=rmpce_reference!$F$2, "Low Income", IF(Table1[rmpce_inr]&lt;=rmpce_reference!$F$3, "Middle Income", "High Income"))</f>
        <v>Low Income</v>
      </c>
    </row>
    <row r="511" spans="1:27" x14ac:dyDescent="0.25">
      <c r="A511">
        <v>3054</v>
      </c>
      <c r="B511" t="s">
        <v>40</v>
      </c>
      <c r="C511" t="s">
        <v>29</v>
      </c>
      <c r="D511">
        <v>35</v>
      </c>
      <c r="E511" t="s">
        <v>22</v>
      </c>
      <c r="F511" t="s">
        <v>23</v>
      </c>
      <c r="G511">
        <v>6</v>
      </c>
      <c r="H511" s="1" t="str">
        <f>IF(Table1[[#This Row],[anxiety_score]]&lt;=10, "Normal", IF(Table1[[#This Row],[anxiety_score]]&lt;=20, "Moderate", IF(Table1[[#This Row],[anxiety_score]]&lt;=30, "Severe", "Extremely Severe")))</f>
        <v>Normal</v>
      </c>
      <c r="I511">
        <v>-0.41028870000000001</v>
      </c>
      <c r="J511">
        <v>4</v>
      </c>
      <c r="K511" s="1" t="str">
        <f>IF(Table1[[#This Row],[stress_score]]&lt;=10, "Normal", IF(Table1[[#This Row],[stress_score]]&lt;=20, "Moderate", IF(Table1[[#This Row],[stress_score]]&lt;=30, "Severe", "Extremely Severe")))</f>
        <v>Normal</v>
      </c>
      <c r="L511">
        <v>-0.77314866000000004</v>
      </c>
      <c r="M511">
        <v>6</v>
      </c>
      <c r="N511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511">
        <v>-0.53092379999999995</v>
      </c>
      <c r="P511">
        <v>5.3333335000000002</v>
      </c>
      <c r="Q511">
        <f>ROUND(Table1[[#This Row],[dass21_raw_score]],0)</f>
        <v>5</v>
      </c>
      <c r="R511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511">
        <v>-0.57145369999999995</v>
      </c>
      <c r="T511">
        <v>0.52345620000000004</v>
      </c>
      <c r="U511">
        <v>13333.333000000001</v>
      </c>
      <c r="V511" s="1">
        <f>ROUND(Table1[[#This Row],[fmpce]],0)</f>
        <v>13333</v>
      </c>
      <c r="W511">
        <v>181.39552</v>
      </c>
      <c r="X511" s="4">
        <f>Table1[[#This Row],[mpce]]*89</f>
        <v>16144.201280000001</v>
      </c>
      <c r="Y511" s="2" t="s">
        <v>35</v>
      </c>
      <c r="Z511" s="3">
        <f>VLOOKUP(Y511, rmpce_reference!$B$1:$D$7,3,FALSE) * 89</f>
        <v>9790</v>
      </c>
      <c r="AA511" s="1" t="str">
        <f>IF(Table1[rmpce_inr]&lt;=rmpce_reference!$F$2, "Low Income", IF(Table1[rmpce_inr]&lt;=rmpce_reference!$F$3, "Middle Income", "High Income"))</f>
        <v>High Income</v>
      </c>
    </row>
    <row r="512" spans="1:27" x14ac:dyDescent="0.25">
      <c r="A512">
        <v>3055</v>
      </c>
      <c r="B512" t="s">
        <v>40</v>
      </c>
      <c r="C512" t="s">
        <v>33</v>
      </c>
      <c r="D512">
        <v>29</v>
      </c>
      <c r="E512" t="s">
        <v>25</v>
      </c>
      <c r="F512" t="s">
        <v>30</v>
      </c>
      <c r="G512">
        <v>10</v>
      </c>
      <c r="H512" s="1" t="str">
        <f>IF(Table1[[#This Row],[anxiety_score]]&lt;=10, "Normal", IF(Table1[[#This Row],[anxiety_score]]&lt;=20, "Moderate", IF(Table1[[#This Row],[anxiety_score]]&lt;=30, "Severe", "Extremely Severe")))</f>
        <v>Normal</v>
      </c>
      <c r="I512">
        <v>-8.1994660000000007E-3</v>
      </c>
      <c r="J512">
        <v>8</v>
      </c>
      <c r="K512" s="1" t="str">
        <f>IF(Table1[[#This Row],[stress_score]]&lt;=10, "Normal", IF(Table1[[#This Row],[stress_score]]&lt;=20, "Moderate", IF(Table1[[#This Row],[stress_score]]&lt;=30, "Severe", "Extremely Severe")))</f>
        <v>Normal</v>
      </c>
      <c r="L512">
        <v>-0.38382620000000001</v>
      </c>
      <c r="M512">
        <v>4</v>
      </c>
      <c r="N512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512">
        <v>-0.72356116999999998</v>
      </c>
      <c r="P512">
        <v>7.3333335000000002</v>
      </c>
      <c r="Q512">
        <f>ROUND(Table1[[#This Row],[dass21_raw_score]],0)</f>
        <v>7</v>
      </c>
      <c r="R512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512">
        <v>-0.37186226</v>
      </c>
      <c r="T512">
        <v>0.72304760000000001</v>
      </c>
      <c r="U512">
        <v>5000</v>
      </c>
      <c r="V512" s="1">
        <f>ROUND(Table1[[#This Row],[fmpce]],0)</f>
        <v>5000</v>
      </c>
      <c r="W512">
        <v>68.023319999999998</v>
      </c>
      <c r="X512" s="4">
        <f>Table1[[#This Row],[mpce]]*89</f>
        <v>6054.0754799999995</v>
      </c>
      <c r="Y512" s="2" t="s">
        <v>28</v>
      </c>
      <c r="Z512" s="3">
        <f>VLOOKUP(Y512, rmpce_reference!$B$1:$D$7,3,FALSE) * 89</f>
        <v>6230</v>
      </c>
      <c r="AA512" s="1" t="str">
        <f>IF(Table1[rmpce_inr]&lt;=rmpce_reference!$F$2, "Low Income", IF(Table1[rmpce_inr]&lt;=rmpce_reference!$F$3, "Middle Income", "High Income"))</f>
        <v>Middle Income</v>
      </c>
    </row>
    <row r="513" spans="1:27" x14ac:dyDescent="0.25">
      <c r="A513">
        <v>3056</v>
      </c>
      <c r="B513" t="s">
        <v>40</v>
      </c>
      <c r="C513" t="s">
        <v>29</v>
      </c>
      <c r="D513">
        <v>39</v>
      </c>
      <c r="E513" t="s">
        <v>25</v>
      </c>
      <c r="F513" t="s">
        <v>26</v>
      </c>
      <c r="G513">
        <v>6</v>
      </c>
      <c r="H513" s="1" t="str">
        <f>IF(Table1[[#This Row],[anxiety_score]]&lt;=10, "Normal", IF(Table1[[#This Row],[anxiety_score]]&lt;=20, "Moderate", IF(Table1[[#This Row],[anxiety_score]]&lt;=30, "Severe", "Extremely Severe")))</f>
        <v>Normal</v>
      </c>
      <c r="I513">
        <v>-0.41028870000000001</v>
      </c>
      <c r="J513">
        <v>6</v>
      </c>
      <c r="K513" s="1" t="str">
        <f>IF(Table1[[#This Row],[stress_score]]&lt;=10, "Normal", IF(Table1[[#This Row],[stress_score]]&lt;=20, "Moderate", IF(Table1[[#This Row],[stress_score]]&lt;=30, "Severe", "Extremely Severe")))</f>
        <v>Normal</v>
      </c>
      <c r="L513">
        <v>-0.57848745999999995</v>
      </c>
      <c r="M513">
        <v>10</v>
      </c>
      <c r="N513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513">
        <v>-0.14564899000000001</v>
      </c>
      <c r="P513">
        <v>7.3333335000000002</v>
      </c>
      <c r="Q513">
        <f>ROUND(Table1[[#This Row],[dass21_raw_score]],0)</f>
        <v>7</v>
      </c>
      <c r="R513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513">
        <v>-0.37814170000000003</v>
      </c>
      <c r="T513">
        <v>0.71676819999999997</v>
      </c>
      <c r="U513">
        <v>10000</v>
      </c>
      <c r="V513" s="1">
        <f>ROUND(Table1[[#This Row],[fmpce]],0)</f>
        <v>10000</v>
      </c>
      <c r="W513">
        <v>136.04665</v>
      </c>
      <c r="X513" s="4">
        <f>Table1[[#This Row],[mpce]]*89</f>
        <v>12108.15185</v>
      </c>
      <c r="Y513" s="2" t="s">
        <v>35</v>
      </c>
      <c r="Z513" s="3">
        <f>VLOOKUP(Y513, rmpce_reference!$B$1:$D$7,3,FALSE) * 89</f>
        <v>9790</v>
      </c>
      <c r="AA513" s="1" t="str">
        <f>IF(Table1[rmpce_inr]&lt;=rmpce_reference!$F$2, "Low Income", IF(Table1[rmpce_inr]&lt;=rmpce_reference!$F$3, "Middle Income", "High Income"))</f>
        <v>High Income</v>
      </c>
    </row>
    <row r="514" spans="1:27" x14ac:dyDescent="0.25">
      <c r="A514">
        <v>3057</v>
      </c>
      <c r="B514" t="s">
        <v>40</v>
      </c>
      <c r="C514" t="s">
        <v>29</v>
      </c>
      <c r="D514">
        <v>37</v>
      </c>
      <c r="E514" t="s">
        <v>25</v>
      </c>
      <c r="F514" t="s">
        <v>26</v>
      </c>
      <c r="G514">
        <v>6</v>
      </c>
      <c r="H514" s="1" t="str">
        <f>IF(Table1[[#This Row],[anxiety_score]]&lt;=10, "Normal", IF(Table1[[#This Row],[anxiety_score]]&lt;=20, "Moderate", IF(Table1[[#This Row],[anxiety_score]]&lt;=30, "Severe", "Extremely Severe")))</f>
        <v>Normal</v>
      </c>
      <c r="I514">
        <v>-0.41028870000000001</v>
      </c>
      <c r="J514">
        <v>6</v>
      </c>
      <c r="K514" s="1" t="str">
        <f>IF(Table1[[#This Row],[stress_score]]&lt;=10, "Normal", IF(Table1[[#This Row],[stress_score]]&lt;=20, "Moderate", IF(Table1[[#This Row],[stress_score]]&lt;=30, "Severe", "Extremely Severe")))</f>
        <v>Normal</v>
      </c>
      <c r="L514">
        <v>-0.57848745999999995</v>
      </c>
      <c r="M514">
        <v>6</v>
      </c>
      <c r="N514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514">
        <v>-0.53092379999999995</v>
      </c>
      <c r="P514">
        <v>6</v>
      </c>
      <c r="Q514">
        <f>ROUND(Table1[[#This Row],[dass21_raw_score]],0)</f>
        <v>6</v>
      </c>
      <c r="R514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514">
        <v>-0.50656663999999996</v>
      </c>
      <c r="T514">
        <v>0.58834326000000003</v>
      </c>
      <c r="U514">
        <v>2500</v>
      </c>
      <c r="V514" s="1">
        <f>ROUND(Table1[[#This Row],[fmpce]],0)</f>
        <v>2500</v>
      </c>
      <c r="W514">
        <v>34.011659999999999</v>
      </c>
      <c r="X514" s="4">
        <f>Table1[[#This Row],[mpce]]*89</f>
        <v>3027.0377399999998</v>
      </c>
      <c r="Y514" s="2" t="s">
        <v>34</v>
      </c>
      <c r="Z514" s="3">
        <f>VLOOKUP(Y514, rmpce_reference!$B$1:$D$7,3,FALSE) * 89</f>
        <v>2848</v>
      </c>
      <c r="AA514" s="1" t="str">
        <f>IF(Table1[rmpce_inr]&lt;=rmpce_reference!$F$2, "Low Income", IF(Table1[rmpce_inr]&lt;=rmpce_reference!$F$3, "Middle Income", "High Income"))</f>
        <v>Low Income</v>
      </c>
    </row>
    <row r="515" spans="1:27" x14ac:dyDescent="0.25">
      <c r="A515">
        <v>3058</v>
      </c>
      <c r="B515" t="s">
        <v>40</v>
      </c>
      <c r="C515" t="s">
        <v>29</v>
      </c>
      <c r="D515">
        <v>32</v>
      </c>
      <c r="E515" t="s">
        <v>25</v>
      </c>
      <c r="F515" t="s">
        <v>23</v>
      </c>
      <c r="G515">
        <v>2</v>
      </c>
      <c r="H515" s="1" t="str">
        <f>IF(Table1[[#This Row],[anxiety_score]]&lt;=10, "Normal", IF(Table1[[#This Row],[anxiety_score]]&lt;=20, "Moderate", IF(Table1[[#This Row],[anxiety_score]]&lt;=30, "Severe", "Extremely Severe")))</f>
        <v>Normal</v>
      </c>
      <c r="I515">
        <v>-0.81237789999999999</v>
      </c>
      <c r="J515">
        <v>8</v>
      </c>
      <c r="K515" s="1" t="str">
        <f>IF(Table1[[#This Row],[stress_score]]&lt;=10, "Normal", IF(Table1[[#This Row],[stress_score]]&lt;=20, "Moderate", IF(Table1[[#This Row],[stress_score]]&lt;=30, "Severe", "Extremely Severe")))</f>
        <v>Normal</v>
      </c>
      <c r="L515">
        <v>-0.38382620000000001</v>
      </c>
      <c r="M515">
        <v>8</v>
      </c>
      <c r="N515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515">
        <v>-0.33828637</v>
      </c>
      <c r="P515">
        <v>6</v>
      </c>
      <c r="Q515">
        <f>ROUND(Table1[[#This Row],[dass21_raw_score]],0)</f>
        <v>6</v>
      </c>
      <c r="R515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515">
        <v>-0.51149683999999995</v>
      </c>
      <c r="T515">
        <v>0.58341306000000004</v>
      </c>
      <c r="U515">
        <v>5000</v>
      </c>
      <c r="V515" s="1">
        <f>ROUND(Table1[[#This Row],[fmpce]],0)</f>
        <v>5000</v>
      </c>
      <c r="W515">
        <v>68.023319999999998</v>
      </c>
      <c r="X515" s="4">
        <f>Table1[[#This Row],[mpce]]*89</f>
        <v>6054.0754799999995</v>
      </c>
      <c r="Y515" s="2" t="s">
        <v>28</v>
      </c>
      <c r="Z515" s="3">
        <f>VLOOKUP(Y515, rmpce_reference!$B$1:$D$7,3,FALSE) * 89</f>
        <v>6230</v>
      </c>
      <c r="AA515" s="1" t="str">
        <f>IF(Table1[rmpce_inr]&lt;=rmpce_reference!$F$2, "Low Income", IF(Table1[rmpce_inr]&lt;=rmpce_reference!$F$3, "Middle Income", "High Income"))</f>
        <v>Middle Income</v>
      </c>
    </row>
    <row r="516" spans="1:27" x14ac:dyDescent="0.25">
      <c r="A516">
        <v>3059</v>
      </c>
      <c r="B516" t="s">
        <v>40</v>
      </c>
      <c r="C516" t="s">
        <v>21</v>
      </c>
      <c r="D516">
        <v>41</v>
      </c>
      <c r="E516" t="s">
        <v>22</v>
      </c>
      <c r="F516" t="s">
        <v>23</v>
      </c>
      <c r="G516">
        <v>8</v>
      </c>
      <c r="H516" s="1" t="str">
        <f>IF(Table1[[#This Row],[anxiety_score]]&lt;=10, "Normal", IF(Table1[[#This Row],[anxiety_score]]&lt;=20, "Moderate", IF(Table1[[#This Row],[anxiety_score]]&lt;=30, "Severe", "Extremely Severe")))</f>
        <v>Normal</v>
      </c>
      <c r="I516">
        <v>-0.20924408999999999</v>
      </c>
      <c r="J516">
        <v>4</v>
      </c>
      <c r="K516" s="1" t="str">
        <f>IF(Table1[[#This Row],[stress_score]]&lt;=10, "Normal", IF(Table1[[#This Row],[stress_score]]&lt;=20, "Moderate", IF(Table1[[#This Row],[stress_score]]&lt;=30, "Severe", "Extremely Severe")))</f>
        <v>Normal</v>
      </c>
      <c r="L516">
        <v>-0.77314866000000004</v>
      </c>
      <c r="M516">
        <v>8</v>
      </c>
      <c r="N516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516">
        <v>-0.33828637</v>
      </c>
      <c r="P516">
        <v>6.6666664999999998</v>
      </c>
      <c r="Q516">
        <f>ROUND(Table1[[#This Row],[dass21_raw_score]],0)</f>
        <v>7</v>
      </c>
      <c r="R516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516">
        <v>-0.44022637999999997</v>
      </c>
      <c r="T516">
        <v>0.65468353000000001</v>
      </c>
      <c r="U516">
        <v>15000</v>
      </c>
      <c r="V516" s="1">
        <f>ROUND(Table1[[#This Row],[fmpce]],0)</f>
        <v>15000</v>
      </c>
      <c r="W516">
        <v>204.06997999999999</v>
      </c>
      <c r="X516" s="4">
        <f>Table1[[#This Row],[mpce]]*89</f>
        <v>18162.228219999997</v>
      </c>
      <c r="Y516" s="2" t="s">
        <v>35</v>
      </c>
      <c r="Z516" s="3">
        <f>VLOOKUP(Y516, rmpce_reference!$B$1:$D$7,3,FALSE) * 89</f>
        <v>9790</v>
      </c>
      <c r="AA516" s="1" t="str">
        <f>IF(Table1[rmpce_inr]&lt;=rmpce_reference!$F$2, "Low Income", IF(Table1[rmpce_inr]&lt;=rmpce_reference!$F$3, "Middle Income", "High Income"))</f>
        <v>High Income</v>
      </c>
    </row>
    <row r="517" spans="1:27" x14ac:dyDescent="0.25">
      <c r="A517">
        <v>3060</v>
      </c>
      <c r="B517" t="s">
        <v>40</v>
      </c>
      <c r="C517" t="s">
        <v>29</v>
      </c>
      <c r="D517">
        <v>37</v>
      </c>
      <c r="E517" t="s">
        <v>22</v>
      </c>
      <c r="F517" t="s">
        <v>23</v>
      </c>
      <c r="G517">
        <v>6</v>
      </c>
      <c r="H517" s="1" t="str">
        <f>IF(Table1[[#This Row],[anxiety_score]]&lt;=10, "Normal", IF(Table1[[#This Row],[anxiety_score]]&lt;=20, "Moderate", IF(Table1[[#This Row],[anxiety_score]]&lt;=30, "Severe", "Extremely Severe")))</f>
        <v>Normal</v>
      </c>
      <c r="I517">
        <v>-0.41028870000000001</v>
      </c>
      <c r="J517">
        <v>2</v>
      </c>
      <c r="K517" s="1" t="str">
        <f>IF(Table1[[#This Row],[stress_score]]&lt;=10, "Normal", IF(Table1[[#This Row],[stress_score]]&lt;=20, "Moderate", IF(Table1[[#This Row],[stress_score]]&lt;=30, "Severe", "Extremely Severe")))</f>
        <v>Normal</v>
      </c>
      <c r="L517">
        <v>-0.9678099</v>
      </c>
      <c r="M517">
        <v>6</v>
      </c>
      <c r="N517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517">
        <v>-0.53092379999999995</v>
      </c>
      <c r="P517">
        <v>4.6666664999999998</v>
      </c>
      <c r="Q517">
        <f>ROUND(Table1[[#This Row],[dass21_raw_score]],0)</f>
        <v>5</v>
      </c>
      <c r="R517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517">
        <v>-0.63634080000000004</v>
      </c>
      <c r="T517">
        <v>0.45856910000000001</v>
      </c>
      <c r="U517">
        <v>3750</v>
      </c>
      <c r="V517" s="1">
        <f>ROUND(Table1[[#This Row],[fmpce]],0)</f>
        <v>3750</v>
      </c>
      <c r="W517">
        <v>51.017493999999999</v>
      </c>
      <c r="X517" s="4">
        <f>Table1[[#This Row],[mpce]]*89</f>
        <v>4540.5569660000001</v>
      </c>
      <c r="Y517" s="2" t="s">
        <v>32</v>
      </c>
      <c r="Z517" s="3">
        <f>VLOOKUP(Y517, rmpce_reference!$B$1:$D$7,3,FALSE) * 89</f>
        <v>4450</v>
      </c>
      <c r="AA517" s="1" t="str">
        <f>IF(Table1[rmpce_inr]&lt;=rmpce_reference!$F$2, "Low Income", IF(Table1[rmpce_inr]&lt;=rmpce_reference!$F$3, "Middle Income", "High Income"))</f>
        <v>Low Income</v>
      </c>
    </row>
    <row r="518" spans="1:27" x14ac:dyDescent="0.25">
      <c r="A518">
        <v>3061</v>
      </c>
      <c r="B518" t="s">
        <v>40</v>
      </c>
      <c r="C518" t="s">
        <v>29</v>
      </c>
      <c r="D518">
        <v>34</v>
      </c>
      <c r="E518" t="s">
        <v>22</v>
      </c>
      <c r="F518" t="s">
        <v>23</v>
      </c>
      <c r="G518">
        <v>4</v>
      </c>
      <c r="H518" s="1" t="str">
        <f>IF(Table1[[#This Row],[anxiety_score]]&lt;=10, "Normal", IF(Table1[[#This Row],[anxiety_score]]&lt;=20, "Moderate", IF(Table1[[#This Row],[anxiety_score]]&lt;=30, "Severe", "Extremely Severe")))</f>
        <v>Normal</v>
      </c>
      <c r="I518">
        <v>-0.61133329999999997</v>
      </c>
      <c r="J518">
        <v>6</v>
      </c>
      <c r="K518" s="1" t="str">
        <f>IF(Table1[[#This Row],[stress_score]]&lt;=10, "Normal", IF(Table1[[#This Row],[stress_score]]&lt;=20, "Moderate", IF(Table1[[#This Row],[stress_score]]&lt;=30, "Severe", "Extremely Severe")))</f>
        <v>Normal</v>
      </c>
      <c r="L518">
        <v>-0.57848745999999995</v>
      </c>
      <c r="M518">
        <v>4</v>
      </c>
      <c r="N518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518">
        <v>-0.72356116999999998</v>
      </c>
      <c r="P518">
        <v>4.6666664999999998</v>
      </c>
      <c r="Q518">
        <f>ROUND(Table1[[#This Row],[dass21_raw_score]],0)</f>
        <v>5</v>
      </c>
      <c r="R518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518">
        <v>-0.63779395999999999</v>
      </c>
      <c r="T518">
        <v>0.45711594999999999</v>
      </c>
      <c r="U518">
        <v>7500</v>
      </c>
      <c r="V518" s="1">
        <f>ROUND(Table1[[#This Row],[fmpce]],0)</f>
        <v>7500</v>
      </c>
      <c r="W518">
        <v>102.03498999999999</v>
      </c>
      <c r="X518" s="4">
        <f>Table1[[#This Row],[mpce]]*89</f>
        <v>9081.1141099999986</v>
      </c>
      <c r="Y518" s="2" t="s">
        <v>35</v>
      </c>
      <c r="Z518" s="3">
        <f>VLOOKUP(Y518, rmpce_reference!$B$1:$D$7,3,FALSE) * 89</f>
        <v>9790</v>
      </c>
      <c r="AA518" s="1" t="str">
        <f>IF(Table1[rmpce_inr]&lt;=rmpce_reference!$F$2, "Low Income", IF(Table1[rmpce_inr]&lt;=rmpce_reference!$F$3, "Middle Income", "High Income"))</f>
        <v>High Income</v>
      </c>
    </row>
    <row r="519" spans="1:27" x14ac:dyDescent="0.25">
      <c r="A519">
        <v>3062</v>
      </c>
      <c r="B519" t="s">
        <v>40</v>
      </c>
      <c r="C519" t="s">
        <v>29</v>
      </c>
      <c r="D519">
        <v>35</v>
      </c>
      <c r="E519" t="s">
        <v>22</v>
      </c>
      <c r="F519" t="s">
        <v>23</v>
      </c>
      <c r="G519">
        <v>8</v>
      </c>
      <c r="H519" s="1" t="str">
        <f>IF(Table1[[#This Row],[anxiety_score]]&lt;=10, "Normal", IF(Table1[[#This Row],[anxiety_score]]&lt;=20, "Moderate", IF(Table1[[#This Row],[anxiety_score]]&lt;=30, "Severe", "Extremely Severe")))</f>
        <v>Normal</v>
      </c>
      <c r="I519">
        <v>-0.20924408999999999</v>
      </c>
      <c r="J519">
        <v>8</v>
      </c>
      <c r="K519" s="1" t="str">
        <f>IF(Table1[[#This Row],[stress_score]]&lt;=10, "Normal", IF(Table1[[#This Row],[stress_score]]&lt;=20, "Moderate", IF(Table1[[#This Row],[stress_score]]&lt;=30, "Severe", "Extremely Severe")))</f>
        <v>Normal</v>
      </c>
      <c r="L519">
        <v>-0.38382620000000001</v>
      </c>
      <c r="M519">
        <v>6</v>
      </c>
      <c r="N519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519">
        <v>-0.53092379999999995</v>
      </c>
      <c r="P519">
        <v>7.3333335000000002</v>
      </c>
      <c r="Q519">
        <f>ROUND(Table1[[#This Row],[dass21_raw_score]],0)</f>
        <v>7</v>
      </c>
      <c r="R519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519">
        <v>-0.37466470000000002</v>
      </c>
      <c r="T519">
        <v>0.72024524000000001</v>
      </c>
      <c r="U519">
        <v>6250</v>
      </c>
      <c r="V519" s="1">
        <f>ROUND(Table1[[#This Row],[fmpce]],0)</f>
        <v>6250</v>
      </c>
      <c r="W519">
        <v>85.029150000000001</v>
      </c>
      <c r="X519" s="4">
        <f>Table1[[#This Row],[mpce]]*89</f>
        <v>7567.5943500000003</v>
      </c>
      <c r="Y519" s="2" t="s">
        <v>31</v>
      </c>
      <c r="Z519" s="3">
        <f>VLOOKUP(Y519, rmpce_reference!$B$1:$D$7,3,FALSE) * 89</f>
        <v>8010</v>
      </c>
      <c r="AA519" s="1" t="str">
        <f>IF(Table1[rmpce_inr]&lt;=rmpce_reference!$F$2, "Low Income", IF(Table1[rmpce_inr]&lt;=rmpce_reference!$F$3, "Middle Income", "High Income"))</f>
        <v>High Income</v>
      </c>
    </row>
    <row r="520" spans="1:27" x14ac:dyDescent="0.25">
      <c r="A520">
        <v>3063</v>
      </c>
      <c r="B520" t="s">
        <v>40</v>
      </c>
      <c r="C520" t="s">
        <v>33</v>
      </c>
      <c r="D520">
        <v>28</v>
      </c>
      <c r="E520" t="s">
        <v>22</v>
      </c>
      <c r="F520" t="s">
        <v>30</v>
      </c>
      <c r="G520">
        <v>6</v>
      </c>
      <c r="H520" s="1" t="str">
        <f>IF(Table1[[#This Row],[anxiety_score]]&lt;=10, "Normal", IF(Table1[[#This Row],[anxiety_score]]&lt;=20, "Moderate", IF(Table1[[#This Row],[anxiety_score]]&lt;=30, "Severe", "Extremely Severe")))</f>
        <v>Normal</v>
      </c>
      <c r="I520">
        <v>-0.41028870000000001</v>
      </c>
      <c r="J520">
        <v>6</v>
      </c>
      <c r="K520" s="1" t="str">
        <f>IF(Table1[[#This Row],[stress_score]]&lt;=10, "Normal", IF(Table1[[#This Row],[stress_score]]&lt;=20, "Moderate", IF(Table1[[#This Row],[stress_score]]&lt;=30, "Severe", "Extremely Severe")))</f>
        <v>Normal</v>
      </c>
      <c r="L520">
        <v>-0.57848745999999995</v>
      </c>
      <c r="M520">
        <v>6</v>
      </c>
      <c r="N520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520">
        <v>-0.53092379999999995</v>
      </c>
      <c r="P520">
        <v>6</v>
      </c>
      <c r="Q520">
        <f>ROUND(Table1[[#This Row],[dass21_raw_score]],0)</f>
        <v>6</v>
      </c>
      <c r="R520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520">
        <v>-0.50656663999999996</v>
      </c>
      <c r="T520">
        <v>0.58834326000000003</v>
      </c>
      <c r="U520">
        <v>8000</v>
      </c>
      <c r="V520" s="1">
        <f>ROUND(Table1[[#This Row],[fmpce]],0)</f>
        <v>8000</v>
      </c>
      <c r="W520">
        <v>108.83732000000001</v>
      </c>
      <c r="X520" s="4">
        <f>Table1[[#This Row],[mpce]]*89</f>
        <v>9686.5214800000012</v>
      </c>
      <c r="Y520" s="2" t="s">
        <v>35</v>
      </c>
      <c r="Z520" s="3">
        <f>VLOOKUP(Y520, rmpce_reference!$B$1:$D$7,3,FALSE) * 89</f>
        <v>9790</v>
      </c>
      <c r="AA520" s="1" t="str">
        <f>IF(Table1[rmpce_inr]&lt;=rmpce_reference!$F$2, "Low Income", IF(Table1[rmpce_inr]&lt;=rmpce_reference!$F$3, "Middle Income", "High Income"))</f>
        <v>High Income</v>
      </c>
    </row>
    <row r="521" spans="1:27" x14ac:dyDescent="0.25">
      <c r="A521">
        <v>3064</v>
      </c>
      <c r="B521" t="s">
        <v>40</v>
      </c>
      <c r="C521" t="s">
        <v>29</v>
      </c>
      <c r="D521">
        <v>35</v>
      </c>
      <c r="E521" t="s">
        <v>25</v>
      </c>
      <c r="F521" t="s">
        <v>23</v>
      </c>
      <c r="G521">
        <v>6</v>
      </c>
      <c r="H521" s="1" t="str">
        <f>IF(Table1[[#This Row],[anxiety_score]]&lt;=10, "Normal", IF(Table1[[#This Row],[anxiety_score]]&lt;=20, "Moderate", IF(Table1[[#This Row],[anxiety_score]]&lt;=30, "Severe", "Extremely Severe")))</f>
        <v>Normal</v>
      </c>
      <c r="I521">
        <v>-0.41028870000000001</v>
      </c>
      <c r="J521">
        <v>2</v>
      </c>
      <c r="K521" s="1" t="str">
        <f>IF(Table1[[#This Row],[stress_score]]&lt;=10, "Normal", IF(Table1[[#This Row],[stress_score]]&lt;=20, "Moderate", IF(Table1[[#This Row],[stress_score]]&lt;=30, "Severe", "Extremely Severe")))</f>
        <v>Normal</v>
      </c>
      <c r="L521">
        <v>-0.9678099</v>
      </c>
      <c r="M521">
        <v>8</v>
      </c>
      <c r="N521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521">
        <v>-0.33828637</v>
      </c>
      <c r="P521">
        <v>5.3333335000000002</v>
      </c>
      <c r="Q521">
        <f>ROUND(Table1[[#This Row],[dass21_raw_score]],0)</f>
        <v>5</v>
      </c>
      <c r="R521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521">
        <v>-0.57212830000000003</v>
      </c>
      <c r="T521">
        <v>0.52278159999999996</v>
      </c>
      <c r="U521">
        <v>5000</v>
      </c>
      <c r="V521" s="1">
        <f>ROUND(Table1[[#This Row],[fmpce]],0)</f>
        <v>5000</v>
      </c>
      <c r="W521">
        <v>68.023319999999998</v>
      </c>
      <c r="X521" s="4">
        <f>Table1[[#This Row],[mpce]]*89</f>
        <v>6054.0754799999995</v>
      </c>
      <c r="Y521" s="2" t="s">
        <v>28</v>
      </c>
      <c r="Z521" s="3">
        <f>VLOOKUP(Y521, rmpce_reference!$B$1:$D$7,3,FALSE) * 89</f>
        <v>6230</v>
      </c>
      <c r="AA521" s="1" t="str">
        <f>IF(Table1[rmpce_inr]&lt;=rmpce_reference!$F$2, "Low Income", IF(Table1[rmpce_inr]&lt;=rmpce_reference!$F$3, "Middle Income", "High Income"))</f>
        <v>Middle Income</v>
      </c>
    </row>
    <row r="522" spans="1:27" x14ac:dyDescent="0.25">
      <c r="A522">
        <v>3065</v>
      </c>
      <c r="B522" t="s">
        <v>40</v>
      </c>
      <c r="C522" t="s">
        <v>36</v>
      </c>
      <c r="D522">
        <v>59</v>
      </c>
      <c r="E522" t="s">
        <v>22</v>
      </c>
      <c r="F522" t="s">
        <v>41</v>
      </c>
      <c r="G522">
        <v>6</v>
      </c>
      <c r="H522" s="1" t="str">
        <f>IF(Table1[[#This Row],[anxiety_score]]&lt;=10, "Normal", IF(Table1[[#This Row],[anxiety_score]]&lt;=20, "Moderate", IF(Table1[[#This Row],[anxiety_score]]&lt;=30, "Severe", "Extremely Severe")))</f>
        <v>Normal</v>
      </c>
      <c r="I522">
        <v>-0.41028870000000001</v>
      </c>
      <c r="J522">
        <v>8</v>
      </c>
      <c r="K522" s="1" t="str">
        <f>IF(Table1[[#This Row],[stress_score]]&lt;=10, "Normal", IF(Table1[[#This Row],[stress_score]]&lt;=20, "Moderate", IF(Table1[[#This Row],[stress_score]]&lt;=30, "Severe", "Extremely Severe")))</f>
        <v>Normal</v>
      </c>
      <c r="L522">
        <v>-0.38382620000000001</v>
      </c>
      <c r="M522">
        <v>6</v>
      </c>
      <c r="N522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522">
        <v>-0.53092379999999995</v>
      </c>
      <c r="P522">
        <v>6.6666664999999998</v>
      </c>
      <c r="Q522">
        <f>ROUND(Table1[[#This Row],[dass21_raw_score]],0)</f>
        <v>7</v>
      </c>
      <c r="R522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522">
        <v>-0.44167957000000002</v>
      </c>
      <c r="T522">
        <v>0.65323030000000004</v>
      </c>
      <c r="U522">
        <v>8000</v>
      </c>
      <c r="V522" s="1">
        <f>ROUND(Table1[[#This Row],[fmpce]],0)</f>
        <v>8000</v>
      </c>
      <c r="W522">
        <v>108.83732000000001</v>
      </c>
      <c r="X522" s="4">
        <f>Table1[[#This Row],[mpce]]*89</f>
        <v>9686.5214800000012</v>
      </c>
      <c r="Y522" s="2" t="s">
        <v>35</v>
      </c>
      <c r="Z522" s="3">
        <f>VLOOKUP(Y522, rmpce_reference!$B$1:$D$7,3,FALSE) * 89</f>
        <v>9790</v>
      </c>
      <c r="AA522" s="1" t="str">
        <f>IF(Table1[rmpce_inr]&lt;=rmpce_reference!$F$2, "Low Income", IF(Table1[rmpce_inr]&lt;=rmpce_reference!$F$3, "Middle Income", "High Income"))</f>
        <v>High Income</v>
      </c>
    </row>
    <row r="523" spans="1:27" x14ac:dyDescent="0.25">
      <c r="A523">
        <v>3066</v>
      </c>
      <c r="B523" t="s">
        <v>40</v>
      </c>
      <c r="C523" t="s">
        <v>33</v>
      </c>
      <c r="D523">
        <v>27</v>
      </c>
      <c r="E523" t="s">
        <v>22</v>
      </c>
      <c r="F523" t="s">
        <v>30</v>
      </c>
      <c r="G523">
        <v>0</v>
      </c>
      <c r="H523" s="1" t="str">
        <f>IF(Table1[[#This Row],[anxiety_score]]&lt;=10, "Normal", IF(Table1[[#This Row],[anxiety_score]]&lt;=20, "Moderate", IF(Table1[[#This Row],[anxiety_score]]&lt;=30, "Severe", "Extremely Severe")))</f>
        <v>Normal</v>
      </c>
      <c r="I523">
        <v>-1.0134224999999999</v>
      </c>
      <c r="J523">
        <v>24</v>
      </c>
      <c r="K523" s="1" t="str">
        <f>IF(Table1[[#This Row],[stress_score]]&lt;=10, "Normal", IF(Table1[[#This Row],[stress_score]]&lt;=20, "Moderate", IF(Table1[[#This Row],[stress_score]]&lt;=30, "Severe", "Extremely Severe")))</f>
        <v>Severe</v>
      </c>
      <c r="L523">
        <v>1.1734637999999999</v>
      </c>
      <c r="M523">
        <v>16</v>
      </c>
      <c r="N523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523">
        <v>0.43226320000000001</v>
      </c>
      <c r="P523">
        <v>13.333333</v>
      </c>
      <c r="Q523">
        <f>ROUND(Table1[[#This Row],[dass21_raw_score]],0)</f>
        <v>13</v>
      </c>
      <c r="R523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523">
        <v>0.19743484</v>
      </c>
      <c r="T523">
        <v>1.2923448</v>
      </c>
      <c r="U523">
        <v>6250</v>
      </c>
      <c r="V523" s="1">
        <f>ROUND(Table1[[#This Row],[fmpce]],0)</f>
        <v>6250</v>
      </c>
      <c r="W523">
        <v>85.029150000000001</v>
      </c>
      <c r="X523" s="4">
        <f>Table1[[#This Row],[mpce]]*89</f>
        <v>7567.5943500000003</v>
      </c>
      <c r="Y523" s="2" t="s">
        <v>31</v>
      </c>
      <c r="Z523" s="3">
        <f>VLOOKUP(Y523, rmpce_reference!$B$1:$D$7,3,FALSE) * 89</f>
        <v>8010</v>
      </c>
      <c r="AA523" s="1" t="str">
        <f>IF(Table1[rmpce_inr]&lt;=rmpce_reference!$F$2, "Low Income", IF(Table1[rmpce_inr]&lt;=rmpce_reference!$F$3, "Middle Income", "High Income"))</f>
        <v>High Income</v>
      </c>
    </row>
    <row r="524" spans="1:27" x14ac:dyDescent="0.25">
      <c r="A524">
        <v>3067</v>
      </c>
      <c r="B524" t="s">
        <v>40</v>
      </c>
      <c r="C524" t="s">
        <v>33</v>
      </c>
      <c r="D524">
        <v>26</v>
      </c>
      <c r="E524" t="s">
        <v>22</v>
      </c>
      <c r="F524" t="s">
        <v>30</v>
      </c>
      <c r="G524">
        <v>0</v>
      </c>
      <c r="H524" s="1" t="str">
        <f>IF(Table1[[#This Row],[anxiety_score]]&lt;=10, "Normal", IF(Table1[[#This Row],[anxiety_score]]&lt;=20, "Moderate", IF(Table1[[#This Row],[anxiety_score]]&lt;=30, "Severe", "Extremely Severe")))</f>
        <v>Normal</v>
      </c>
      <c r="I524">
        <v>-1.0134224999999999</v>
      </c>
      <c r="J524">
        <v>4</v>
      </c>
      <c r="K524" s="1" t="str">
        <f>IF(Table1[[#This Row],[stress_score]]&lt;=10, "Normal", IF(Table1[[#This Row],[stress_score]]&lt;=20, "Moderate", IF(Table1[[#This Row],[stress_score]]&lt;=30, "Severe", "Extremely Severe")))</f>
        <v>Normal</v>
      </c>
      <c r="L524">
        <v>-0.77314866000000004</v>
      </c>
      <c r="M524">
        <v>4</v>
      </c>
      <c r="N524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524">
        <v>-0.72356116999999998</v>
      </c>
      <c r="P524">
        <v>2.6666666999999999</v>
      </c>
      <c r="Q524">
        <f>ROUND(Table1[[#This Row],[dass21_raw_score]],0)</f>
        <v>3</v>
      </c>
      <c r="R524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524">
        <v>-0.83671074999999995</v>
      </c>
      <c r="T524">
        <v>0.25819915999999998</v>
      </c>
      <c r="U524">
        <v>3750</v>
      </c>
      <c r="V524" s="1">
        <f>ROUND(Table1[[#This Row],[fmpce]],0)</f>
        <v>3750</v>
      </c>
      <c r="W524">
        <v>51.017493999999999</v>
      </c>
      <c r="X524" s="4">
        <f>Table1[[#This Row],[mpce]]*89</f>
        <v>4540.5569660000001</v>
      </c>
      <c r="Y524" s="2" t="s">
        <v>32</v>
      </c>
      <c r="Z524" s="3">
        <f>VLOOKUP(Y524, rmpce_reference!$B$1:$D$7,3,FALSE) * 89</f>
        <v>4450</v>
      </c>
      <c r="AA524" s="1" t="str">
        <f>IF(Table1[rmpce_inr]&lt;=rmpce_reference!$F$2, "Low Income", IF(Table1[rmpce_inr]&lt;=rmpce_reference!$F$3, "Middle Income", "High Income"))</f>
        <v>Low Income</v>
      </c>
    </row>
    <row r="525" spans="1:27" x14ac:dyDescent="0.25">
      <c r="A525">
        <v>3068</v>
      </c>
      <c r="B525" t="s">
        <v>40</v>
      </c>
      <c r="C525" t="s">
        <v>29</v>
      </c>
      <c r="D525">
        <v>36</v>
      </c>
      <c r="E525" t="s">
        <v>22</v>
      </c>
      <c r="F525" t="s">
        <v>30</v>
      </c>
      <c r="G525">
        <v>0</v>
      </c>
      <c r="H525" s="1" t="str">
        <f>IF(Table1[[#This Row],[anxiety_score]]&lt;=10, "Normal", IF(Table1[[#This Row],[anxiety_score]]&lt;=20, "Moderate", IF(Table1[[#This Row],[anxiety_score]]&lt;=30, "Severe", "Extremely Severe")))</f>
        <v>Normal</v>
      </c>
      <c r="I525">
        <v>-1.0134224999999999</v>
      </c>
      <c r="J525">
        <v>4</v>
      </c>
      <c r="K525" s="1" t="str">
        <f>IF(Table1[[#This Row],[stress_score]]&lt;=10, "Normal", IF(Table1[[#This Row],[stress_score]]&lt;=20, "Moderate", IF(Table1[[#This Row],[stress_score]]&lt;=30, "Severe", "Extremely Severe")))</f>
        <v>Normal</v>
      </c>
      <c r="L525">
        <v>-0.77314866000000004</v>
      </c>
      <c r="M525">
        <v>12</v>
      </c>
      <c r="N525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525">
        <v>4.6988415999999998E-2</v>
      </c>
      <c r="P525">
        <v>5.3333335000000002</v>
      </c>
      <c r="Q525">
        <f>ROUND(Table1[[#This Row],[dass21_raw_score]],0)</f>
        <v>5</v>
      </c>
      <c r="R525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525">
        <v>-0.57986090000000001</v>
      </c>
      <c r="T525">
        <v>0.51504899999999998</v>
      </c>
      <c r="U525">
        <v>3333.3332999999998</v>
      </c>
      <c r="V525" s="1">
        <f>ROUND(Table1[[#This Row],[fmpce]],0)</f>
        <v>3333</v>
      </c>
      <c r="W525">
        <v>45.348880000000001</v>
      </c>
      <c r="X525" s="4">
        <f>Table1[[#This Row],[mpce]]*89</f>
        <v>4036.0503200000003</v>
      </c>
      <c r="Y525" s="2" t="s">
        <v>32</v>
      </c>
      <c r="Z525" s="3">
        <f>VLOOKUP(Y525, rmpce_reference!$B$1:$D$7,3,FALSE) * 89</f>
        <v>4450</v>
      </c>
      <c r="AA525" s="1" t="str">
        <f>IF(Table1[rmpce_inr]&lt;=rmpce_reference!$F$2, "Low Income", IF(Table1[rmpce_inr]&lt;=rmpce_reference!$F$3, "Middle Income", "High Income"))</f>
        <v>Low Income</v>
      </c>
    </row>
    <row r="526" spans="1:27" x14ac:dyDescent="0.25">
      <c r="A526">
        <v>3069</v>
      </c>
      <c r="B526" t="s">
        <v>40</v>
      </c>
      <c r="C526" t="s">
        <v>29</v>
      </c>
      <c r="D526">
        <v>36</v>
      </c>
      <c r="E526" t="s">
        <v>22</v>
      </c>
      <c r="F526" t="s">
        <v>30</v>
      </c>
      <c r="G526">
        <v>14</v>
      </c>
      <c r="H526" s="1" t="str">
        <f>IF(Table1[[#This Row],[anxiety_score]]&lt;=10, "Normal", IF(Table1[[#This Row],[anxiety_score]]&lt;=20, "Moderate", IF(Table1[[#This Row],[anxiety_score]]&lt;=30, "Severe", "Extremely Severe")))</f>
        <v>Moderate</v>
      </c>
      <c r="I526">
        <v>0.39388975999999998</v>
      </c>
      <c r="J526">
        <v>34</v>
      </c>
      <c r="K526" s="1" t="str">
        <f>IF(Table1[[#This Row],[stress_score]]&lt;=10, "Normal", IF(Table1[[#This Row],[stress_score]]&lt;=20, "Moderate", IF(Table1[[#This Row],[stress_score]]&lt;=30, "Severe", "Extremely Severe")))</f>
        <v>Extremely Severe</v>
      </c>
      <c r="L526">
        <v>2.1467700000000001</v>
      </c>
      <c r="M526">
        <v>18</v>
      </c>
      <c r="N526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526">
        <v>0.62490060000000003</v>
      </c>
      <c r="P526">
        <v>22</v>
      </c>
      <c r="Q526">
        <f>ROUND(Table1[[#This Row],[dass21_raw_score]],0)</f>
        <v>22</v>
      </c>
      <c r="R526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526">
        <v>1.0551866999999999</v>
      </c>
      <c r="T526">
        <v>2.1500967000000002</v>
      </c>
      <c r="U526">
        <v>3750</v>
      </c>
      <c r="V526" s="1">
        <f>ROUND(Table1[[#This Row],[fmpce]],0)</f>
        <v>3750</v>
      </c>
      <c r="W526">
        <v>51.017493999999999</v>
      </c>
      <c r="X526" s="4">
        <f>Table1[[#This Row],[mpce]]*89</f>
        <v>4540.5569660000001</v>
      </c>
      <c r="Y526" s="2" t="s">
        <v>32</v>
      </c>
      <c r="Z526" s="3">
        <f>VLOOKUP(Y526, rmpce_reference!$B$1:$D$7,3,FALSE) * 89</f>
        <v>4450</v>
      </c>
      <c r="AA526" s="1" t="str">
        <f>IF(Table1[rmpce_inr]&lt;=rmpce_reference!$F$2, "Low Income", IF(Table1[rmpce_inr]&lt;=rmpce_reference!$F$3, "Middle Income", "High Income"))</f>
        <v>Low Income</v>
      </c>
    </row>
    <row r="527" spans="1:27" x14ac:dyDescent="0.25">
      <c r="A527">
        <v>3070</v>
      </c>
      <c r="B527" t="s">
        <v>40</v>
      </c>
      <c r="C527" t="s">
        <v>29</v>
      </c>
      <c r="D527">
        <v>34</v>
      </c>
      <c r="E527" t="s">
        <v>22</v>
      </c>
      <c r="F527" t="s">
        <v>30</v>
      </c>
      <c r="G527">
        <v>4</v>
      </c>
      <c r="H527" s="1" t="str">
        <f>IF(Table1[[#This Row],[anxiety_score]]&lt;=10, "Normal", IF(Table1[[#This Row],[anxiety_score]]&lt;=20, "Moderate", IF(Table1[[#This Row],[anxiety_score]]&lt;=30, "Severe", "Extremely Severe")))</f>
        <v>Normal</v>
      </c>
      <c r="I527">
        <v>-0.61133329999999997</v>
      </c>
      <c r="J527">
        <v>28</v>
      </c>
      <c r="K527" s="1" t="str">
        <f>IF(Table1[[#This Row],[stress_score]]&lt;=10, "Normal", IF(Table1[[#This Row],[stress_score]]&lt;=20, "Moderate", IF(Table1[[#This Row],[stress_score]]&lt;=30, "Severe", "Extremely Severe")))</f>
        <v>Severe</v>
      </c>
      <c r="L527">
        <v>1.5627863</v>
      </c>
      <c r="M527">
        <v>18</v>
      </c>
      <c r="N527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527">
        <v>0.62490060000000003</v>
      </c>
      <c r="P527">
        <v>16.666665999999999</v>
      </c>
      <c r="Q527">
        <f>ROUND(Table1[[#This Row],[dass21_raw_score]],0)</f>
        <v>17</v>
      </c>
      <c r="R527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527">
        <v>0.52545120000000001</v>
      </c>
      <c r="T527">
        <v>1.6203611</v>
      </c>
      <c r="U527">
        <v>3333.3332999999998</v>
      </c>
      <c r="V527" s="1">
        <f>ROUND(Table1[[#This Row],[fmpce]],0)</f>
        <v>3333</v>
      </c>
      <c r="W527">
        <v>45.348880000000001</v>
      </c>
      <c r="X527" s="4">
        <f>Table1[[#This Row],[mpce]]*89</f>
        <v>4036.0503200000003</v>
      </c>
      <c r="Y527" s="2" t="s">
        <v>32</v>
      </c>
      <c r="Z527" s="3">
        <f>VLOOKUP(Y527, rmpce_reference!$B$1:$D$7,3,FALSE) * 89</f>
        <v>4450</v>
      </c>
      <c r="AA527" s="1" t="str">
        <f>IF(Table1[rmpce_inr]&lt;=rmpce_reference!$F$2, "Low Income", IF(Table1[rmpce_inr]&lt;=rmpce_reference!$F$3, "Middle Income", "High Income"))</f>
        <v>Low Income</v>
      </c>
    </row>
    <row r="528" spans="1:27" x14ac:dyDescent="0.25">
      <c r="A528">
        <v>3071</v>
      </c>
      <c r="B528" t="s">
        <v>40</v>
      </c>
      <c r="C528" t="s">
        <v>33</v>
      </c>
      <c r="D528">
        <v>30</v>
      </c>
      <c r="E528" t="s">
        <v>22</v>
      </c>
      <c r="F528" t="s">
        <v>23</v>
      </c>
      <c r="G528">
        <v>18</v>
      </c>
      <c r="H528" s="1" t="str">
        <f>IF(Table1[[#This Row],[anxiety_score]]&lt;=10, "Normal", IF(Table1[[#This Row],[anxiety_score]]&lt;=20, "Moderate", IF(Table1[[#This Row],[anxiety_score]]&lt;=30, "Severe", "Extremely Severe")))</f>
        <v>Moderate</v>
      </c>
      <c r="I528">
        <v>0.79597896000000001</v>
      </c>
      <c r="J528">
        <v>40</v>
      </c>
      <c r="K528" s="1" t="str">
        <f>IF(Table1[[#This Row],[stress_score]]&lt;=10, "Normal", IF(Table1[[#This Row],[stress_score]]&lt;=20, "Moderate", IF(Table1[[#This Row],[stress_score]]&lt;=30, "Severe", "Extremely Severe")))</f>
        <v>Extremely Severe</v>
      </c>
      <c r="L528">
        <v>2.7307540000000001</v>
      </c>
      <c r="M528">
        <v>30</v>
      </c>
      <c r="N528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528">
        <v>1.7807249999999999</v>
      </c>
      <c r="P528">
        <v>29.333334000000001</v>
      </c>
      <c r="Q528">
        <f>ROUND(Table1[[#This Row],[dass21_raw_score]],0)</f>
        <v>29</v>
      </c>
      <c r="R528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528">
        <v>1.7691526</v>
      </c>
      <c r="T528">
        <v>2.8640625000000002</v>
      </c>
      <c r="U528">
        <v>20000</v>
      </c>
      <c r="V528" s="1">
        <f>ROUND(Table1[[#This Row],[fmpce]],0)</f>
        <v>20000</v>
      </c>
      <c r="W528">
        <v>272.0933</v>
      </c>
      <c r="X528" s="4">
        <f>Table1[[#This Row],[mpce]]*89</f>
        <v>24216.3037</v>
      </c>
      <c r="Y528" s="2" t="s">
        <v>35</v>
      </c>
      <c r="Z528" s="3">
        <f>VLOOKUP(Y528, rmpce_reference!$B$1:$D$7,3,FALSE) * 89</f>
        <v>9790</v>
      </c>
      <c r="AA528" s="1" t="str">
        <f>IF(Table1[rmpce_inr]&lt;=rmpce_reference!$F$2, "Low Income", IF(Table1[rmpce_inr]&lt;=rmpce_reference!$F$3, "Middle Income", "High Income"))</f>
        <v>High Income</v>
      </c>
    </row>
    <row r="529" spans="1:27" x14ac:dyDescent="0.25">
      <c r="A529">
        <v>3072</v>
      </c>
      <c r="B529" t="s">
        <v>40</v>
      </c>
      <c r="C529" t="s">
        <v>29</v>
      </c>
      <c r="D529">
        <v>32</v>
      </c>
      <c r="E529" t="s">
        <v>22</v>
      </c>
      <c r="F529" t="s">
        <v>23</v>
      </c>
      <c r="G529">
        <v>4</v>
      </c>
      <c r="H529" s="1" t="str">
        <f>IF(Table1[[#This Row],[anxiety_score]]&lt;=10, "Normal", IF(Table1[[#This Row],[anxiety_score]]&lt;=20, "Moderate", IF(Table1[[#This Row],[anxiety_score]]&lt;=30, "Severe", "Extremely Severe")))</f>
        <v>Normal</v>
      </c>
      <c r="I529">
        <v>-0.61133329999999997</v>
      </c>
      <c r="J529">
        <v>0</v>
      </c>
      <c r="K529" s="1" t="str">
        <f>IF(Table1[[#This Row],[stress_score]]&lt;=10, "Normal", IF(Table1[[#This Row],[stress_score]]&lt;=20, "Moderate", IF(Table1[[#This Row],[stress_score]]&lt;=30, "Severe", "Extremely Severe")))</f>
        <v>Normal</v>
      </c>
      <c r="L529">
        <v>-1.1624711999999999</v>
      </c>
      <c r="M529">
        <v>0</v>
      </c>
      <c r="N529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529">
        <v>-1.1088359000000001</v>
      </c>
      <c r="P529">
        <v>1.3333333999999999</v>
      </c>
      <c r="Q529">
        <f>ROUND(Table1[[#This Row],[dass21_raw_score]],0)</f>
        <v>1</v>
      </c>
      <c r="R529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529">
        <v>-0.96088015999999998</v>
      </c>
      <c r="T529">
        <v>0.13402975</v>
      </c>
      <c r="U529">
        <v>7500</v>
      </c>
      <c r="V529" s="1">
        <f>ROUND(Table1[[#This Row],[fmpce]],0)</f>
        <v>7500</v>
      </c>
      <c r="W529">
        <v>102.03498999999999</v>
      </c>
      <c r="X529" s="4">
        <f>Table1[[#This Row],[mpce]]*89</f>
        <v>9081.1141099999986</v>
      </c>
      <c r="Y529" s="2" t="s">
        <v>35</v>
      </c>
      <c r="Z529" s="3">
        <f>VLOOKUP(Y529, rmpce_reference!$B$1:$D$7,3,FALSE) * 89</f>
        <v>9790</v>
      </c>
      <c r="AA529" s="1" t="str">
        <f>IF(Table1[rmpce_inr]&lt;=rmpce_reference!$F$2, "Low Income", IF(Table1[rmpce_inr]&lt;=rmpce_reference!$F$3, "Middle Income", "High Income"))</f>
        <v>High Income</v>
      </c>
    </row>
    <row r="530" spans="1:27" x14ac:dyDescent="0.25">
      <c r="A530">
        <v>3073</v>
      </c>
      <c r="B530" t="s">
        <v>40</v>
      </c>
      <c r="C530" t="s">
        <v>29</v>
      </c>
      <c r="D530">
        <v>40</v>
      </c>
      <c r="E530" t="s">
        <v>22</v>
      </c>
      <c r="F530" t="s">
        <v>30</v>
      </c>
      <c r="G530">
        <v>6</v>
      </c>
      <c r="H530" s="1" t="str">
        <f>IF(Table1[[#This Row],[anxiety_score]]&lt;=10, "Normal", IF(Table1[[#This Row],[anxiety_score]]&lt;=20, "Moderate", IF(Table1[[#This Row],[anxiety_score]]&lt;=30, "Severe", "Extremely Severe")))</f>
        <v>Normal</v>
      </c>
      <c r="I530">
        <v>-0.41028870000000001</v>
      </c>
      <c r="J530">
        <v>4</v>
      </c>
      <c r="K530" s="1" t="str">
        <f>IF(Table1[[#This Row],[stress_score]]&lt;=10, "Normal", IF(Table1[[#This Row],[stress_score]]&lt;=20, "Moderate", IF(Table1[[#This Row],[stress_score]]&lt;=30, "Severe", "Extremely Severe")))</f>
        <v>Normal</v>
      </c>
      <c r="L530">
        <v>-0.77314866000000004</v>
      </c>
      <c r="M530">
        <v>0</v>
      </c>
      <c r="N530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530">
        <v>-1.1088359000000001</v>
      </c>
      <c r="P530">
        <v>3.3333333000000001</v>
      </c>
      <c r="Q530">
        <f>ROUND(Table1[[#This Row],[dass21_raw_score]],0)</f>
        <v>3</v>
      </c>
      <c r="R530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530">
        <v>-0.76409110000000002</v>
      </c>
      <c r="T530">
        <v>0.33081883000000001</v>
      </c>
      <c r="U530">
        <v>7500</v>
      </c>
      <c r="V530" s="1">
        <f>ROUND(Table1[[#This Row],[fmpce]],0)</f>
        <v>7500</v>
      </c>
      <c r="W530">
        <v>102.03498999999999</v>
      </c>
      <c r="X530" s="4">
        <f>Table1[[#This Row],[mpce]]*89</f>
        <v>9081.1141099999986</v>
      </c>
      <c r="Y530" s="2" t="s">
        <v>35</v>
      </c>
      <c r="Z530" s="3">
        <f>VLOOKUP(Y530, rmpce_reference!$B$1:$D$7,3,FALSE) * 89</f>
        <v>9790</v>
      </c>
      <c r="AA530" s="1" t="str">
        <f>IF(Table1[rmpce_inr]&lt;=rmpce_reference!$F$2, "Low Income", IF(Table1[rmpce_inr]&lt;=rmpce_reference!$F$3, "Middle Income", "High Income"))</f>
        <v>High Income</v>
      </c>
    </row>
    <row r="531" spans="1:27" x14ac:dyDescent="0.25">
      <c r="A531">
        <v>3074</v>
      </c>
      <c r="B531" t="s">
        <v>40</v>
      </c>
      <c r="C531" t="s">
        <v>29</v>
      </c>
      <c r="D531">
        <v>36</v>
      </c>
      <c r="E531" t="s">
        <v>25</v>
      </c>
      <c r="F531" t="s">
        <v>27</v>
      </c>
      <c r="G531">
        <v>8</v>
      </c>
      <c r="H531" s="1" t="str">
        <f>IF(Table1[[#This Row],[anxiety_score]]&lt;=10, "Normal", IF(Table1[[#This Row],[anxiety_score]]&lt;=20, "Moderate", IF(Table1[[#This Row],[anxiety_score]]&lt;=30, "Severe", "Extremely Severe")))</f>
        <v>Normal</v>
      </c>
      <c r="I531">
        <v>-0.20924408999999999</v>
      </c>
      <c r="J531">
        <v>8</v>
      </c>
      <c r="K531" s="1" t="str">
        <f>IF(Table1[[#This Row],[stress_score]]&lt;=10, "Normal", IF(Table1[[#This Row],[stress_score]]&lt;=20, "Moderate", IF(Table1[[#This Row],[stress_score]]&lt;=30, "Severe", "Extremely Severe")))</f>
        <v>Normal</v>
      </c>
      <c r="L531">
        <v>-0.38382620000000001</v>
      </c>
      <c r="M531">
        <v>16</v>
      </c>
      <c r="N531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531">
        <v>0.43226320000000001</v>
      </c>
      <c r="P531">
        <v>10.666667</v>
      </c>
      <c r="Q531">
        <f>ROUND(Table1[[#This Row],[dass21_raw_score]],0)</f>
        <v>11</v>
      </c>
      <c r="R531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531">
        <v>-5.3602364E-2</v>
      </c>
      <c r="T531">
        <v>1.0413076000000001</v>
      </c>
      <c r="U531">
        <v>2500</v>
      </c>
      <c r="V531" s="1">
        <f>ROUND(Table1[[#This Row],[fmpce]],0)</f>
        <v>2500</v>
      </c>
      <c r="W531">
        <v>34.011659999999999</v>
      </c>
      <c r="X531" s="4">
        <f>Table1[[#This Row],[mpce]]*89</f>
        <v>3027.0377399999998</v>
      </c>
      <c r="Y531" s="2" t="s">
        <v>34</v>
      </c>
      <c r="Z531" s="3">
        <f>VLOOKUP(Y531, rmpce_reference!$B$1:$D$7,3,FALSE) * 89</f>
        <v>2848</v>
      </c>
      <c r="AA531" s="1" t="str">
        <f>IF(Table1[rmpce_inr]&lt;=rmpce_reference!$F$2, "Low Income", IF(Table1[rmpce_inr]&lt;=rmpce_reference!$F$3, "Middle Income", "High Income"))</f>
        <v>Low Income</v>
      </c>
    </row>
    <row r="532" spans="1:27" x14ac:dyDescent="0.25">
      <c r="A532">
        <v>3075</v>
      </c>
      <c r="B532" t="s">
        <v>40</v>
      </c>
      <c r="C532" t="s">
        <v>29</v>
      </c>
      <c r="D532">
        <v>38</v>
      </c>
      <c r="E532" t="s">
        <v>22</v>
      </c>
      <c r="F532" t="s">
        <v>30</v>
      </c>
      <c r="G532">
        <v>0</v>
      </c>
      <c r="H532" s="1" t="str">
        <f>IF(Table1[[#This Row],[anxiety_score]]&lt;=10, "Normal", IF(Table1[[#This Row],[anxiety_score]]&lt;=20, "Moderate", IF(Table1[[#This Row],[anxiety_score]]&lt;=30, "Severe", "Extremely Severe")))</f>
        <v>Normal</v>
      </c>
      <c r="I532">
        <v>-1.0134224999999999</v>
      </c>
      <c r="J532">
        <v>6</v>
      </c>
      <c r="K532" s="1" t="str">
        <f>IF(Table1[[#This Row],[stress_score]]&lt;=10, "Normal", IF(Table1[[#This Row],[stress_score]]&lt;=20, "Moderate", IF(Table1[[#This Row],[stress_score]]&lt;=30, "Severe", "Extremely Severe")))</f>
        <v>Normal</v>
      </c>
      <c r="L532">
        <v>-0.57848745999999995</v>
      </c>
      <c r="M532">
        <v>0</v>
      </c>
      <c r="N532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532">
        <v>-1.1088359000000001</v>
      </c>
      <c r="P532">
        <v>2</v>
      </c>
      <c r="Q532">
        <f>ROUND(Table1[[#This Row],[dass21_raw_score]],0)</f>
        <v>2</v>
      </c>
      <c r="R532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532">
        <v>-0.90024864999999998</v>
      </c>
      <c r="T532">
        <v>0.19466126</v>
      </c>
      <c r="U532">
        <v>10000</v>
      </c>
      <c r="V532" s="1">
        <f>ROUND(Table1[[#This Row],[fmpce]],0)</f>
        <v>10000</v>
      </c>
      <c r="W532">
        <v>136.04665</v>
      </c>
      <c r="X532" s="4">
        <f>Table1[[#This Row],[mpce]]*89</f>
        <v>12108.15185</v>
      </c>
      <c r="Y532" s="2" t="s">
        <v>35</v>
      </c>
      <c r="Z532" s="3">
        <f>VLOOKUP(Y532, rmpce_reference!$B$1:$D$7,3,FALSE) * 89</f>
        <v>9790</v>
      </c>
      <c r="AA532" s="1" t="str">
        <f>IF(Table1[rmpce_inr]&lt;=rmpce_reference!$F$2, "Low Income", IF(Table1[rmpce_inr]&lt;=rmpce_reference!$F$3, "Middle Income", "High Income"))</f>
        <v>High Income</v>
      </c>
    </row>
    <row r="533" spans="1:27" x14ac:dyDescent="0.25">
      <c r="A533">
        <v>3076</v>
      </c>
      <c r="B533" t="s">
        <v>40</v>
      </c>
      <c r="C533" t="s">
        <v>29</v>
      </c>
      <c r="D533">
        <v>35</v>
      </c>
      <c r="E533" t="s">
        <v>22</v>
      </c>
      <c r="F533" t="s">
        <v>30</v>
      </c>
      <c r="G533">
        <v>8</v>
      </c>
      <c r="H533" s="1" t="str">
        <f>IF(Table1[[#This Row],[anxiety_score]]&lt;=10, "Normal", IF(Table1[[#This Row],[anxiety_score]]&lt;=20, "Moderate", IF(Table1[[#This Row],[anxiety_score]]&lt;=30, "Severe", "Extremely Severe")))</f>
        <v>Normal</v>
      </c>
      <c r="I533">
        <v>-0.20924408999999999</v>
      </c>
      <c r="J533">
        <v>26</v>
      </c>
      <c r="K533" s="1" t="str">
        <f>IF(Table1[[#This Row],[stress_score]]&lt;=10, "Normal", IF(Table1[[#This Row],[stress_score]]&lt;=20, "Moderate", IF(Table1[[#This Row],[stress_score]]&lt;=30, "Severe", "Extremely Severe")))</f>
        <v>Severe</v>
      </c>
      <c r="L533">
        <v>1.3681251000000001</v>
      </c>
      <c r="M533">
        <v>10</v>
      </c>
      <c r="N533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533">
        <v>-0.14564899000000001</v>
      </c>
      <c r="P533">
        <v>14.666667</v>
      </c>
      <c r="Q533">
        <f>ROUND(Table1[[#This Row],[dass21_raw_score]],0)</f>
        <v>15</v>
      </c>
      <c r="R533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533">
        <v>0.33774399999999999</v>
      </c>
      <c r="T533">
        <v>1.4326539</v>
      </c>
      <c r="U533">
        <v>7500</v>
      </c>
      <c r="V533" s="1">
        <f>ROUND(Table1[[#This Row],[fmpce]],0)</f>
        <v>7500</v>
      </c>
      <c r="W533">
        <v>102.03498999999999</v>
      </c>
      <c r="X533" s="4">
        <f>Table1[[#This Row],[mpce]]*89</f>
        <v>9081.1141099999986</v>
      </c>
      <c r="Y533" s="2" t="s">
        <v>35</v>
      </c>
      <c r="Z533" s="3">
        <f>VLOOKUP(Y533, rmpce_reference!$B$1:$D$7,3,FALSE) * 89</f>
        <v>9790</v>
      </c>
      <c r="AA533" s="1" t="str">
        <f>IF(Table1[rmpce_inr]&lt;=rmpce_reference!$F$2, "Low Income", IF(Table1[rmpce_inr]&lt;=rmpce_reference!$F$3, "Middle Income", "High Income"))</f>
        <v>High Income</v>
      </c>
    </row>
    <row r="534" spans="1:27" x14ac:dyDescent="0.25">
      <c r="A534">
        <v>3077</v>
      </c>
      <c r="B534" t="s">
        <v>40</v>
      </c>
      <c r="C534" t="s">
        <v>36</v>
      </c>
      <c r="D534">
        <v>57</v>
      </c>
      <c r="E534" t="s">
        <v>25</v>
      </c>
      <c r="F534" t="s">
        <v>26</v>
      </c>
      <c r="G534">
        <v>22</v>
      </c>
      <c r="H534" s="1" t="str">
        <f>IF(Table1[[#This Row],[anxiety_score]]&lt;=10, "Normal", IF(Table1[[#This Row],[anxiety_score]]&lt;=20, "Moderate", IF(Table1[[#This Row],[anxiety_score]]&lt;=30, "Severe", "Extremely Severe")))</f>
        <v>Severe</v>
      </c>
      <c r="I534">
        <v>1.1980683000000001</v>
      </c>
      <c r="J534">
        <v>20</v>
      </c>
      <c r="K534" s="1" t="str">
        <f>IF(Table1[[#This Row],[stress_score]]&lt;=10, "Normal", IF(Table1[[#This Row],[stress_score]]&lt;=20, "Moderate", IF(Table1[[#This Row],[stress_score]]&lt;=30, "Severe", "Extremely Severe")))</f>
        <v>Moderate</v>
      </c>
      <c r="L534">
        <v>0.78414130000000004</v>
      </c>
      <c r="M534">
        <v>4</v>
      </c>
      <c r="N534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534">
        <v>-0.72356116999999998</v>
      </c>
      <c r="P534">
        <v>15.333333</v>
      </c>
      <c r="Q534">
        <f>ROUND(Table1[[#This Row],[dass21_raw_score]],0)</f>
        <v>15</v>
      </c>
      <c r="R534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534">
        <v>0.41954946999999998</v>
      </c>
      <c r="T534">
        <v>1.5144594</v>
      </c>
      <c r="U534">
        <v>10000</v>
      </c>
      <c r="V534" s="1">
        <f>ROUND(Table1[[#This Row],[fmpce]],0)</f>
        <v>10000</v>
      </c>
      <c r="W534">
        <v>136.04665</v>
      </c>
      <c r="X534" s="4">
        <f>Table1[[#This Row],[mpce]]*89</f>
        <v>12108.15185</v>
      </c>
      <c r="Y534" s="2" t="s">
        <v>35</v>
      </c>
      <c r="Z534" s="3">
        <f>VLOOKUP(Y534, rmpce_reference!$B$1:$D$7,3,FALSE) * 89</f>
        <v>9790</v>
      </c>
      <c r="AA534" s="1" t="str">
        <f>IF(Table1[rmpce_inr]&lt;=rmpce_reference!$F$2, "Low Income", IF(Table1[rmpce_inr]&lt;=rmpce_reference!$F$3, "Middle Income", "High Income"))</f>
        <v>High Income</v>
      </c>
    </row>
    <row r="535" spans="1:27" x14ac:dyDescent="0.25">
      <c r="A535">
        <v>3078</v>
      </c>
      <c r="B535" t="s">
        <v>40</v>
      </c>
      <c r="C535" t="s">
        <v>33</v>
      </c>
      <c r="D535">
        <v>26</v>
      </c>
      <c r="E535" t="s">
        <v>22</v>
      </c>
      <c r="F535" t="s">
        <v>30</v>
      </c>
      <c r="G535">
        <v>0</v>
      </c>
      <c r="H535" s="1" t="str">
        <f>IF(Table1[[#This Row],[anxiety_score]]&lt;=10, "Normal", IF(Table1[[#This Row],[anxiety_score]]&lt;=20, "Moderate", IF(Table1[[#This Row],[anxiety_score]]&lt;=30, "Severe", "Extremely Severe")))</f>
        <v>Normal</v>
      </c>
      <c r="I535">
        <v>-1.0134224999999999</v>
      </c>
      <c r="J535">
        <v>4</v>
      </c>
      <c r="K535" s="1" t="str">
        <f>IF(Table1[[#This Row],[stress_score]]&lt;=10, "Normal", IF(Table1[[#This Row],[stress_score]]&lt;=20, "Moderate", IF(Table1[[#This Row],[stress_score]]&lt;=30, "Severe", "Extremely Severe")))</f>
        <v>Normal</v>
      </c>
      <c r="L535">
        <v>-0.77314866000000004</v>
      </c>
      <c r="M535">
        <v>12</v>
      </c>
      <c r="N535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535">
        <v>4.6988415999999998E-2</v>
      </c>
      <c r="P535">
        <v>5.3333335000000002</v>
      </c>
      <c r="Q535">
        <f>ROUND(Table1[[#This Row],[dass21_raw_score]],0)</f>
        <v>5</v>
      </c>
      <c r="R535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535">
        <v>-0.57986090000000001</v>
      </c>
      <c r="T535">
        <v>0.51504899999999998</v>
      </c>
      <c r="U535">
        <v>10000</v>
      </c>
      <c r="V535" s="1">
        <f>ROUND(Table1[[#This Row],[fmpce]],0)</f>
        <v>10000</v>
      </c>
      <c r="W535">
        <v>136.04665</v>
      </c>
      <c r="X535" s="4">
        <f>Table1[[#This Row],[mpce]]*89</f>
        <v>12108.15185</v>
      </c>
      <c r="Y535" s="2" t="s">
        <v>35</v>
      </c>
      <c r="Z535" s="3">
        <f>VLOOKUP(Y535, rmpce_reference!$B$1:$D$7,3,FALSE) * 89</f>
        <v>9790</v>
      </c>
      <c r="AA535" s="1" t="str">
        <f>IF(Table1[rmpce_inr]&lt;=rmpce_reference!$F$2, "Low Income", IF(Table1[rmpce_inr]&lt;=rmpce_reference!$F$3, "Middle Income", "High Income"))</f>
        <v>High Income</v>
      </c>
    </row>
    <row r="536" spans="1:27" x14ac:dyDescent="0.25">
      <c r="A536">
        <v>3079</v>
      </c>
      <c r="B536" t="s">
        <v>40</v>
      </c>
      <c r="C536" t="s">
        <v>29</v>
      </c>
      <c r="D536">
        <v>36</v>
      </c>
      <c r="E536" t="s">
        <v>22</v>
      </c>
      <c r="F536" t="s">
        <v>30</v>
      </c>
      <c r="G536">
        <v>10</v>
      </c>
      <c r="H536" s="1" t="str">
        <f>IF(Table1[[#This Row],[anxiety_score]]&lt;=10, "Normal", IF(Table1[[#This Row],[anxiety_score]]&lt;=20, "Moderate", IF(Table1[[#This Row],[anxiety_score]]&lt;=30, "Severe", "Extremely Severe")))</f>
        <v>Normal</v>
      </c>
      <c r="I536">
        <v>-8.1994660000000007E-3</v>
      </c>
      <c r="J536">
        <v>18</v>
      </c>
      <c r="K536" s="1" t="str">
        <f>IF(Table1[[#This Row],[stress_score]]&lt;=10, "Normal", IF(Table1[[#This Row],[stress_score]]&lt;=20, "Moderate", IF(Table1[[#This Row],[stress_score]]&lt;=30, "Severe", "Extremely Severe")))</f>
        <v>Moderate</v>
      </c>
      <c r="L536">
        <v>0.58948003999999998</v>
      </c>
      <c r="M536">
        <v>12</v>
      </c>
      <c r="N536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536">
        <v>4.6988415999999998E-2</v>
      </c>
      <c r="P536">
        <v>13.333333</v>
      </c>
      <c r="Q536">
        <f>ROUND(Table1[[#This Row],[dass21_raw_score]],0)</f>
        <v>13</v>
      </c>
      <c r="R536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536">
        <v>0.20942299</v>
      </c>
      <c r="T536">
        <v>1.3043328999999999</v>
      </c>
      <c r="U536">
        <v>7500</v>
      </c>
      <c r="V536" s="1">
        <f>ROUND(Table1[[#This Row],[fmpce]],0)</f>
        <v>7500</v>
      </c>
      <c r="W536">
        <v>102.03498999999999</v>
      </c>
      <c r="X536" s="4">
        <f>Table1[[#This Row],[mpce]]*89</f>
        <v>9081.1141099999986</v>
      </c>
      <c r="Y536" s="2" t="s">
        <v>35</v>
      </c>
      <c r="Z536" s="3">
        <f>VLOOKUP(Y536, rmpce_reference!$B$1:$D$7,3,FALSE) * 89</f>
        <v>9790</v>
      </c>
      <c r="AA536" s="1" t="str">
        <f>IF(Table1[rmpce_inr]&lt;=rmpce_reference!$F$2, "Low Income", IF(Table1[rmpce_inr]&lt;=rmpce_reference!$F$3, "Middle Income", "High Income"))</f>
        <v>High Income</v>
      </c>
    </row>
    <row r="537" spans="1:27" x14ac:dyDescent="0.25">
      <c r="A537">
        <v>3080</v>
      </c>
      <c r="B537" t="s">
        <v>40</v>
      </c>
      <c r="C537" t="s">
        <v>33</v>
      </c>
      <c r="D537">
        <v>26</v>
      </c>
      <c r="E537" t="s">
        <v>22</v>
      </c>
      <c r="F537" t="s">
        <v>23</v>
      </c>
      <c r="G537">
        <v>2</v>
      </c>
      <c r="H537" s="1" t="str">
        <f>IF(Table1[[#This Row],[anxiety_score]]&lt;=10, "Normal", IF(Table1[[#This Row],[anxiety_score]]&lt;=20, "Moderate", IF(Table1[[#This Row],[anxiety_score]]&lt;=30, "Severe", "Extremely Severe")))</f>
        <v>Normal</v>
      </c>
      <c r="I537">
        <v>-0.81237789999999999</v>
      </c>
      <c r="J537">
        <v>2</v>
      </c>
      <c r="K537" s="1" t="str">
        <f>IF(Table1[[#This Row],[stress_score]]&lt;=10, "Normal", IF(Table1[[#This Row],[stress_score]]&lt;=20, "Moderate", IF(Table1[[#This Row],[stress_score]]&lt;=30, "Severe", "Extremely Severe")))</f>
        <v>Normal</v>
      </c>
      <c r="L537">
        <v>-0.9678099</v>
      </c>
      <c r="M537">
        <v>22</v>
      </c>
      <c r="N537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537">
        <v>1.0101753</v>
      </c>
      <c r="P537">
        <v>8.6666670000000003</v>
      </c>
      <c r="Q537">
        <f>ROUND(Table1[[#This Row],[dass21_raw_score]],0)</f>
        <v>9</v>
      </c>
      <c r="R537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537">
        <v>-0.25667083000000002</v>
      </c>
      <c r="T537">
        <v>0.83823910000000001</v>
      </c>
      <c r="U537">
        <v>8333.3330000000005</v>
      </c>
      <c r="V537" s="1">
        <f>ROUND(Table1[[#This Row],[fmpce]],0)</f>
        <v>8333</v>
      </c>
      <c r="W537">
        <v>113.37220000000001</v>
      </c>
      <c r="X537" s="4">
        <f>Table1[[#This Row],[mpce]]*89</f>
        <v>10090.1258</v>
      </c>
      <c r="Y537" s="2" t="s">
        <v>35</v>
      </c>
      <c r="Z537" s="3">
        <f>VLOOKUP(Y537, rmpce_reference!$B$1:$D$7,3,FALSE) * 89</f>
        <v>9790</v>
      </c>
      <c r="AA537" s="1" t="str">
        <f>IF(Table1[rmpce_inr]&lt;=rmpce_reference!$F$2, "Low Income", IF(Table1[rmpce_inr]&lt;=rmpce_reference!$F$3, "Middle Income", "High Income"))</f>
        <v>High Income</v>
      </c>
    </row>
    <row r="538" spans="1:27" x14ac:dyDescent="0.25">
      <c r="A538">
        <v>3081</v>
      </c>
      <c r="B538" t="s">
        <v>40</v>
      </c>
      <c r="C538" t="s">
        <v>33</v>
      </c>
      <c r="D538">
        <v>30</v>
      </c>
      <c r="E538" t="s">
        <v>22</v>
      </c>
      <c r="F538" t="s">
        <v>30</v>
      </c>
      <c r="G538">
        <v>0</v>
      </c>
      <c r="H538" s="1" t="str">
        <f>IF(Table1[[#This Row],[anxiety_score]]&lt;=10, "Normal", IF(Table1[[#This Row],[anxiety_score]]&lt;=20, "Moderate", IF(Table1[[#This Row],[anxiety_score]]&lt;=30, "Severe", "Extremely Severe")))</f>
        <v>Normal</v>
      </c>
      <c r="I538">
        <v>-1.0134224999999999</v>
      </c>
      <c r="J538">
        <v>12</v>
      </c>
      <c r="K538" s="1" t="str">
        <f>IF(Table1[[#This Row],[stress_score]]&lt;=10, "Normal", IF(Table1[[#This Row],[stress_score]]&lt;=20, "Moderate", IF(Table1[[#This Row],[stress_score]]&lt;=30, "Severe", "Extremely Severe")))</f>
        <v>Moderate</v>
      </c>
      <c r="L538">
        <v>5.496318E-3</v>
      </c>
      <c r="M538">
        <v>10</v>
      </c>
      <c r="N538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538">
        <v>-0.14564899000000001</v>
      </c>
      <c r="P538">
        <v>7.3333335000000002</v>
      </c>
      <c r="Q538">
        <f>ROUND(Table1[[#This Row],[dass21_raw_score]],0)</f>
        <v>7</v>
      </c>
      <c r="R538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538">
        <v>-0.38452505999999997</v>
      </c>
      <c r="T538">
        <v>0.71038484999999996</v>
      </c>
      <c r="U538">
        <v>3750</v>
      </c>
      <c r="V538" s="1">
        <f>ROUND(Table1[[#This Row],[fmpce]],0)</f>
        <v>3750</v>
      </c>
      <c r="W538">
        <v>51.017493999999999</v>
      </c>
      <c r="X538" s="4">
        <f>Table1[[#This Row],[mpce]]*89</f>
        <v>4540.5569660000001</v>
      </c>
      <c r="Y538" s="2" t="s">
        <v>32</v>
      </c>
      <c r="Z538" s="3">
        <f>VLOOKUP(Y538, rmpce_reference!$B$1:$D$7,3,FALSE) * 89</f>
        <v>4450</v>
      </c>
      <c r="AA538" s="1" t="str">
        <f>IF(Table1[rmpce_inr]&lt;=rmpce_reference!$F$2, "Low Income", IF(Table1[rmpce_inr]&lt;=rmpce_reference!$F$3, "Middle Income", "High Income"))</f>
        <v>Low Income</v>
      </c>
    </row>
    <row r="539" spans="1:27" x14ac:dyDescent="0.25">
      <c r="A539">
        <v>3082</v>
      </c>
      <c r="B539" t="s">
        <v>40</v>
      </c>
      <c r="C539" t="s">
        <v>29</v>
      </c>
      <c r="D539">
        <v>34</v>
      </c>
      <c r="E539" t="s">
        <v>22</v>
      </c>
      <c r="F539" t="s">
        <v>30</v>
      </c>
      <c r="G539">
        <v>0</v>
      </c>
      <c r="H539" s="1" t="str">
        <f>IF(Table1[[#This Row],[anxiety_score]]&lt;=10, "Normal", IF(Table1[[#This Row],[anxiety_score]]&lt;=20, "Moderate", IF(Table1[[#This Row],[anxiety_score]]&lt;=30, "Severe", "Extremely Severe")))</f>
        <v>Normal</v>
      </c>
      <c r="I539">
        <v>-1.0134224999999999</v>
      </c>
      <c r="J539">
        <v>12</v>
      </c>
      <c r="K539" s="1" t="str">
        <f>IF(Table1[[#This Row],[stress_score]]&lt;=10, "Normal", IF(Table1[[#This Row],[stress_score]]&lt;=20, "Moderate", IF(Table1[[#This Row],[stress_score]]&lt;=30, "Severe", "Extremely Severe")))</f>
        <v>Moderate</v>
      </c>
      <c r="L539">
        <v>5.496318E-3</v>
      </c>
      <c r="M539">
        <v>18</v>
      </c>
      <c r="N539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539">
        <v>0.62490060000000003</v>
      </c>
      <c r="P539">
        <v>10</v>
      </c>
      <c r="Q539">
        <f>ROUND(Table1[[#This Row],[dass21_raw_score]],0)</f>
        <v>10</v>
      </c>
      <c r="R539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539">
        <v>-0.12767518999999999</v>
      </c>
      <c r="T539">
        <v>0.96723473000000004</v>
      </c>
      <c r="U539">
        <v>5000</v>
      </c>
      <c r="V539" s="1">
        <f>ROUND(Table1[[#This Row],[fmpce]],0)</f>
        <v>5000</v>
      </c>
      <c r="W539">
        <v>68.023319999999998</v>
      </c>
      <c r="X539" s="4">
        <f>Table1[[#This Row],[mpce]]*89</f>
        <v>6054.0754799999995</v>
      </c>
      <c r="Y539" s="2" t="s">
        <v>28</v>
      </c>
      <c r="Z539" s="3">
        <f>VLOOKUP(Y539, rmpce_reference!$B$1:$D$7,3,FALSE) * 89</f>
        <v>6230</v>
      </c>
      <c r="AA539" s="1" t="str">
        <f>IF(Table1[rmpce_inr]&lt;=rmpce_reference!$F$2, "Low Income", IF(Table1[rmpce_inr]&lt;=rmpce_reference!$F$3, "Middle Income", "High Income"))</f>
        <v>Middle Income</v>
      </c>
    </row>
    <row r="540" spans="1:27" x14ac:dyDescent="0.25">
      <c r="A540">
        <v>3083</v>
      </c>
      <c r="B540" t="s">
        <v>40</v>
      </c>
      <c r="C540" t="s">
        <v>29</v>
      </c>
      <c r="D540">
        <v>31</v>
      </c>
      <c r="E540" t="s">
        <v>25</v>
      </c>
      <c r="F540" t="s">
        <v>23</v>
      </c>
      <c r="G540">
        <v>2</v>
      </c>
      <c r="H540" s="1" t="str">
        <f>IF(Table1[[#This Row],[anxiety_score]]&lt;=10, "Normal", IF(Table1[[#This Row],[anxiety_score]]&lt;=20, "Moderate", IF(Table1[[#This Row],[anxiety_score]]&lt;=30, "Severe", "Extremely Severe")))</f>
        <v>Normal</v>
      </c>
      <c r="I540">
        <v>-0.81237789999999999</v>
      </c>
      <c r="J540">
        <v>14</v>
      </c>
      <c r="K540" s="1" t="str">
        <f>IF(Table1[[#This Row],[stress_score]]&lt;=10, "Normal", IF(Table1[[#This Row],[stress_score]]&lt;=20, "Moderate", IF(Table1[[#This Row],[stress_score]]&lt;=30, "Severe", "Extremely Severe")))</f>
        <v>Moderate</v>
      </c>
      <c r="L540">
        <v>0.20015757000000001</v>
      </c>
      <c r="M540">
        <v>0</v>
      </c>
      <c r="N540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540">
        <v>-1.1088359000000001</v>
      </c>
      <c r="P540">
        <v>5.3333335000000002</v>
      </c>
      <c r="Q540">
        <f>ROUND(Table1[[#This Row],[dass21_raw_score]],0)</f>
        <v>5</v>
      </c>
      <c r="R540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540">
        <v>-0.57368540000000001</v>
      </c>
      <c r="T540">
        <v>0.52122449999999998</v>
      </c>
      <c r="U540">
        <v>6000</v>
      </c>
      <c r="V540" s="1">
        <f>ROUND(Table1[[#This Row],[fmpce]],0)</f>
        <v>6000</v>
      </c>
      <c r="W540">
        <v>81.627989999999997</v>
      </c>
      <c r="X540" s="4">
        <f>Table1[[#This Row],[mpce]]*89</f>
        <v>7264.8911099999996</v>
      </c>
      <c r="Y540" s="2" t="s">
        <v>31</v>
      </c>
      <c r="Z540" s="3">
        <f>VLOOKUP(Y540, rmpce_reference!$B$1:$D$7,3,FALSE) * 89</f>
        <v>8010</v>
      </c>
      <c r="AA540" s="1" t="str">
        <f>IF(Table1[rmpce_inr]&lt;=rmpce_reference!$F$2, "Low Income", IF(Table1[rmpce_inr]&lt;=rmpce_reference!$F$3, "Middle Income", "High Income"))</f>
        <v>High Income</v>
      </c>
    </row>
    <row r="541" spans="1:27" x14ac:dyDescent="0.25">
      <c r="A541">
        <v>3084</v>
      </c>
      <c r="B541" t="s">
        <v>40</v>
      </c>
      <c r="C541" t="s">
        <v>29</v>
      </c>
      <c r="D541">
        <v>33</v>
      </c>
      <c r="E541" t="s">
        <v>22</v>
      </c>
      <c r="F541" t="s">
        <v>37</v>
      </c>
      <c r="G541">
        <v>4</v>
      </c>
      <c r="H541" s="1" t="str">
        <f>IF(Table1[[#This Row],[anxiety_score]]&lt;=10, "Normal", IF(Table1[[#This Row],[anxiety_score]]&lt;=20, "Moderate", IF(Table1[[#This Row],[anxiety_score]]&lt;=30, "Severe", "Extremely Severe")))</f>
        <v>Normal</v>
      </c>
      <c r="I541">
        <v>-0.61133329999999997</v>
      </c>
      <c r="J541">
        <v>12</v>
      </c>
      <c r="K541" s="1" t="str">
        <f>IF(Table1[[#This Row],[stress_score]]&lt;=10, "Normal", IF(Table1[[#This Row],[stress_score]]&lt;=20, "Moderate", IF(Table1[[#This Row],[stress_score]]&lt;=30, "Severe", "Extremely Severe")))</f>
        <v>Moderate</v>
      </c>
      <c r="L541">
        <v>5.496318E-3</v>
      </c>
      <c r="M541">
        <v>14</v>
      </c>
      <c r="N541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541">
        <v>0.23962580999999999</v>
      </c>
      <c r="P541">
        <v>10</v>
      </c>
      <c r="Q541">
        <f>ROUND(Table1[[#This Row],[dass21_raw_score]],0)</f>
        <v>10</v>
      </c>
      <c r="R541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541">
        <v>-0.122070394</v>
      </c>
      <c r="T541">
        <v>0.97283953000000001</v>
      </c>
      <c r="U541">
        <v>2500</v>
      </c>
      <c r="V541" s="1">
        <f>ROUND(Table1[[#This Row],[fmpce]],0)</f>
        <v>2500</v>
      </c>
      <c r="W541">
        <v>34.011659999999999</v>
      </c>
      <c r="X541" s="4">
        <f>Table1[[#This Row],[mpce]]*89</f>
        <v>3027.0377399999998</v>
      </c>
      <c r="Y541" s="2" t="s">
        <v>34</v>
      </c>
      <c r="Z541" s="3">
        <f>VLOOKUP(Y541, rmpce_reference!$B$1:$D$7,3,FALSE) * 89</f>
        <v>2848</v>
      </c>
      <c r="AA541" s="1" t="str">
        <f>IF(Table1[rmpce_inr]&lt;=rmpce_reference!$F$2, "Low Income", IF(Table1[rmpce_inr]&lt;=rmpce_reference!$F$3, "Middle Income", "High Income"))</f>
        <v>Low Income</v>
      </c>
    </row>
    <row r="542" spans="1:27" x14ac:dyDescent="0.25">
      <c r="A542">
        <v>3085</v>
      </c>
      <c r="B542" t="s">
        <v>40</v>
      </c>
      <c r="C542" t="s">
        <v>33</v>
      </c>
      <c r="D542">
        <v>30</v>
      </c>
      <c r="E542" t="s">
        <v>22</v>
      </c>
      <c r="F542" t="s">
        <v>30</v>
      </c>
      <c r="G542">
        <v>10</v>
      </c>
      <c r="H542" s="1" t="str">
        <f>IF(Table1[[#This Row],[anxiety_score]]&lt;=10, "Normal", IF(Table1[[#This Row],[anxiety_score]]&lt;=20, "Moderate", IF(Table1[[#This Row],[anxiety_score]]&lt;=30, "Severe", "Extremely Severe")))</f>
        <v>Normal</v>
      </c>
      <c r="I542">
        <v>-8.1994660000000007E-3</v>
      </c>
      <c r="J542">
        <v>12</v>
      </c>
      <c r="K542" s="1" t="str">
        <f>IF(Table1[[#This Row],[stress_score]]&lt;=10, "Normal", IF(Table1[[#This Row],[stress_score]]&lt;=20, "Moderate", IF(Table1[[#This Row],[stress_score]]&lt;=30, "Severe", "Extremely Severe")))</f>
        <v>Moderate</v>
      </c>
      <c r="L542">
        <v>5.496318E-3</v>
      </c>
      <c r="M542">
        <v>10</v>
      </c>
      <c r="N542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542">
        <v>-0.14564899000000001</v>
      </c>
      <c r="P542">
        <v>10.666667</v>
      </c>
      <c r="Q542">
        <f>ROUND(Table1[[#This Row],[dass21_raw_score]],0)</f>
        <v>11</v>
      </c>
      <c r="R542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542">
        <v>-4.9450710000000002E-2</v>
      </c>
      <c r="T542">
        <v>1.0454592</v>
      </c>
      <c r="U542">
        <v>5000</v>
      </c>
      <c r="V542" s="1">
        <f>ROUND(Table1[[#This Row],[fmpce]],0)</f>
        <v>5000</v>
      </c>
      <c r="W542">
        <v>68.023319999999998</v>
      </c>
      <c r="X542" s="4">
        <f>Table1[[#This Row],[mpce]]*89</f>
        <v>6054.0754799999995</v>
      </c>
      <c r="Y542" s="2" t="s">
        <v>28</v>
      </c>
      <c r="Z542" s="3">
        <f>VLOOKUP(Y542, rmpce_reference!$B$1:$D$7,3,FALSE) * 89</f>
        <v>6230</v>
      </c>
      <c r="AA542" s="1" t="str">
        <f>IF(Table1[rmpce_inr]&lt;=rmpce_reference!$F$2, "Low Income", IF(Table1[rmpce_inr]&lt;=rmpce_reference!$F$3, "Middle Income", "High Income"))</f>
        <v>Middle Income</v>
      </c>
    </row>
    <row r="543" spans="1:27" x14ac:dyDescent="0.25">
      <c r="A543">
        <v>3086</v>
      </c>
      <c r="B543" t="s">
        <v>40</v>
      </c>
      <c r="C543" t="s">
        <v>29</v>
      </c>
      <c r="D543">
        <v>40</v>
      </c>
      <c r="E543" t="s">
        <v>22</v>
      </c>
      <c r="F543" t="s">
        <v>30</v>
      </c>
      <c r="G543">
        <v>16</v>
      </c>
      <c r="H543" s="1" t="str">
        <f>IF(Table1[[#This Row],[anxiety_score]]&lt;=10, "Normal", IF(Table1[[#This Row],[anxiety_score]]&lt;=20, "Moderate", IF(Table1[[#This Row],[anxiety_score]]&lt;=30, "Severe", "Extremely Severe")))</f>
        <v>Moderate</v>
      </c>
      <c r="I543">
        <v>0.59493434000000001</v>
      </c>
      <c r="J543">
        <v>26</v>
      </c>
      <c r="K543" s="1" t="str">
        <f>IF(Table1[[#This Row],[stress_score]]&lt;=10, "Normal", IF(Table1[[#This Row],[stress_score]]&lt;=20, "Moderate", IF(Table1[[#This Row],[stress_score]]&lt;=30, "Severe", "Extremely Severe")))</f>
        <v>Severe</v>
      </c>
      <c r="L543">
        <v>1.3681251000000001</v>
      </c>
      <c r="M543">
        <v>24</v>
      </c>
      <c r="N543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543">
        <v>1.2028128</v>
      </c>
      <c r="P543">
        <v>22</v>
      </c>
      <c r="Q543">
        <f>ROUND(Table1[[#This Row],[dass21_raw_score]],0)</f>
        <v>22</v>
      </c>
      <c r="R543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543">
        <v>1.0552907</v>
      </c>
      <c r="T543">
        <v>2.1502005999999998</v>
      </c>
      <c r="U543">
        <v>4000</v>
      </c>
      <c r="V543" s="1">
        <f>ROUND(Table1[[#This Row],[fmpce]],0)</f>
        <v>4000</v>
      </c>
      <c r="W543">
        <v>54.418660000000003</v>
      </c>
      <c r="X543" s="4">
        <f>Table1[[#This Row],[mpce]]*89</f>
        <v>4843.2607400000006</v>
      </c>
      <c r="Y543" s="2" t="s">
        <v>32</v>
      </c>
      <c r="Z543" s="3">
        <f>VLOOKUP(Y543, rmpce_reference!$B$1:$D$7,3,FALSE) * 89</f>
        <v>4450</v>
      </c>
      <c r="AA543" s="1" t="str">
        <f>IF(Table1[rmpce_inr]&lt;=rmpce_reference!$F$2, "Low Income", IF(Table1[rmpce_inr]&lt;=rmpce_reference!$F$3, "Middle Income", "High Income"))</f>
        <v>Low Income</v>
      </c>
    </row>
    <row r="544" spans="1:27" x14ac:dyDescent="0.25">
      <c r="A544">
        <v>3087</v>
      </c>
      <c r="B544" t="s">
        <v>40</v>
      </c>
      <c r="C544" t="s">
        <v>29</v>
      </c>
      <c r="D544">
        <v>40</v>
      </c>
      <c r="E544" t="s">
        <v>22</v>
      </c>
      <c r="F544" t="s">
        <v>23</v>
      </c>
      <c r="G544">
        <v>0</v>
      </c>
      <c r="H544" s="1" t="str">
        <f>IF(Table1[[#This Row],[anxiety_score]]&lt;=10, "Normal", IF(Table1[[#This Row],[anxiety_score]]&lt;=20, "Moderate", IF(Table1[[#This Row],[anxiety_score]]&lt;=30, "Severe", "Extremely Severe")))</f>
        <v>Normal</v>
      </c>
      <c r="I544">
        <v>-1.0134224999999999</v>
      </c>
      <c r="J544">
        <v>14</v>
      </c>
      <c r="K544" s="1" t="str">
        <f>IF(Table1[[#This Row],[stress_score]]&lt;=10, "Normal", IF(Table1[[#This Row],[stress_score]]&lt;=20, "Moderate", IF(Table1[[#This Row],[stress_score]]&lt;=30, "Severe", "Extremely Severe")))</f>
        <v>Moderate</v>
      </c>
      <c r="L544">
        <v>0.20015757000000001</v>
      </c>
      <c r="M544">
        <v>10</v>
      </c>
      <c r="N544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544">
        <v>-0.14564899000000001</v>
      </c>
      <c r="P544">
        <v>8</v>
      </c>
      <c r="Q544">
        <f>ROUND(Table1[[#This Row],[dass21_raw_score]],0)</f>
        <v>8</v>
      </c>
      <c r="R544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544">
        <v>-0.31963795</v>
      </c>
      <c r="T544">
        <v>0.77527195000000004</v>
      </c>
      <c r="U544">
        <v>5000</v>
      </c>
      <c r="V544" s="1">
        <f>ROUND(Table1[[#This Row],[fmpce]],0)</f>
        <v>5000</v>
      </c>
      <c r="W544">
        <v>68.023319999999998</v>
      </c>
      <c r="X544" s="4">
        <f>Table1[[#This Row],[mpce]]*89</f>
        <v>6054.0754799999995</v>
      </c>
      <c r="Y544" s="2" t="s">
        <v>28</v>
      </c>
      <c r="Z544" s="3">
        <f>VLOOKUP(Y544, rmpce_reference!$B$1:$D$7,3,FALSE) * 89</f>
        <v>6230</v>
      </c>
      <c r="AA544" s="1" t="str">
        <f>IF(Table1[rmpce_inr]&lt;=rmpce_reference!$F$2, "Low Income", IF(Table1[rmpce_inr]&lt;=rmpce_reference!$F$3, "Middle Income", "High Income"))</f>
        <v>Middle Income</v>
      </c>
    </row>
    <row r="545" spans="1:27" x14ac:dyDescent="0.25">
      <c r="A545">
        <v>3088</v>
      </c>
      <c r="B545" t="s">
        <v>40</v>
      </c>
      <c r="C545" t="s">
        <v>33</v>
      </c>
      <c r="D545">
        <v>30</v>
      </c>
      <c r="E545" t="s">
        <v>22</v>
      </c>
      <c r="F545" t="s">
        <v>23</v>
      </c>
      <c r="G545">
        <v>10</v>
      </c>
      <c r="H545" s="1" t="str">
        <f>IF(Table1[[#This Row],[anxiety_score]]&lt;=10, "Normal", IF(Table1[[#This Row],[anxiety_score]]&lt;=20, "Moderate", IF(Table1[[#This Row],[anxiety_score]]&lt;=30, "Severe", "Extremely Severe")))</f>
        <v>Normal</v>
      </c>
      <c r="I545">
        <v>-8.1994660000000007E-3</v>
      </c>
      <c r="J545">
        <v>30</v>
      </c>
      <c r="K545" s="1" t="str">
        <f>IF(Table1[[#This Row],[stress_score]]&lt;=10, "Normal", IF(Table1[[#This Row],[stress_score]]&lt;=20, "Moderate", IF(Table1[[#This Row],[stress_score]]&lt;=30, "Severe", "Extremely Severe")))</f>
        <v>Severe</v>
      </c>
      <c r="L545">
        <v>1.7574476000000001</v>
      </c>
      <c r="M545">
        <v>22</v>
      </c>
      <c r="N545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545">
        <v>1.0101753</v>
      </c>
      <c r="P545">
        <v>20.666665999999999</v>
      </c>
      <c r="Q545">
        <f>ROUND(Table1[[#This Row],[dass21_raw_score]],0)</f>
        <v>21</v>
      </c>
      <c r="R545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545">
        <v>0.91980784999999998</v>
      </c>
      <c r="T545">
        <v>2.0147178000000001</v>
      </c>
      <c r="U545">
        <v>5000</v>
      </c>
      <c r="V545" s="1">
        <f>ROUND(Table1[[#This Row],[fmpce]],0)</f>
        <v>5000</v>
      </c>
      <c r="W545">
        <v>68.023319999999998</v>
      </c>
      <c r="X545" s="4">
        <f>Table1[[#This Row],[mpce]]*89</f>
        <v>6054.0754799999995</v>
      </c>
      <c r="Y545" s="2" t="s">
        <v>28</v>
      </c>
      <c r="Z545" s="3">
        <f>VLOOKUP(Y545, rmpce_reference!$B$1:$D$7,3,FALSE) * 89</f>
        <v>6230</v>
      </c>
      <c r="AA545" s="1" t="str">
        <f>IF(Table1[rmpce_inr]&lt;=rmpce_reference!$F$2, "Low Income", IF(Table1[rmpce_inr]&lt;=rmpce_reference!$F$3, "Middle Income", "High Income"))</f>
        <v>Middle Income</v>
      </c>
    </row>
    <row r="546" spans="1:27" x14ac:dyDescent="0.25">
      <c r="A546">
        <v>3089</v>
      </c>
      <c r="B546" t="s">
        <v>40</v>
      </c>
      <c r="C546" t="s">
        <v>29</v>
      </c>
      <c r="D546">
        <v>35</v>
      </c>
      <c r="E546" t="s">
        <v>22</v>
      </c>
      <c r="F546" t="s">
        <v>23</v>
      </c>
      <c r="G546">
        <v>6</v>
      </c>
      <c r="H546" s="1" t="str">
        <f>IF(Table1[[#This Row],[anxiety_score]]&lt;=10, "Normal", IF(Table1[[#This Row],[anxiety_score]]&lt;=20, "Moderate", IF(Table1[[#This Row],[anxiety_score]]&lt;=30, "Severe", "Extremely Severe")))</f>
        <v>Normal</v>
      </c>
      <c r="I546">
        <v>-0.41028870000000001</v>
      </c>
      <c r="J546">
        <v>14</v>
      </c>
      <c r="K546" s="1" t="str">
        <f>IF(Table1[[#This Row],[stress_score]]&lt;=10, "Normal", IF(Table1[[#This Row],[stress_score]]&lt;=20, "Moderate", IF(Table1[[#This Row],[stress_score]]&lt;=30, "Severe", "Extremely Severe")))</f>
        <v>Moderate</v>
      </c>
      <c r="L546">
        <v>0.20015757000000001</v>
      </c>
      <c r="M546">
        <v>10</v>
      </c>
      <c r="N546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546">
        <v>-0.14564899000000001</v>
      </c>
      <c r="P546">
        <v>10</v>
      </c>
      <c r="Q546">
        <f>ROUND(Table1[[#This Row],[dass21_raw_score]],0)</f>
        <v>10</v>
      </c>
      <c r="R546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546">
        <v>-0.11859337</v>
      </c>
      <c r="T546">
        <v>0.97631650000000003</v>
      </c>
      <c r="U546">
        <v>1500</v>
      </c>
      <c r="V546" s="1">
        <f>ROUND(Table1[[#This Row],[fmpce]],0)</f>
        <v>1500</v>
      </c>
      <c r="W546">
        <v>20.406998000000002</v>
      </c>
      <c r="X546" s="4">
        <f>Table1[[#This Row],[mpce]]*89</f>
        <v>1816.2228220000002</v>
      </c>
      <c r="Y546" s="2" t="s">
        <v>24</v>
      </c>
      <c r="Z546" s="3">
        <f>VLOOKUP(Y546, rmpce_reference!$B$1:$D$7,3,FALSE) * 89</f>
        <v>2225</v>
      </c>
      <c r="AA546" s="1" t="str">
        <f>IF(Table1[rmpce_inr]&lt;=rmpce_reference!$F$2, "Low Income", IF(Table1[rmpce_inr]&lt;=rmpce_reference!$F$3, "Middle Income", "High Income"))</f>
        <v>Low Income</v>
      </c>
    </row>
    <row r="547" spans="1:27" x14ac:dyDescent="0.25">
      <c r="A547">
        <v>3090</v>
      </c>
      <c r="B547" t="s">
        <v>40</v>
      </c>
      <c r="C547" t="s">
        <v>29</v>
      </c>
      <c r="D547">
        <v>34</v>
      </c>
      <c r="E547" t="s">
        <v>22</v>
      </c>
      <c r="F547" t="s">
        <v>30</v>
      </c>
      <c r="G547">
        <v>4</v>
      </c>
      <c r="H547" s="1" t="str">
        <f>IF(Table1[[#This Row],[anxiety_score]]&lt;=10, "Normal", IF(Table1[[#This Row],[anxiety_score]]&lt;=20, "Moderate", IF(Table1[[#This Row],[anxiety_score]]&lt;=30, "Severe", "Extremely Severe")))</f>
        <v>Normal</v>
      </c>
      <c r="I547">
        <v>-0.61133329999999997</v>
      </c>
      <c r="J547">
        <v>20</v>
      </c>
      <c r="K547" s="1" t="str">
        <f>IF(Table1[[#This Row],[stress_score]]&lt;=10, "Normal", IF(Table1[[#This Row],[stress_score]]&lt;=20, "Moderate", IF(Table1[[#This Row],[stress_score]]&lt;=30, "Severe", "Extremely Severe")))</f>
        <v>Moderate</v>
      </c>
      <c r="L547">
        <v>0.78414130000000004</v>
      </c>
      <c r="M547">
        <v>12</v>
      </c>
      <c r="N547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547">
        <v>4.6988415999999998E-2</v>
      </c>
      <c r="P547">
        <v>12</v>
      </c>
      <c r="Q547">
        <f>ROUND(Table1[[#This Row],[dass21_raw_score]],0)</f>
        <v>12</v>
      </c>
      <c r="R547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547">
        <v>7.3265469999999999E-2</v>
      </c>
      <c r="T547">
        <v>1.1681752999999999</v>
      </c>
      <c r="U547">
        <v>3333.3332999999998</v>
      </c>
      <c r="V547" s="1">
        <f>ROUND(Table1[[#This Row],[fmpce]],0)</f>
        <v>3333</v>
      </c>
      <c r="W547">
        <v>45.348880000000001</v>
      </c>
      <c r="X547" s="4">
        <f>Table1[[#This Row],[mpce]]*89</f>
        <v>4036.0503200000003</v>
      </c>
      <c r="Y547" s="2" t="s">
        <v>32</v>
      </c>
      <c r="Z547" s="3">
        <f>VLOOKUP(Y547, rmpce_reference!$B$1:$D$7,3,FALSE) * 89</f>
        <v>4450</v>
      </c>
      <c r="AA547" s="1" t="str">
        <f>IF(Table1[rmpce_inr]&lt;=rmpce_reference!$F$2, "Low Income", IF(Table1[rmpce_inr]&lt;=rmpce_reference!$F$3, "Middle Income", "High Income"))</f>
        <v>Low Income</v>
      </c>
    </row>
    <row r="548" spans="1:27" x14ac:dyDescent="0.25">
      <c r="A548">
        <v>3091</v>
      </c>
      <c r="B548" t="s">
        <v>40</v>
      </c>
      <c r="C548" t="s">
        <v>29</v>
      </c>
      <c r="D548">
        <v>35</v>
      </c>
      <c r="E548" t="s">
        <v>22</v>
      </c>
      <c r="F548" t="s">
        <v>37</v>
      </c>
      <c r="G548">
        <v>4</v>
      </c>
      <c r="H548" s="1" t="str">
        <f>IF(Table1[[#This Row],[anxiety_score]]&lt;=10, "Normal", IF(Table1[[#This Row],[anxiety_score]]&lt;=20, "Moderate", IF(Table1[[#This Row],[anxiety_score]]&lt;=30, "Severe", "Extremely Severe")))</f>
        <v>Normal</v>
      </c>
      <c r="I548">
        <v>-0.61133329999999997</v>
      </c>
      <c r="J548">
        <v>4</v>
      </c>
      <c r="K548" s="1" t="str">
        <f>IF(Table1[[#This Row],[stress_score]]&lt;=10, "Normal", IF(Table1[[#This Row],[stress_score]]&lt;=20, "Moderate", IF(Table1[[#This Row],[stress_score]]&lt;=30, "Severe", "Extremely Severe")))</f>
        <v>Normal</v>
      </c>
      <c r="L548">
        <v>-0.77314866000000004</v>
      </c>
      <c r="M548">
        <v>4</v>
      </c>
      <c r="N548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548">
        <v>-0.72356116999999998</v>
      </c>
      <c r="P548">
        <v>4</v>
      </c>
      <c r="Q548">
        <f>ROUND(Table1[[#This Row],[dass21_raw_score]],0)</f>
        <v>4</v>
      </c>
      <c r="R548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548">
        <v>-0.70268105999999997</v>
      </c>
      <c r="T548">
        <v>0.39222884000000002</v>
      </c>
      <c r="U548">
        <v>2857.1428000000001</v>
      </c>
      <c r="V548" s="1">
        <f>ROUND(Table1[[#This Row],[fmpce]],0)</f>
        <v>2857</v>
      </c>
      <c r="W548">
        <v>38.870471999999999</v>
      </c>
      <c r="X548" s="4">
        <f>Table1[[#This Row],[mpce]]*89</f>
        <v>3459.4720079999997</v>
      </c>
      <c r="Y548" s="2" t="s">
        <v>34</v>
      </c>
      <c r="Z548" s="3">
        <f>VLOOKUP(Y548, rmpce_reference!$B$1:$D$7,3,FALSE) * 89</f>
        <v>2848</v>
      </c>
      <c r="AA548" s="1" t="str">
        <f>IF(Table1[rmpce_inr]&lt;=rmpce_reference!$F$2, "Low Income", IF(Table1[rmpce_inr]&lt;=rmpce_reference!$F$3, "Middle Income", "High Income"))</f>
        <v>Low Income</v>
      </c>
    </row>
    <row r="549" spans="1:27" x14ac:dyDescent="0.25">
      <c r="A549">
        <v>3092</v>
      </c>
      <c r="B549" t="s">
        <v>40</v>
      </c>
      <c r="C549" t="s">
        <v>29</v>
      </c>
      <c r="D549">
        <v>37</v>
      </c>
      <c r="E549" t="s">
        <v>22</v>
      </c>
      <c r="F549" t="s">
        <v>30</v>
      </c>
      <c r="G549">
        <v>0</v>
      </c>
      <c r="H549" s="1" t="str">
        <f>IF(Table1[[#This Row],[anxiety_score]]&lt;=10, "Normal", IF(Table1[[#This Row],[anxiety_score]]&lt;=20, "Moderate", IF(Table1[[#This Row],[anxiety_score]]&lt;=30, "Severe", "Extremely Severe")))</f>
        <v>Normal</v>
      </c>
      <c r="I549">
        <v>-1.0134224999999999</v>
      </c>
      <c r="J549">
        <v>0</v>
      </c>
      <c r="K549" s="1" t="str">
        <f>IF(Table1[[#This Row],[stress_score]]&lt;=10, "Normal", IF(Table1[[#This Row],[stress_score]]&lt;=20, "Moderate", IF(Table1[[#This Row],[stress_score]]&lt;=30, "Severe", "Extremely Severe")))</f>
        <v>Normal</v>
      </c>
      <c r="L549">
        <v>-1.1624711999999999</v>
      </c>
      <c r="M549">
        <v>0</v>
      </c>
      <c r="N549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549">
        <v>-1.1088359000000001</v>
      </c>
      <c r="P549">
        <v>0</v>
      </c>
      <c r="Q549">
        <f>ROUND(Table1[[#This Row],[dass21_raw_score]],0)</f>
        <v>0</v>
      </c>
      <c r="R549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549">
        <v>-1.0949099</v>
      </c>
      <c r="T549">
        <v>0</v>
      </c>
      <c r="U549">
        <v>7500</v>
      </c>
      <c r="V549" s="1">
        <f>ROUND(Table1[[#This Row],[fmpce]],0)</f>
        <v>7500</v>
      </c>
      <c r="W549">
        <v>102.03498999999999</v>
      </c>
      <c r="X549" s="4">
        <f>Table1[[#This Row],[mpce]]*89</f>
        <v>9081.1141099999986</v>
      </c>
      <c r="Y549" s="2" t="s">
        <v>35</v>
      </c>
      <c r="Z549" s="3">
        <f>VLOOKUP(Y549, rmpce_reference!$B$1:$D$7,3,FALSE) * 89</f>
        <v>9790</v>
      </c>
      <c r="AA549" s="1" t="str">
        <f>IF(Table1[rmpce_inr]&lt;=rmpce_reference!$F$2, "Low Income", IF(Table1[rmpce_inr]&lt;=rmpce_reference!$F$3, "Middle Income", "High Income"))</f>
        <v>High Income</v>
      </c>
    </row>
    <row r="550" spans="1:27" x14ac:dyDescent="0.25">
      <c r="A550">
        <v>3093</v>
      </c>
      <c r="B550" t="s">
        <v>40</v>
      </c>
      <c r="C550" t="s">
        <v>33</v>
      </c>
      <c r="D550">
        <v>29</v>
      </c>
      <c r="E550" t="s">
        <v>25</v>
      </c>
      <c r="F550" t="s">
        <v>26</v>
      </c>
      <c r="G550">
        <v>0</v>
      </c>
      <c r="H550" s="1" t="str">
        <f>IF(Table1[[#This Row],[anxiety_score]]&lt;=10, "Normal", IF(Table1[[#This Row],[anxiety_score]]&lt;=20, "Moderate", IF(Table1[[#This Row],[anxiety_score]]&lt;=30, "Severe", "Extremely Severe")))</f>
        <v>Normal</v>
      </c>
      <c r="I550">
        <v>-1.0134224999999999</v>
      </c>
      <c r="J550">
        <v>0</v>
      </c>
      <c r="K550" s="1" t="str">
        <f>IF(Table1[[#This Row],[stress_score]]&lt;=10, "Normal", IF(Table1[[#This Row],[stress_score]]&lt;=20, "Moderate", IF(Table1[[#This Row],[stress_score]]&lt;=30, "Severe", "Extremely Severe")))</f>
        <v>Normal</v>
      </c>
      <c r="L550">
        <v>-1.1624711999999999</v>
      </c>
      <c r="M550">
        <v>4</v>
      </c>
      <c r="N550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550">
        <v>-0.72356116999999998</v>
      </c>
      <c r="P550">
        <v>1.3333333999999999</v>
      </c>
      <c r="Q550">
        <f>ROUND(Table1[[#This Row],[dass21_raw_score]],0)</f>
        <v>1</v>
      </c>
      <c r="R550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550">
        <v>-0.96648495999999995</v>
      </c>
      <c r="T550">
        <v>0.12842493999999999</v>
      </c>
      <c r="U550">
        <v>6250</v>
      </c>
      <c r="V550" s="1">
        <f>ROUND(Table1[[#This Row],[fmpce]],0)</f>
        <v>6250</v>
      </c>
      <c r="W550">
        <v>85.029150000000001</v>
      </c>
      <c r="X550" s="4">
        <f>Table1[[#This Row],[mpce]]*89</f>
        <v>7567.5943500000003</v>
      </c>
      <c r="Y550" s="2" t="s">
        <v>31</v>
      </c>
      <c r="Z550" s="3">
        <f>VLOOKUP(Y550, rmpce_reference!$B$1:$D$7,3,FALSE) * 89</f>
        <v>8010</v>
      </c>
      <c r="AA550" s="1" t="str">
        <f>IF(Table1[rmpce_inr]&lt;=rmpce_reference!$F$2, "Low Income", IF(Table1[rmpce_inr]&lt;=rmpce_reference!$F$3, "Middle Income", "High Income"))</f>
        <v>High Income</v>
      </c>
    </row>
    <row r="551" spans="1:27" x14ac:dyDescent="0.25">
      <c r="A551">
        <v>3094</v>
      </c>
      <c r="B551" t="s">
        <v>40</v>
      </c>
      <c r="C551" t="s">
        <v>29</v>
      </c>
      <c r="D551">
        <v>37</v>
      </c>
      <c r="E551" t="s">
        <v>22</v>
      </c>
      <c r="F551" t="s">
        <v>30</v>
      </c>
      <c r="G551">
        <v>0</v>
      </c>
      <c r="H551" s="1" t="str">
        <f>IF(Table1[[#This Row],[anxiety_score]]&lt;=10, "Normal", IF(Table1[[#This Row],[anxiety_score]]&lt;=20, "Moderate", IF(Table1[[#This Row],[anxiety_score]]&lt;=30, "Severe", "Extremely Severe")))</f>
        <v>Normal</v>
      </c>
      <c r="I551">
        <v>-1.0134224999999999</v>
      </c>
      <c r="J551">
        <v>4</v>
      </c>
      <c r="K551" s="1" t="str">
        <f>IF(Table1[[#This Row],[stress_score]]&lt;=10, "Normal", IF(Table1[[#This Row],[stress_score]]&lt;=20, "Moderate", IF(Table1[[#This Row],[stress_score]]&lt;=30, "Severe", "Extremely Severe")))</f>
        <v>Normal</v>
      </c>
      <c r="L551">
        <v>-0.77314866000000004</v>
      </c>
      <c r="M551">
        <v>6</v>
      </c>
      <c r="N551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551">
        <v>-0.53092379999999995</v>
      </c>
      <c r="P551">
        <v>3.3333333000000001</v>
      </c>
      <c r="Q551">
        <f>ROUND(Table1[[#This Row],[dass21_raw_score]],0)</f>
        <v>3</v>
      </c>
      <c r="R551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551">
        <v>-0.77249829999999997</v>
      </c>
      <c r="T551">
        <v>0.32241160000000002</v>
      </c>
      <c r="U551">
        <v>10000</v>
      </c>
      <c r="V551" s="1">
        <f>ROUND(Table1[[#This Row],[fmpce]],0)</f>
        <v>10000</v>
      </c>
      <c r="W551">
        <v>136.04665</v>
      </c>
      <c r="X551" s="4">
        <f>Table1[[#This Row],[mpce]]*89</f>
        <v>12108.15185</v>
      </c>
      <c r="Y551" s="2" t="s">
        <v>35</v>
      </c>
      <c r="Z551" s="3">
        <f>VLOOKUP(Y551, rmpce_reference!$B$1:$D$7,3,FALSE) * 89</f>
        <v>9790</v>
      </c>
      <c r="AA551" s="1" t="str">
        <f>IF(Table1[rmpce_inr]&lt;=rmpce_reference!$F$2, "Low Income", IF(Table1[rmpce_inr]&lt;=rmpce_reference!$F$3, "Middle Income", "High Income"))</f>
        <v>High Income</v>
      </c>
    </row>
    <row r="552" spans="1:27" x14ac:dyDescent="0.25">
      <c r="A552">
        <v>3095</v>
      </c>
      <c r="B552" t="s">
        <v>40</v>
      </c>
      <c r="C552" t="s">
        <v>29</v>
      </c>
      <c r="D552">
        <v>31</v>
      </c>
      <c r="E552" t="s">
        <v>25</v>
      </c>
      <c r="F552" t="s">
        <v>26</v>
      </c>
      <c r="G552">
        <v>4</v>
      </c>
      <c r="H552" s="1" t="str">
        <f>IF(Table1[[#This Row],[anxiety_score]]&lt;=10, "Normal", IF(Table1[[#This Row],[anxiety_score]]&lt;=20, "Moderate", IF(Table1[[#This Row],[anxiety_score]]&lt;=30, "Severe", "Extremely Severe")))</f>
        <v>Normal</v>
      </c>
      <c r="I552">
        <v>-0.61133329999999997</v>
      </c>
      <c r="J552">
        <v>4</v>
      </c>
      <c r="K552" s="1" t="str">
        <f>IF(Table1[[#This Row],[stress_score]]&lt;=10, "Normal", IF(Table1[[#This Row],[stress_score]]&lt;=20, "Moderate", IF(Table1[[#This Row],[stress_score]]&lt;=30, "Severe", "Extremely Severe")))</f>
        <v>Normal</v>
      </c>
      <c r="L552">
        <v>-0.77314866000000004</v>
      </c>
      <c r="M552">
        <v>4</v>
      </c>
      <c r="N552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552">
        <v>-0.72356116999999998</v>
      </c>
      <c r="P552">
        <v>4</v>
      </c>
      <c r="Q552">
        <f>ROUND(Table1[[#This Row],[dass21_raw_score]],0)</f>
        <v>4</v>
      </c>
      <c r="R552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552">
        <v>-0.70268105999999997</v>
      </c>
      <c r="T552">
        <v>0.39222884000000002</v>
      </c>
      <c r="U552">
        <v>11666.666999999999</v>
      </c>
      <c r="V552" s="1">
        <f>ROUND(Table1[[#This Row],[fmpce]],0)</f>
        <v>11667</v>
      </c>
      <c r="W552">
        <v>158.72110000000001</v>
      </c>
      <c r="X552" s="4">
        <f>Table1[[#This Row],[mpce]]*89</f>
        <v>14126.177900000001</v>
      </c>
      <c r="Y552" s="2" t="s">
        <v>35</v>
      </c>
      <c r="Z552" s="3">
        <f>VLOOKUP(Y552, rmpce_reference!$B$1:$D$7,3,FALSE) * 89</f>
        <v>9790</v>
      </c>
      <c r="AA552" s="1" t="str">
        <f>IF(Table1[rmpce_inr]&lt;=rmpce_reference!$F$2, "Low Income", IF(Table1[rmpce_inr]&lt;=rmpce_reference!$F$3, "Middle Income", "High Income"))</f>
        <v>High Income</v>
      </c>
    </row>
    <row r="553" spans="1:27" x14ac:dyDescent="0.25">
      <c r="A553">
        <v>3096</v>
      </c>
      <c r="B553" t="s">
        <v>40</v>
      </c>
      <c r="C553" t="s">
        <v>33</v>
      </c>
      <c r="D553">
        <v>30</v>
      </c>
      <c r="E553" t="s">
        <v>25</v>
      </c>
      <c r="F553" t="s">
        <v>26</v>
      </c>
      <c r="G553">
        <v>4</v>
      </c>
      <c r="H553" s="1" t="str">
        <f>IF(Table1[[#This Row],[anxiety_score]]&lt;=10, "Normal", IF(Table1[[#This Row],[anxiety_score]]&lt;=20, "Moderate", IF(Table1[[#This Row],[anxiety_score]]&lt;=30, "Severe", "Extremely Severe")))</f>
        <v>Normal</v>
      </c>
      <c r="I553">
        <v>-0.61133329999999997</v>
      </c>
      <c r="J553">
        <v>4</v>
      </c>
      <c r="K553" s="1" t="str">
        <f>IF(Table1[[#This Row],[stress_score]]&lt;=10, "Normal", IF(Table1[[#This Row],[stress_score]]&lt;=20, "Moderate", IF(Table1[[#This Row],[stress_score]]&lt;=30, "Severe", "Extremely Severe")))</f>
        <v>Normal</v>
      </c>
      <c r="L553">
        <v>-0.77314866000000004</v>
      </c>
      <c r="M553">
        <v>6</v>
      </c>
      <c r="N553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553">
        <v>-0.53092379999999995</v>
      </c>
      <c r="P553">
        <v>4.6666664999999998</v>
      </c>
      <c r="Q553">
        <f>ROUND(Table1[[#This Row],[dass21_raw_score]],0)</f>
        <v>5</v>
      </c>
      <c r="R553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553">
        <v>-0.63846855999999996</v>
      </c>
      <c r="T553">
        <v>0.45644133999999997</v>
      </c>
      <c r="U553">
        <v>8333.3330000000005</v>
      </c>
      <c r="V553" s="1">
        <f>ROUND(Table1[[#This Row],[fmpce]],0)</f>
        <v>8333</v>
      </c>
      <c r="W553">
        <v>113.37220000000001</v>
      </c>
      <c r="X553" s="4">
        <f>Table1[[#This Row],[mpce]]*89</f>
        <v>10090.1258</v>
      </c>
      <c r="Y553" s="2" t="s">
        <v>35</v>
      </c>
      <c r="Z553" s="3">
        <f>VLOOKUP(Y553, rmpce_reference!$B$1:$D$7,3,FALSE) * 89</f>
        <v>9790</v>
      </c>
      <c r="AA553" s="1" t="str">
        <f>IF(Table1[rmpce_inr]&lt;=rmpce_reference!$F$2, "Low Income", IF(Table1[rmpce_inr]&lt;=rmpce_reference!$F$3, "Middle Income", "High Income"))</f>
        <v>High Income</v>
      </c>
    </row>
    <row r="554" spans="1:27" x14ac:dyDescent="0.25">
      <c r="A554">
        <v>3097</v>
      </c>
      <c r="B554" t="s">
        <v>40</v>
      </c>
      <c r="C554" t="s">
        <v>33</v>
      </c>
      <c r="D554">
        <v>27</v>
      </c>
      <c r="E554" t="s">
        <v>22</v>
      </c>
      <c r="F554" t="s">
        <v>30</v>
      </c>
      <c r="G554">
        <v>4</v>
      </c>
      <c r="H554" s="1" t="str">
        <f>IF(Table1[[#This Row],[anxiety_score]]&lt;=10, "Normal", IF(Table1[[#This Row],[anxiety_score]]&lt;=20, "Moderate", IF(Table1[[#This Row],[anxiety_score]]&lt;=30, "Severe", "Extremely Severe")))</f>
        <v>Normal</v>
      </c>
      <c r="I554">
        <v>-0.61133329999999997</v>
      </c>
      <c r="J554">
        <v>12</v>
      </c>
      <c r="K554" s="1" t="str">
        <f>IF(Table1[[#This Row],[stress_score]]&lt;=10, "Normal", IF(Table1[[#This Row],[stress_score]]&lt;=20, "Moderate", IF(Table1[[#This Row],[stress_score]]&lt;=30, "Severe", "Extremely Severe")))</f>
        <v>Moderate</v>
      </c>
      <c r="L554">
        <v>5.496318E-3</v>
      </c>
      <c r="M554">
        <v>12</v>
      </c>
      <c r="N554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554">
        <v>4.6988415999999998E-2</v>
      </c>
      <c r="P554">
        <v>9.3333329999999997</v>
      </c>
      <c r="Q554">
        <f>ROUND(Table1[[#This Row],[dass21_raw_score]],0)</f>
        <v>9</v>
      </c>
      <c r="R554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554">
        <v>-0.18628285999999999</v>
      </c>
      <c r="T554">
        <v>0.90862703</v>
      </c>
      <c r="U554">
        <v>3000</v>
      </c>
      <c r="V554" s="1">
        <f>ROUND(Table1[[#This Row],[fmpce]],0)</f>
        <v>3000</v>
      </c>
      <c r="W554">
        <v>40.813994999999998</v>
      </c>
      <c r="X554" s="4">
        <f>Table1[[#This Row],[mpce]]*89</f>
        <v>3632.4455549999998</v>
      </c>
      <c r="Y554" s="2" t="s">
        <v>32</v>
      </c>
      <c r="Z554" s="3">
        <f>VLOOKUP(Y554, rmpce_reference!$B$1:$D$7,3,FALSE) * 89</f>
        <v>4450</v>
      </c>
      <c r="AA554" s="1" t="str">
        <f>IF(Table1[rmpce_inr]&lt;=rmpce_reference!$F$2, "Low Income", IF(Table1[rmpce_inr]&lt;=rmpce_reference!$F$3, "Middle Income", "High Income"))</f>
        <v>Low Income</v>
      </c>
    </row>
    <row r="555" spans="1:27" x14ac:dyDescent="0.25">
      <c r="A555">
        <v>3098</v>
      </c>
      <c r="B555" t="s">
        <v>40</v>
      </c>
      <c r="C555" t="s">
        <v>33</v>
      </c>
      <c r="D555">
        <v>28</v>
      </c>
      <c r="E555" t="s">
        <v>22</v>
      </c>
      <c r="F555" t="s">
        <v>30</v>
      </c>
      <c r="G555">
        <v>6</v>
      </c>
      <c r="H555" s="1" t="str">
        <f>IF(Table1[[#This Row],[anxiety_score]]&lt;=10, "Normal", IF(Table1[[#This Row],[anxiety_score]]&lt;=20, "Moderate", IF(Table1[[#This Row],[anxiety_score]]&lt;=30, "Severe", "Extremely Severe")))</f>
        <v>Normal</v>
      </c>
      <c r="I555">
        <v>-0.41028870000000001</v>
      </c>
      <c r="J555">
        <v>18</v>
      </c>
      <c r="K555" s="1" t="str">
        <f>IF(Table1[[#This Row],[stress_score]]&lt;=10, "Normal", IF(Table1[[#This Row],[stress_score]]&lt;=20, "Moderate", IF(Table1[[#This Row],[stress_score]]&lt;=30, "Severe", "Extremely Severe")))</f>
        <v>Moderate</v>
      </c>
      <c r="L555">
        <v>0.58948003999999998</v>
      </c>
      <c r="M555">
        <v>10</v>
      </c>
      <c r="N555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555">
        <v>-0.14564899000000001</v>
      </c>
      <c r="P555">
        <v>11.333333</v>
      </c>
      <c r="Q555">
        <f>ROUND(Table1[[#This Row],[dass21_raw_score]],0)</f>
        <v>11</v>
      </c>
      <c r="R555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555">
        <v>1.1180788000000001E-2</v>
      </c>
      <c r="T555">
        <v>1.1060907</v>
      </c>
      <c r="U555">
        <v>5000</v>
      </c>
      <c r="V555" s="1">
        <f>ROUND(Table1[[#This Row],[fmpce]],0)</f>
        <v>5000</v>
      </c>
      <c r="W555">
        <v>68.023319999999998</v>
      </c>
      <c r="X555" s="4">
        <f>Table1[[#This Row],[mpce]]*89</f>
        <v>6054.0754799999995</v>
      </c>
      <c r="Y555" s="2" t="s">
        <v>28</v>
      </c>
      <c r="Z555" s="3">
        <f>VLOOKUP(Y555, rmpce_reference!$B$1:$D$7,3,FALSE) * 89</f>
        <v>6230</v>
      </c>
      <c r="AA555" s="1" t="str">
        <f>IF(Table1[rmpce_inr]&lt;=rmpce_reference!$F$2, "Low Income", IF(Table1[rmpce_inr]&lt;=rmpce_reference!$F$3, "Middle Income", "High Income"))</f>
        <v>Middle Income</v>
      </c>
    </row>
    <row r="556" spans="1:27" x14ac:dyDescent="0.25">
      <c r="A556">
        <v>3099</v>
      </c>
      <c r="B556" t="s">
        <v>40</v>
      </c>
      <c r="C556" t="s">
        <v>29</v>
      </c>
      <c r="D556">
        <v>34</v>
      </c>
      <c r="E556" t="s">
        <v>22</v>
      </c>
      <c r="F556" t="s">
        <v>23</v>
      </c>
      <c r="G556">
        <v>4</v>
      </c>
      <c r="H556" s="1" t="str">
        <f>IF(Table1[[#This Row],[anxiety_score]]&lt;=10, "Normal", IF(Table1[[#This Row],[anxiety_score]]&lt;=20, "Moderate", IF(Table1[[#This Row],[anxiety_score]]&lt;=30, "Severe", "Extremely Severe")))</f>
        <v>Normal</v>
      </c>
      <c r="I556">
        <v>-0.61133329999999997</v>
      </c>
      <c r="J556">
        <v>8</v>
      </c>
      <c r="K556" s="1" t="str">
        <f>IF(Table1[[#This Row],[stress_score]]&lt;=10, "Normal", IF(Table1[[#This Row],[stress_score]]&lt;=20, "Moderate", IF(Table1[[#This Row],[stress_score]]&lt;=30, "Severe", "Extremely Severe")))</f>
        <v>Normal</v>
      </c>
      <c r="L556">
        <v>-0.38382620000000001</v>
      </c>
      <c r="M556">
        <v>6</v>
      </c>
      <c r="N556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556">
        <v>-0.53092379999999995</v>
      </c>
      <c r="P556">
        <v>6</v>
      </c>
      <c r="Q556">
        <f>ROUND(Table1[[#This Row],[dass21_raw_score]],0)</f>
        <v>6</v>
      </c>
      <c r="R556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556">
        <v>-0.50869439999999999</v>
      </c>
      <c r="T556">
        <v>0.5862155</v>
      </c>
      <c r="U556">
        <v>5000</v>
      </c>
      <c r="V556" s="1">
        <f>ROUND(Table1[[#This Row],[fmpce]],0)</f>
        <v>5000</v>
      </c>
      <c r="W556">
        <v>68.023319999999998</v>
      </c>
      <c r="X556" s="4">
        <f>Table1[[#This Row],[mpce]]*89</f>
        <v>6054.0754799999995</v>
      </c>
      <c r="Y556" s="2" t="s">
        <v>28</v>
      </c>
      <c r="Z556" s="3">
        <f>VLOOKUP(Y556, rmpce_reference!$B$1:$D$7,3,FALSE) * 89</f>
        <v>6230</v>
      </c>
      <c r="AA556" s="1" t="str">
        <f>IF(Table1[rmpce_inr]&lt;=rmpce_reference!$F$2, "Low Income", IF(Table1[rmpce_inr]&lt;=rmpce_reference!$F$3, "Middle Income", "High Income"))</f>
        <v>Middle Income</v>
      </c>
    </row>
    <row r="557" spans="1:27" x14ac:dyDescent="0.25">
      <c r="A557">
        <v>3100</v>
      </c>
      <c r="B557" t="s">
        <v>40</v>
      </c>
      <c r="C557" t="s">
        <v>21</v>
      </c>
      <c r="D557">
        <v>45</v>
      </c>
      <c r="E557" t="s">
        <v>25</v>
      </c>
      <c r="F557" t="s">
        <v>23</v>
      </c>
      <c r="G557">
        <v>0</v>
      </c>
      <c r="H557" s="1" t="str">
        <f>IF(Table1[[#This Row],[anxiety_score]]&lt;=10, "Normal", IF(Table1[[#This Row],[anxiety_score]]&lt;=20, "Moderate", IF(Table1[[#This Row],[anxiety_score]]&lt;=30, "Severe", "Extremely Severe")))</f>
        <v>Normal</v>
      </c>
      <c r="I557">
        <v>-1.0134224999999999</v>
      </c>
      <c r="J557">
        <v>6</v>
      </c>
      <c r="K557" s="1" t="str">
        <f>IF(Table1[[#This Row],[stress_score]]&lt;=10, "Normal", IF(Table1[[#This Row],[stress_score]]&lt;=20, "Moderate", IF(Table1[[#This Row],[stress_score]]&lt;=30, "Severe", "Extremely Severe")))</f>
        <v>Normal</v>
      </c>
      <c r="L557">
        <v>-0.57848745999999995</v>
      </c>
      <c r="M557">
        <v>14</v>
      </c>
      <c r="N557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557">
        <v>0.23962580999999999</v>
      </c>
      <c r="P557">
        <v>6.6666664999999998</v>
      </c>
      <c r="Q557">
        <f>ROUND(Table1[[#This Row],[dass21_raw_score]],0)</f>
        <v>7</v>
      </c>
      <c r="R557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557">
        <v>-0.45076137999999999</v>
      </c>
      <c r="T557">
        <v>0.64414850000000001</v>
      </c>
      <c r="U557">
        <v>5000</v>
      </c>
      <c r="V557" s="1">
        <f>ROUND(Table1[[#This Row],[fmpce]],0)</f>
        <v>5000</v>
      </c>
      <c r="W557">
        <v>68.023319999999998</v>
      </c>
      <c r="X557" s="4">
        <f>Table1[[#This Row],[mpce]]*89</f>
        <v>6054.0754799999995</v>
      </c>
      <c r="Y557" s="2" t="s">
        <v>28</v>
      </c>
      <c r="Z557" s="3">
        <f>VLOOKUP(Y557, rmpce_reference!$B$1:$D$7,3,FALSE) * 89</f>
        <v>6230</v>
      </c>
      <c r="AA557" s="1" t="str">
        <f>IF(Table1[rmpce_inr]&lt;=rmpce_reference!$F$2, "Low Income", IF(Table1[rmpce_inr]&lt;=rmpce_reference!$F$3, "Middle Income", "High Income"))</f>
        <v>Middle Income</v>
      </c>
    </row>
    <row r="558" spans="1:27" x14ac:dyDescent="0.25">
      <c r="A558">
        <v>3101</v>
      </c>
      <c r="B558" t="s">
        <v>40</v>
      </c>
      <c r="C558" t="s">
        <v>29</v>
      </c>
      <c r="D558">
        <v>32</v>
      </c>
      <c r="E558" t="s">
        <v>22</v>
      </c>
      <c r="F558" t="s">
        <v>30</v>
      </c>
      <c r="G558">
        <v>4</v>
      </c>
      <c r="H558" s="1" t="str">
        <f>IF(Table1[[#This Row],[anxiety_score]]&lt;=10, "Normal", IF(Table1[[#This Row],[anxiety_score]]&lt;=20, "Moderate", IF(Table1[[#This Row],[anxiety_score]]&lt;=30, "Severe", "Extremely Severe")))</f>
        <v>Normal</v>
      </c>
      <c r="I558">
        <v>-0.61133329999999997</v>
      </c>
      <c r="J558">
        <v>14</v>
      </c>
      <c r="K558" s="1" t="str">
        <f>IF(Table1[[#This Row],[stress_score]]&lt;=10, "Normal", IF(Table1[[#This Row],[stress_score]]&lt;=20, "Moderate", IF(Table1[[#This Row],[stress_score]]&lt;=30, "Severe", "Extremely Severe")))</f>
        <v>Moderate</v>
      </c>
      <c r="L558">
        <v>0.20015757000000001</v>
      </c>
      <c r="M558">
        <v>4</v>
      </c>
      <c r="N558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558">
        <v>-0.72356116999999998</v>
      </c>
      <c r="P558">
        <v>7.3333335000000002</v>
      </c>
      <c r="Q558">
        <f>ROUND(Table1[[#This Row],[dass21_raw_score]],0)</f>
        <v>7</v>
      </c>
      <c r="R558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558">
        <v>-0.37824564999999999</v>
      </c>
      <c r="T558">
        <v>0.71666425</v>
      </c>
      <c r="U558">
        <v>11666.666999999999</v>
      </c>
      <c r="V558" s="1">
        <f>ROUND(Table1[[#This Row],[fmpce]],0)</f>
        <v>11667</v>
      </c>
      <c r="W558">
        <v>158.72110000000001</v>
      </c>
      <c r="X558" s="4">
        <f>Table1[[#This Row],[mpce]]*89</f>
        <v>14126.177900000001</v>
      </c>
      <c r="Y558" s="2" t="s">
        <v>35</v>
      </c>
      <c r="Z558" s="3">
        <f>VLOOKUP(Y558, rmpce_reference!$B$1:$D$7,3,FALSE) * 89</f>
        <v>9790</v>
      </c>
      <c r="AA558" s="1" t="str">
        <f>IF(Table1[rmpce_inr]&lt;=rmpce_reference!$F$2, "Low Income", IF(Table1[rmpce_inr]&lt;=rmpce_reference!$F$3, "Middle Income", "High Income"))</f>
        <v>High Income</v>
      </c>
    </row>
    <row r="559" spans="1:27" x14ac:dyDescent="0.25">
      <c r="A559">
        <v>3102</v>
      </c>
      <c r="B559" t="s">
        <v>40</v>
      </c>
      <c r="C559" t="s">
        <v>29</v>
      </c>
      <c r="D559">
        <v>35</v>
      </c>
      <c r="E559" t="s">
        <v>22</v>
      </c>
      <c r="F559" t="s">
        <v>23</v>
      </c>
      <c r="G559">
        <v>4</v>
      </c>
      <c r="H559" s="1" t="str">
        <f>IF(Table1[[#This Row],[anxiety_score]]&lt;=10, "Normal", IF(Table1[[#This Row],[anxiety_score]]&lt;=20, "Moderate", IF(Table1[[#This Row],[anxiety_score]]&lt;=30, "Severe", "Extremely Severe")))</f>
        <v>Normal</v>
      </c>
      <c r="I559">
        <v>-0.61133329999999997</v>
      </c>
      <c r="J559">
        <v>4</v>
      </c>
      <c r="K559" s="1" t="str">
        <f>IF(Table1[[#This Row],[stress_score]]&lt;=10, "Normal", IF(Table1[[#This Row],[stress_score]]&lt;=20, "Moderate", IF(Table1[[#This Row],[stress_score]]&lt;=30, "Severe", "Extremely Severe")))</f>
        <v>Normal</v>
      </c>
      <c r="L559">
        <v>-0.77314866000000004</v>
      </c>
      <c r="M559">
        <v>4</v>
      </c>
      <c r="N559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559">
        <v>-0.72356116999999998</v>
      </c>
      <c r="P559">
        <v>4</v>
      </c>
      <c r="Q559">
        <f>ROUND(Table1[[#This Row],[dass21_raw_score]],0)</f>
        <v>4</v>
      </c>
      <c r="R559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559">
        <v>-0.70268105999999997</v>
      </c>
      <c r="T559">
        <v>0.39222884000000002</v>
      </c>
      <c r="U559">
        <v>3750</v>
      </c>
      <c r="V559" s="1">
        <f>ROUND(Table1[[#This Row],[fmpce]],0)</f>
        <v>3750</v>
      </c>
      <c r="W559">
        <v>51.017493999999999</v>
      </c>
      <c r="X559" s="4">
        <f>Table1[[#This Row],[mpce]]*89</f>
        <v>4540.5569660000001</v>
      </c>
      <c r="Y559" s="2" t="s">
        <v>32</v>
      </c>
      <c r="Z559" s="3">
        <f>VLOOKUP(Y559, rmpce_reference!$B$1:$D$7,3,FALSE) * 89</f>
        <v>4450</v>
      </c>
      <c r="AA559" s="1" t="str">
        <f>IF(Table1[rmpce_inr]&lt;=rmpce_reference!$F$2, "Low Income", IF(Table1[rmpce_inr]&lt;=rmpce_reference!$F$3, "Middle Income", "High Income"))</f>
        <v>Low Income</v>
      </c>
    </row>
    <row r="560" spans="1:27" x14ac:dyDescent="0.25">
      <c r="A560">
        <v>3103</v>
      </c>
      <c r="B560" t="s">
        <v>40</v>
      </c>
      <c r="C560" t="s">
        <v>29</v>
      </c>
      <c r="D560">
        <v>40</v>
      </c>
      <c r="E560" t="s">
        <v>22</v>
      </c>
      <c r="F560" t="s">
        <v>30</v>
      </c>
      <c r="G560">
        <v>0</v>
      </c>
      <c r="H560" s="1" t="str">
        <f>IF(Table1[[#This Row],[anxiety_score]]&lt;=10, "Normal", IF(Table1[[#This Row],[anxiety_score]]&lt;=20, "Moderate", IF(Table1[[#This Row],[anxiety_score]]&lt;=30, "Severe", "Extremely Severe")))</f>
        <v>Normal</v>
      </c>
      <c r="I560">
        <v>-1.0134224999999999</v>
      </c>
      <c r="J560">
        <v>4</v>
      </c>
      <c r="K560" s="1" t="str">
        <f>IF(Table1[[#This Row],[stress_score]]&lt;=10, "Normal", IF(Table1[[#This Row],[stress_score]]&lt;=20, "Moderate", IF(Table1[[#This Row],[stress_score]]&lt;=30, "Severe", "Extremely Severe")))</f>
        <v>Normal</v>
      </c>
      <c r="L560">
        <v>-0.77314866000000004</v>
      </c>
      <c r="M560">
        <v>6</v>
      </c>
      <c r="N560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560">
        <v>-0.53092379999999995</v>
      </c>
      <c r="P560">
        <v>3.3333333000000001</v>
      </c>
      <c r="Q560">
        <f>ROUND(Table1[[#This Row],[dass21_raw_score]],0)</f>
        <v>3</v>
      </c>
      <c r="R560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560">
        <v>-0.77249829999999997</v>
      </c>
      <c r="T560">
        <v>0.32241160000000002</v>
      </c>
      <c r="U560">
        <v>5000</v>
      </c>
      <c r="V560" s="1">
        <f>ROUND(Table1[[#This Row],[fmpce]],0)</f>
        <v>5000</v>
      </c>
      <c r="W560">
        <v>68.023319999999998</v>
      </c>
      <c r="X560" s="4">
        <f>Table1[[#This Row],[mpce]]*89</f>
        <v>6054.0754799999995</v>
      </c>
      <c r="Y560" s="2" t="s">
        <v>28</v>
      </c>
      <c r="Z560" s="3">
        <f>VLOOKUP(Y560, rmpce_reference!$B$1:$D$7,3,FALSE) * 89</f>
        <v>6230</v>
      </c>
      <c r="AA560" s="1" t="str">
        <f>IF(Table1[rmpce_inr]&lt;=rmpce_reference!$F$2, "Low Income", IF(Table1[rmpce_inr]&lt;=rmpce_reference!$F$3, "Middle Income", "High Income"))</f>
        <v>Middle Income</v>
      </c>
    </row>
    <row r="561" spans="1:27" x14ac:dyDescent="0.25">
      <c r="A561">
        <v>3104</v>
      </c>
      <c r="B561" t="s">
        <v>40</v>
      </c>
      <c r="C561" t="s">
        <v>29</v>
      </c>
      <c r="D561">
        <v>36</v>
      </c>
      <c r="E561" t="s">
        <v>22</v>
      </c>
      <c r="F561" t="s">
        <v>23</v>
      </c>
      <c r="G561">
        <v>10</v>
      </c>
      <c r="H561" s="1" t="str">
        <f>IF(Table1[[#This Row],[anxiety_score]]&lt;=10, "Normal", IF(Table1[[#This Row],[anxiety_score]]&lt;=20, "Moderate", IF(Table1[[#This Row],[anxiety_score]]&lt;=30, "Severe", "Extremely Severe")))</f>
        <v>Normal</v>
      </c>
      <c r="I561">
        <v>-8.1994660000000007E-3</v>
      </c>
      <c r="J561">
        <v>22</v>
      </c>
      <c r="K561" s="1" t="str">
        <f>IF(Table1[[#This Row],[stress_score]]&lt;=10, "Normal", IF(Table1[[#This Row],[stress_score]]&lt;=20, "Moderate", IF(Table1[[#This Row],[stress_score]]&lt;=30, "Severe", "Extremely Severe")))</f>
        <v>Severe</v>
      </c>
      <c r="L561">
        <v>0.97880255999999999</v>
      </c>
      <c r="M561">
        <v>20</v>
      </c>
      <c r="N561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561">
        <v>0.81753799999999999</v>
      </c>
      <c r="P561">
        <v>17.333334000000001</v>
      </c>
      <c r="Q561">
        <f>ROUND(Table1[[#This Row],[dass21_raw_score]],0)</f>
        <v>17</v>
      </c>
      <c r="R561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561">
        <v>0.59604703999999997</v>
      </c>
      <c r="T561">
        <v>1.690957</v>
      </c>
      <c r="U561">
        <v>5000</v>
      </c>
      <c r="V561" s="1">
        <f>ROUND(Table1[[#This Row],[fmpce]],0)</f>
        <v>5000</v>
      </c>
      <c r="W561">
        <v>68.023319999999998</v>
      </c>
      <c r="X561" s="4">
        <f>Table1[[#This Row],[mpce]]*89</f>
        <v>6054.0754799999995</v>
      </c>
      <c r="Y561" s="2" t="s">
        <v>28</v>
      </c>
      <c r="Z561" s="3">
        <f>VLOOKUP(Y561, rmpce_reference!$B$1:$D$7,3,FALSE) * 89</f>
        <v>6230</v>
      </c>
      <c r="AA561" s="1" t="str">
        <f>IF(Table1[rmpce_inr]&lt;=rmpce_reference!$F$2, "Low Income", IF(Table1[rmpce_inr]&lt;=rmpce_reference!$F$3, "Middle Income", "High Income"))</f>
        <v>Middle Income</v>
      </c>
    </row>
    <row r="562" spans="1:27" x14ac:dyDescent="0.25">
      <c r="A562">
        <v>3105</v>
      </c>
      <c r="B562" t="s">
        <v>40</v>
      </c>
      <c r="C562" t="s">
        <v>33</v>
      </c>
      <c r="D562">
        <v>30</v>
      </c>
      <c r="E562" t="s">
        <v>25</v>
      </c>
      <c r="F562" t="s">
        <v>26</v>
      </c>
      <c r="G562">
        <v>32</v>
      </c>
      <c r="H562" s="1" t="str">
        <f>IF(Table1[[#This Row],[anxiety_score]]&lt;=10, "Normal", IF(Table1[[#This Row],[anxiety_score]]&lt;=20, "Moderate", IF(Table1[[#This Row],[anxiety_score]]&lt;=30, "Severe", "Extremely Severe")))</f>
        <v>Extremely Severe</v>
      </c>
      <c r="I562">
        <v>2.2032911999999998</v>
      </c>
      <c r="J562">
        <v>34</v>
      </c>
      <c r="K562" s="1" t="str">
        <f>IF(Table1[[#This Row],[stress_score]]&lt;=10, "Normal", IF(Table1[[#This Row],[stress_score]]&lt;=20, "Moderate", IF(Table1[[#This Row],[stress_score]]&lt;=30, "Severe", "Extremely Severe")))</f>
        <v>Extremely Severe</v>
      </c>
      <c r="L562">
        <v>2.1467700000000001</v>
      </c>
      <c r="M562">
        <v>30</v>
      </c>
      <c r="N562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562">
        <v>1.7807249999999999</v>
      </c>
      <c r="P562">
        <v>32</v>
      </c>
      <c r="Q562">
        <f>ROUND(Table1[[#This Row],[dass21_raw_score]],0)</f>
        <v>32</v>
      </c>
      <c r="R562" s="1" t="str">
        <f>IF(Table1[[#This Row],[round_dass21_raw_score]]&lt;=10, "Normal", IF(Table1[[#This Row],[round_dass21_raw_score]]&lt;=20, "Moderate", IF(Table1[[#This Row],[round_dass21_raw_score]]&lt;=30, "Severe", "Extremely Severe")))</f>
        <v>Extremely Severe</v>
      </c>
      <c r="S562">
        <v>2.0435952999999998</v>
      </c>
      <c r="T562">
        <v>3.1385052</v>
      </c>
      <c r="U562">
        <v>5500</v>
      </c>
      <c r="V562" s="1">
        <f>ROUND(Table1[[#This Row],[fmpce]],0)</f>
        <v>5500</v>
      </c>
      <c r="W562">
        <v>74.825649999999996</v>
      </c>
      <c r="X562" s="4">
        <f>Table1[[#This Row],[mpce]]*89</f>
        <v>6659.4828499999994</v>
      </c>
      <c r="Y562" s="2" t="s">
        <v>28</v>
      </c>
      <c r="Z562" s="3">
        <f>VLOOKUP(Y562, rmpce_reference!$B$1:$D$7,3,FALSE) * 89</f>
        <v>6230</v>
      </c>
      <c r="AA562" s="1" t="str">
        <f>IF(Table1[rmpce_inr]&lt;=rmpce_reference!$F$2, "Low Income", IF(Table1[rmpce_inr]&lt;=rmpce_reference!$F$3, "Middle Income", "High Income"))</f>
        <v>Middle Income</v>
      </c>
    </row>
    <row r="563" spans="1:27" x14ac:dyDescent="0.25">
      <c r="A563">
        <v>3106</v>
      </c>
      <c r="B563" t="s">
        <v>40</v>
      </c>
      <c r="C563" t="s">
        <v>29</v>
      </c>
      <c r="D563">
        <v>34</v>
      </c>
      <c r="E563" t="s">
        <v>22</v>
      </c>
      <c r="F563" t="s">
        <v>30</v>
      </c>
      <c r="G563">
        <v>10</v>
      </c>
      <c r="H563" s="1" t="str">
        <f>IF(Table1[[#This Row],[anxiety_score]]&lt;=10, "Normal", IF(Table1[[#This Row],[anxiety_score]]&lt;=20, "Moderate", IF(Table1[[#This Row],[anxiety_score]]&lt;=30, "Severe", "Extremely Severe")))</f>
        <v>Normal</v>
      </c>
      <c r="I563">
        <v>-8.1994660000000007E-3</v>
      </c>
      <c r="J563">
        <v>30</v>
      </c>
      <c r="K563" s="1" t="str">
        <f>IF(Table1[[#This Row],[stress_score]]&lt;=10, "Normal", IF(Table1[[#This Row],[stress_score]]&lt;=20, "Moderate", IF(Table1[[#This Row],[stress_score]]&lt;=30, "Severe", "Extremely Severe")))</f>
        <v>Severe</v>
      </c>
      <c r="L563">
        <v>1.7574476000000001</v>
      </c>
      <c r="M563">
        <v>20</v>
      </c>
      <c r="N563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563">
        <v>0.81753799999999999</v>
      </c>
      <c r="P563">
        <v>20</v>
      </c>
      <c r="Q563">
        <f>ROUND(Table1[[#This Row],[dass21_raw_score]],0)</f>
        <v>20</v>
      </c>
      <c r="R563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563">
        <v>0.85559540000000001</v>
      </c>
      <c r="T563">
        <v>1.9505053000000001</v>
      </c>
      <c r="U563">
        <v>5000</v>
      </c>
      <c r="V563" s="1">
        <f>ROUND(Table1[[#This Row],[fmpce]],0)</f>
        <v>5000</v>
      </c>
      <c r="W563">
        <v>68.023319999999998</v>
      </c>
      <c r="X563" s="4">
        <f>Table1[[#This Row],[mpce]]*89</f>
        <v>6054.0754799999995</v>
      </c>
      <c r="Y563" s="2" t="s">
        <v>28</v>
      </c>
      <c r="Z563" s="3">
        <f>VLOOKUP(Y563, rmpce_reference!$B$1:$D$7,3,FALSE) * 89</f>
        <v>6230</v>
      </c>
      <c r="AA563" s="1" t="str">
        <f>IF(Table1[rmpce_inr]&lt;=rmpce_reference!$F$2, "Low Income", IF(Table1[rmpce_inr]&lt;=rmpce_reference!$F$3, "Middle Income", "High Income"))</f>
        <v>Middle Income</v>
      </c>
    </row>
    <row r="564" spans="1:27" x14ac:dyDescent="0.25">
      <c r="A564">
        <v>3107</v>
      </c>
      <c r="B564" t="s">
        <v>40</v>
      </c>
      <c r="C564" t="s">
        <v>21</v>
      </c>
      <c r="D564">
        <v>43</v>
      </c>
      <c r="E564" t="s">
        <v>22</v>
      </c>
      <c r="F564" t="s">
        <v>23</v>
      </c>
      <c r="G564">
        <v>4</v>
      </c>
      <c r="H564" s="1" t="str">
        <f>IF(Table1[[#This Row],[anxiety_score]]&lt;=10, "Normal", IF(Table1[[#This Row],[anxiety_score]]&lt;=20, "Moderate", IF(Table1[[#This Row],[anxiety_score]]&lt;=30, "Severe", "Extremely Severe")))</f>
        <v>Normal</v>
      </c>
      <c r="I564">
        <v>-0.61133329999999997</v>
      </c>
      <c r="J564">
        <v>4</v>
      </c>
      <c r="K564" s="1" t="str">
        <f>IF(Table1[[#This Row],[stress_score]]&lt;=10, "Normal", IF(Table1[[#This Row],[stress_score]]&lt;=20, "Moderate", IF(Table1[[#This Row],[stress_score]]&lt;=30, "Severe", "Extremely Severe")))</f>
        <v>Normal</v>
      </c>
      <c r="L564">
        <v>-0.77314866000000004</v>
      </c>
      <c r="M564">
        <v>14</v>
      </c>
      <c r="N564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564">
        <v>0.23962580999999999</v>
      </c>
      <c r="P564">
        <v>7.3333335000000002</v>
      </c>
      <c r="Q564">
        <f>ROUND(Table1[[#This Row],[dass21_raw_score]],0)</f>
        <v>7</v>
      </c>
      <c r="R564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564">
        <v>-0.38161869999999998</v>
      </c>
      <c r="T564">
        <v>0.71329116999999997</v>
      </c>
      <c r="U564">
        <v>10000</v>
      </c>
      <c r="V564" s="1">
        <f>ROUND(Table1[[#This Row],[fmpce]],0)</f>
        <v>10000</v>
      </c>
      <c r="W564">
        <v>136.04665</v>
      </c>
      <c r="X564" s="4">
        <f>Table1[[#This Row],[mpce]]*89</f>
        <v>12108.15185</v>
      </c>
      <c r="Y564" s="2" t="s">
        <v>35</v>
      </c>
      <c r="Z564" s="3">
        <f>VLOOKUP(Y564, rmpce_reference!$B$1:$D$7,3,FALSE) * 89</f>
        <v>9790</v>
      </c>
      <c r="AA564" s="1" t="str">
        <f>IF(Table1[rmpce_inr]&lt;=rmpce_reference!$F$2, "Low Income", IF(Table1[rmpce_inr]&lt;=rmpce_reference!$F$3, "Middle Income", "High Income"))</f>
        <v>High Income</v>
      </c>
    </row>
    <row r="565" spans="1:27" x14ac:dyDescent="0.25">
      <c r="A565">
        <v>3108</v>
      </c>
      <c r="B565" t="s">
        <v>40</v>
      </c>
      <c r="C565" t="s">
        <v>33</v>
      </c>
      <c r="D565">
        <v>27</v>
      </c>
      <c r="E565" t="s">
        <v>25</v>
      </c>
      <c r="F565" t="s">
        <v>30</v>
      </c>
      <c r="G565">
        <v>4</v>
      </c>
      <c r="H565" s="1" t="str">
        <f>IF(Table1[[#This Row],[anxiety_score]]&lt;=10, "Normal", IF(Table1[[#This Row],[anxiety_score]]&lt;=20, "Moderate", IF(Table1[[#This Row],[anxiety_score]]&lt;=30, "Severe", "Extremely Severe")))</f>
        <v>Normal</v>
      </c>
      <c r="I565">
        <v>-0.61133329999999997</v>
      </c>
      <c r="J565">
        <v>12</v>
      </c>
      <c r="K565" s="1" t="str">
        <f>IF(Table1[[#This Row],[stress_score]]&lt;=10, "Normal", IF(Table1[[#This Row],[stress_score]]&lt;=20, "Moderate", IF(Table1[[#This Row],[stress_score]]&lt;=30, "Severe", "Extremely Severe")))</f>
        <v>Moderate</v>
      </c>
      <c r="L565">
        <v>5.496318E-3</v>
      </c>
      <c r="M565">
        <v>16</v>
      </c>
      <c r="N565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565">
        <v>0.43226320000000001</v>
      </c>
      <c r="P565">
        <v>10.666667</v>
      </c>
      <c r="Q565">
        <f>ROUND(Table1[[#This Row],[dass21_raw_score]],0)</f>
        <v>11</v>
      </c>
      <c r="R565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565">
        <v>-5.7857930000000002E-2</v>
      </c>
      <c r="T565">
        <v>1.0370519</v>
      </c>
      <c r="U565">
        <v>4375</v>
      </c>
      <c r="V565" s="1">
        <f>ROUND(Table1[[#This Row],[fmpce]],0)</f>
        <v>4375</v>
      </c>
      <c r="W565">
        <v>59.520409999999998</v>
      </c>
      <c r="X565" s="4">
        <f>Table1[[#This Row],[mpce]]*89</f>
        <v>5297.3164900000002</v>
      </c>
      <c r="Y565" s="2" t="s">
        <v>32</v>
      </c>
      <c r="Z565" s="3">
        <f>VLOOKUP(Y565, rmpce_reference!$B$1:$D$7,3,FALSE) * 89</f>
        <v>4450</v>
      </c>
      <c r="AA565" s="1" t="str">
        <f>IF(Table1[rmpce_inr]&lt;=rmpce_reference!$F$2, "Low Income", IF(Table1[rmpce_inr]&lt;=rmpce_reference!$F$3, "Middle Income", "High Income"))</f>
        <v>Low Income</v>
      </c>
    </row>
    <row r="566" spans="1:27" x14ac:dyDescent="0.25">
      <c r="A566">
        <v>3109</v>
      </c>
      <c r="B566" t="s">
        <v>40</v>
      </c>
      <c r="C566" t="s">
        <v>33</v>
      </c>
      <c r="D566">
        <v>30</v>
      </c>
      <c r="E566" t="s">
        <v>25</v>
      </c>
      <c r="F566" t="s">
        <v>30</v>
      </c>
      <c r="G566">
        <v>6</v>
      </c>
      <c r="H566" s="1" t="str">
        <f>IF(Table1[[#This Row],[anxiety_score]]&lt;=10, "Normal", IF(Table1[[#This Row],[anxiety_score]]&lt;=20, "Moderate", IF(Table1[[#This Row],[anxiety_score]]&lt;=30, "Severe", "Extremely Severe")))</f>
        <v>Normal</v>
      </c>
      <c r="I566">
        <v>-0.41028870000000001</v>
      </c>
      <c r="J566">
        <v>10</v>
      </c>
      <c r="K566" s="1" t="str">
        <f>IF(Table1[[#This Row],[stress_score]]&lt;=10, "Normal", IF(Table1[[#This Row],[stress_score]]&lt;=20, "Moderate", IF(Table1[[#This Row],[stress_score]]&lt;=30, "Severe", "Extremely Severe")))</f>
        <v>Normal</v>
      </c>
      <c r="L566">
        <v>-0.18916494</v>
      </c>
      <c r="M566">
        <v>8</v>
      </c>
      <c r="N566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566">
        <v>-0.33828637</v>
      </c>
      <c r="P566">
        <v>8</v>
      </c>
      <c r="Q566">
        <f>ROUND(Table1[[#This Row],[dass21_raw_score]],0)</f>
        <v>8</v>
      </c>
      <c r="R566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566">
        <v>-0.31258000000000002</v>
      </c>
      <c r="T566">
        <v>0.78232990000000002</v>
      </c>
      <c r="U566">
        <v>7500</v>
      </c>
      <c r="V566" s="1">
        <f>ROUND(Table1[[#This Row],[fmpce]],0)</f>
        <v>7500</v>
      </c>
      <c r="W566">
        <v>102.03498999999999</v>
      </c>
      <c r="X566" s="4">
        <f>Table1[[#This Row],[mpce]]*89</f>
        <v>9081.1141099999986</v>
      </c>
      <c r="Y566" s="2" t="s">
        <v>35</v>
      </c>
      <c r="Z566" s="3">
        <f>VLOOKUP(Y566, rmpce_reference!$B$1:$D$7,3,FALSE) * 89</f>
        <v>9790</v>
      </c>
      <c r="AA566" s="1" t="str">
        <f>IF(Table1[rmpce_inr]&lt;=rmpce_reference!$F$2, "Low Income", IF(Table1[rmpce_inr]&lt;=rmpce_reference!$F$3, "Middle Income", "High Income"))</f>
        <v>High Income</v>
      </c>
    </row>
    <row r="567" spans="1:27" x14ac:dyDescent="0.25">
      <c r="A567">
        <v>3110</v>
      </c>
      <c r="B567" t="s">
        <v>40</v>
      </c>
      <c r="C567" t="s">
        <v>33</v>
      </c>
      <c r="D567">
        <v>25</v>
      </c>
      <c r="E567" t="s">
        <v>22</v>
      </c>
      <c r="F567" t="s">
        <v>30</v>
      </c>
      <c r="G567">
        <v>12</v>
      </c>
      <c r="H567" s="1" t="str">
        <f>IF(Table1[[#This Row],[anxiety_score]]&lt;=10, "Normal", IF(Table1[[#This Row],[anxiety_score]]&lt;=20, "Moderate", IF(Table1[[#This Row],[anxiety_score]]&lt;=30, "Severe", "Extremely Severe")))</f>
        <v>Moderate</v>
      </c>
      <c r="I567">
        <v>0.19284514999999999</v>
      </c>
      <c r="J567">
        <v>30</v>
      </c>
      <c r="K567" s="1" t="str">
        <f>IF(Table1[[#This Row],[stress_score]]&lt;=10, "Normal", IF(Table1[[#This Row],[stress_score]]&lt;=20, "Moderate", IF(Table1[[#This Row],[stress_score]]&lt;=30, "Severe", "Extremely Severe")))</f>
        <v>Severe</v>
      </c>
      <c r="L567">
        <v>1.7574476000000001</v>
      </c>
      <c r="M567">
        <v>26</v>
      </c>
      <c r="N567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567">
        <v>1.3954502</v>
      </c>
      <c r="P567">
        <v>22.666665999999999</v>
      </c>
      <c r="Q567">
        <f>ROUND(Table1[[#This Row],[dass21_raw_score]],0)</f>
        <v>23</v>
      </c>
      <c r="R567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567">
        <v>1.1152476</v>
      </c>
      <c r="T567">
        <v>2.2101573999999999</v>
      </c>
      <c r="U567">
        <v>5000</v>
      </c>
      <c r="V567" s="1">
        <f>ROUND(Table1[[#This Row],[fmpce]],0)</f>
        <v>5000</v>
      </c>
      <c r="W567">
        <v>68.023319999999998</v>
      </c>
      <c r="X567" s="4">
        <f>Table1[[#This Row],[mpce]]*89</f>
        <v>6054.0754799999995</v>
      </c>
      <c r="Y567" s="2" t="s">
        <v>28</v>
      </c>
      <c r="Z567" s="3">
        <f>VLOOKUP(Y567, rmpce_reference!$B$1:$D$7,3,FALSE) * 89</f>
        <v>6230</v>
      </c>
      <c r="AA567" s="1" t="str">
        <f>IF(Table1[rmpce_inr]&lt;=rmpce_reference!$F$2, "Low Income", IF(Table1[rmpce_inr]&lt;=rmpce_reference!$F$3, "Middle Income", "High Income"))</f>
        <v>Middle Income</v>
      </c>
    </row>
    <row r="568" spans="1:27" x14ac:dyDescent="0.25">
      <c r="A568">
        <v>3111</v>
      </c>
      <c r="B568" t="s">
        <v>40</v>
      </c>
      <c r="C568" t="s">
        <v>29</v>
      </c>
      <c r="D568">
        <v>36</v>
      </c>
      <c r="E568" t="s">
        <v>22</v>
      </c>
      <c r="F568" t="s">
        <v>23</v>
      </c>
      <c r="G568">
        <v>4</v>
      </c>
      <c r="H568" s="1" t="str">
        <f>IF(Table1[[#This Row],[anxiety_score]]&lt;=10, "Normal", IF(Table1[[#This Row],[anxiety_score]]&lt;=20, "Moderate", IF(Table1[[#This Row],[anxiety_score]]&lt;=30, "Severe", "Extremely Severe")))</f>
        <v>Normal</v>
      </c>
      <c r="I568">
        <v>-0.61133329999999997</v>
      </c>
      <c r="J568">
        <v>6</v>
      </c>
      <c r="K568" s="1" t="str">
        <f>IF(Table1[[#This Row],[stress_score]]&lt;=10, "Normal", IF(Table1[[#This Row],[stress_score]]&lt;=20, "Moderate", IF(Table1[[#This Row],[stress_score]]&lt;=30, "Severe", "Extremely Severe")))</f>
        <v>Normal</v>
      </c>
      <c r="L568">
        <v>-0.57848745999999995</v>
      </c>
      <c r="M568">
        <v>4</v>
      </c>
      <c r="N568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568">
        <v>-0.72356116999999998</v>
      </c>
      <c r="P568">
        <v>4.6666664999999998</v>
      </c>
      <c r="Q568">
        <f>ROUND(Table1[[#This Row],[dass21_raw_score]],0)</f>
        <v>5</v>
      </c>
      <c r="R568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568">
        <v>-0.63779395999999999</v>
      </c>
      <c r="T568">
        <v>0.45711594999999999</v>
      </c>
      <c r="U568">
        <v>6000</v>
      </c>
      <c r="V568" s="1">
        <f>ROUND(Table1[[#This Row],[fmpce]],0)</f>
        <v>6000</v>
      </c>
      <c r="W568">
        <v>81.627989999999997</v>
      </c>
      <c r="X568" s="4">
        <f>Table1[[#This Row],[mpce]]*89</f>
        <v>7264.8911099999996</v>
      </c>
      <c r="Y568" s="2" t="s">
        <v>31</v>
      </c>
      <c r="Z568" s="3">
        <f>VLOOKUP(Y568, rmpce_reference!$B$1:$D$7,3,FALSE) * 89</f>
        <v>8010</v>
      </c>
      <c r="AA568" s="1" t="str">
        <f>IF(Table1[rmpce_inr]&lt;=rmpce_reference!$F$2, "Low Income", IF(Table1[rmpce_inr]&lt;=rmpce_reference!$F$3, "Middle Income", "High Income"))</f>
        <v>High Income</v>
      </c>
    </row>
    <row r="569" spans="1:27" x14ac:dyDescent="0.25">
      <c r="A569">
        <v>3112</v>
      </c>
      <c r="B569" t="s">
        <v>40</v>
      </c>
      <c r="C569" t="s">
        <v>29</v>
      </c>
      <c r="D569">
        <v>34</v>
      </c>
      <c r="E569" t="s">
        <v>25</v>
      </c>
      <c r="F569" t="s">
        <v>30</v>
      </c>
      <c r="G569">
        <v>8</v>
      </c>
      <c r="H569" s="1" t="str">
        <f>IF(Table1[[#This Row],[anxiety_score]]&lt;=10, "Normal", IF(Table1[[#This Row],[anxiety_score]]&lt;=20, "Moderate", IF(Table1[[#This Row],[anxiety_score]]&lt;=30, "Severe", "Extremely Severe")))</f>
        <v>Normal</v>
      </c>
      <c r="I569">
        <v>-0.20924408999999999</v>
      </c>
      <c r="J569">
        <v>4</v>
      </c>
      <c r="K569" s="1" t="str">
        <f>IF(Table1[[#This Row],[stress_score]]&lt;=10, "Normal", IF(Table1[[#This Row],[stress_score]]&lt;=20, "Moderate", IF(Table1[[#This Row],[stress_score]]&lt;=30, "Severe", "Extremely Severe")))</f>
        <v>Normal</v>
      </c>
      <c r="L569">
        <v>-0.77314866000000004</v>
      </c>
      <c r="M569">
        <v>12</v>
      </c>
      <c r="N569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569">
        <v>4.6988415999999998E-2</v>
      </c>
      <c r="P569">
        <v>8</v>
      </c>
      <c r="Q569">
        <f>ROUND(Table1[[#This Row],[dass21_raw_score]],0)</f>
        <v>8</v>
      </c>
      <c r="R569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569">
        <v>-0.31180142999999999</v>
      </c>
      <c r="T569">
        <v>0.78310849999999999</v>
      </c>
      <c r="U569">
        <v>5000</v>
      </c>
      <c r="V569" s="1">
        <f>ROUND(Table1[[#This Row],[fmpce]],0)</f>
        <v>5000</v>
      </c>
      <c r="W569">
        <v>68.023319999999998</v>
      </c>
      <c r="X569" s="4">
        <f>Table1[[#This Row],[mpce]]*89</f>
        <v>6054.0754799999995</v>
      </c>
      <c r="Y569" s="2" t="s">
        <v>28</v>
      </c>
      <c r="Z569" s="3">
        <f>VLOOKUP(Y569, rmpce_reference!$B$1:$D$7,3,FALSE) * 89</f>
        <v>6230</v>
      </c>
      <c r="AA569" s="1" t="str">
        <f>IF(Table1[rmpce_inr]&lt;=rmpce_reference!$F$2, "Low Income", IF(Table1[rmpce_inr]&lt;=rmpce_reference!$F$3, "Middle Income", "High Income"))</f>
        <v>Middle Income</v>
      </c>
    </row>
    <row r="570" spans="1:27" x14ac:dyDescent="0.25">
      <c r="A570">
        <v>3113</v>
      </c>
      <c r="B570" t="s">
        <v>40</v>
      </c>
      <c r="C570" t="s">
        <v>33</v>
      </c>
      <c r="D570">
        <v>27</v>
      </c>
      <c r="E570" t="s">
        <v>25</v>
      </c>
      <c r="F570" t="s">
        <v>26</v>
      </c>
      <c r="G570">
        <v>10</v>
      </c>
      <c r="H570" s="1" t="str">
        <f>IF(Table1[[#This Row],[anxiety_score]]&lt;=10, "Normal", IF(Table1[[#This Row],[anxiety_score]]&lt;=20, "Moderate", IF(Table1[[#This Row],[anxiety_score]]&lt;=30, "Severe", "Extremely Severe")))</f>
        <v>Normal</v>
      </c>
      <c r="I570">
        <v>-8.1994660000000007E-3</v>
      </c>
      <c r="J570">
        <v>6</v>
      </c>
      <c r="K570" s="1" t="str">
        <f>IF(Table1[[#This Row],[stress_score]]&lt;=10, "Normal", IF(Table1[[#This Row],[stress_score]]&lt;=20, "Moderate", IF(Table1[[#This Row],[stress_score]]&lt;=30, "Severe", "Extremely Severe")))</f>
        <v>Normal</v>
      </c>
      <c r="L570">
        <v>-0.57848745999999995</v>
      </c>
      <c r="M570">
        <v>0</v>
      </c>
      <c r="N570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570">
        <v>-1.1088359000000001</v>
      </c>
      <c r="P570">
        <v>5.3333335000000002</v>
      </c>
      <c r="Q570">
        <f>ROUND(Table1[[#This Row],[dass21_raw_score]],0)</f>
        <v>5</v>
      </c>
      <c r="R570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570">
        <v>-0.56517430000000002</v>
      </c>
      <c r="T570">
        <v>0.52973559999999997</v>
      </c>
      <c r="U570">
        <v>5000</v>
      </c>
      <c r="V570" s="1">
        <f>ROUND(Table1[[#This Row],[fmpce]],0)</f>
        <v>5000</v>
      </c>
      <c r="W570">
        <v>68.023319999999998</v>
      </c>
      <c r="X570" s="4">
        <f>Table1[[#This Row],[mpce]]*89</f>
        <v>6054.0754799999995</v>
      </c>
      <c r="Y570" s="2" t="s">
        <v>28</v>
      </c>
      <c r="Z570" s="3">
        <f>VLOOKUP(Y570, rmpce_reference!$B$1:$D$7,3,FALSE) * 89</f>
        <v>6230</v>
      </c>
      <c r="AA570" s="1" t="str">
        <f>IF(Table1[rmpce_inr]&lt;=rmpce_reference!$F$2, "Low Income", IF(Table1[rmpce_inr]&lt;=rmpce_reference!$F$3, "Middle Income", "High Income"))</f>
        <v>Middle Income</v>
      </c>
    </row>
    <row r="571" spans="1:27" x14ac:dyDescent="0.25">
      <c r="A571">
        <v>3114</v>
      </c>
      <c r="B571" t="s">
        <v>40</v>
      </c>
      <c r="C571" t="s">
        <v>33</v>
      </c>
      <c r="D571">
        <v>30</v>
      </c>
      <c r="E571" t="s">
        <v>25</v>
      </c>
      <c r="F571" t="s">
        <v>30</v>
      </c>
      <c r="G571">
        <v>0</v>
      </c>
      <c r="H571" s="1" t="str">
        <f>IF(Table1[[#This Row],[anxiety_score]]&lt;=10, "Normal", IF(Table1[[#This Row],[anxiety_score]]&lt;=20, "Moderate", IF(Table1[[#This Row],[anxiety_score]]&lt;=30, "Severe", "Extremely Severe")))</f>
        <v>Normal</v>
      </c>
      <c r="I571">
        <v>-1.0134224999999999</v>
      </c>
      <c r="J571">
        <v>4</v>
      </c>
      <c r="K571" s="1" t="str">
        <f>IF(Table1[[#This Row],[stress_score]]&lt;=10, "Normal", IF(Table1[[#This Row],[stress_score]]&lt;=20, "Moderate", IF(Table1[[#This Row],[stress_score]]&lt;=30, "Severe", "Extremely Severe")))</f>
        <v>Normal</v>
      </c>
      <c r="L571">
        <v>-0.77314866000000004</v>
      </c>
      <c r="M571">
        <v>2</v>
      </c>
      <c r="N571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571">
        <v>-0.91619854999999994</v>
      </c>
      <c r="P571">
        <v>2</v>
      </c>
      <c r="Q571">
        <f>ROUND(Table1[[#This Row],[dass21_raw_score]],0)</f>
        <v>2</v>
      </c>
      <c r="R571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571">
        <v>-0.90092324999999995</v>
      </c>
      <c r="T571">
        <v>0.19398665000000001</v>
      </c>
      <c r="U571">
        <v>5833.3334999999997</v>
      </c>
      <c r="V571" s="1">
        <f>ROUND(Table1[[#This Row],[fmpce]],0)</f>
        <v>5833</v>
      </c>
      <c r="W571">
        <v>79.360550000000003</v>
      </c>
      <c r="X571" s="4">
        <f>Table1[[#This Row],[mpce]]*89</f>
        <v>7063.0889500000003</v>
      </c>
      <c r="Y571" s="2" t="s">
        <v>28</v>
      </c>
      <c r="Z571" s="3">
        <f>VLOOKUP(Y571, rmpce_reference!$B$1:$D$7,3,FALSE) * 89</f>
        <v>6230</v>
      </c>
      <c r="AA571" s="1" t="str">
        <f>IF(Table1[rmpce_inr]&lt;=rmpce_reference!$F$2, "Low Income", IF(Table1[rmpce_inr]&lt;=rmpce_reference!$F$3, "Middle Income", "High Income"))</f>
        <v>Middle Income</v>
      </c>
    </row>
    <row r="572" spans="1:27" x14ac:dyDescent="0.25">
      <c r="A572">
        <v>3115</v>
      </c>
      <c r="B572" t="s">
        <v>40</v>
      </c>
      <c r="C572" t="s">
        <v>21</v>
      </c>
      <c r="D572">
        <v>48</v>
      </c>
      <c r="E572" t="s">
        <v>25</v>
      </c>
      <c r="F572" t="s">
        <v>27</v>
      </c>
      <c r="G572">
        <v>0</v>
      </c>
      <c r="H572" s="1" t="str">
        <f>IF(Table1[[#This Row],[anxiety_score]]&lt;=10, "Normal", IF(Table1[[#This Row],[anxiety_score]]&lt;=20, "Moderate", IF(Table1[[#This Row],[anxiety_score]]&lt;=30, "Severe", "Extremely Severe")))</f>
        <v>Normal</v>
      </c>
      <c r="I572">
        <v>-1.0134224999999999</v>
      </c>
      <c r="J572">
        <v>2</v>
      </c>
      <c r="K572" s="1" t="str">
        <f>IF(Table1[[#This Row],[stress_score]]&lt;=10, "Normal", IF(Table1[[#This Row],[stress_score]]&lt;=20, "Moderate", IF(Table1[[#This Row],[stress_score]]&lt;=30, "Severe", "Extremely Severe")))</f>
        <v>Normal</v>
      </c>
      <c r="L572">
        <v>-0.9678099</v>
      </c>
      <c r="M572">
        <v>4</v>
      </c>
      <c r="N572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572">
        <v>-0.72356116999999998</v>
      </c>
      <c r="P572">
        <v>2</v>
      </c>
      <c r="Q572">
        <f>ROUND(Table1[[#This Row],[dass21_raw_score]],0)</f>
        <v>2</v>
      </c>
      <c r="R572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572">
        <v>-0.90159785999999997</v>
      </c>
      <c r="T572">
        <v>0.19331205000000001</v>
      </c>
      <c r="U572">
        <v>10000</v>
      </c>
      <c r="V572" s="1">
        <f>ROUND(Table1[[#This Row],[fmpce]],0)</f>
        <v>10000</v>
      </c>
      <c r="W572">
        <v>136.04665</v>
      </c>
      <c r="X572" s="4">
        <f>Table1[[#This Row],[mpce]]*89</f>
        <v>12108.15185</v>
      </c>
      <c r="Y572" s="2" t="s">
        <v>35</v>
      </c>
      <c r="Z572" s="3">
        <f>VLOOKUP(Y572, rmpce_reference!$B$1:$D$7,3,FALSE) * 89</f>
        <v>9790</v>
      </c>
      <c r="AA572" s="1" t="str">
        <f>IF(Table1[rmpce_inr]&lt;=rmpce_reference!$F$2, "Low Income", IF(Table1[rmpce_inr]&lt;=rmpce_reference!$F$3, "Middle Income", "High Income"))</f>
        <v>High Income</v>
      </c>
    </row>
    <row r="573" spans="1:27" x14ac:dyDescent="0.25">
      <c r="A573">
        <v>3116</v>
      </c>
      <c r="B573" t="s">
        <v>40</v>
      </c>
      <c r="C573" t="s">
        <v>21</v>
      </c>
      <c r="D573">
        <v>42</v>
      </c>
      <c r="E573" t="s">
        <v>25</v>
      </c>
      <c r="F573" t="s">
        <v>26</v>
      </c>
      <c r="G573">
        <v>0</v>
      </c>
      <c r="H573" s="1" t="str">
        <f>IF(Table1[[#This Row],[anxiety_score]]&lt;=10, "Normal", IF(Table1[[#This Row],[anxiety_score]]&lt;=20, "Moderate", IF(Table1[[#This Row],[anxiety_score]]&lt;=30, "Severe", "Extremely Severe")))</f>
        <v>Normal</v>
      </c>
      <c r="I573">
        <v>-1.0134224999999999</v>
      </c>
      <c r="J573">
        <v>2</v>
      </c>
      <c r="K573" s="1" t="str">
        <f>IF(Table1[[#This Row],[stress_score]]&lt;=10, "Normal", IF(Table1[[#This Row],[stress_score]]&lt;=20, "Moderate", IF(Table1[[#This Row],[stress_score]]&lt;=30, "Severe", "Extremely Severe")))</f>
        <v>Normal</v>
      </c>
      <c r="L573">
        <v>-0.9678099</v>
      </c>
      <c r="M573">
        <v>2</v>
      </c>
      <c r="N573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573">
        <v>-0.91619854999999994</v>
      </c>
      <c r="P573">
        <v>1.3333333999999999</v>
      </c>
      <c r="Q573">
        <f>ROUND(Table1[[#This Row],[dass21_raw_score]],0)</f>
        <v>1</v>
      </c>
      <c r="R573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573">
        <v>-0.96581030000000001</v>
      </c>
      <c r="T573">
        <v>0.12909961</v>
      </c>
      <c r="U573">
        <v>7500</v>
      </c>
      <c r="V573" s="1">
        <f>ROUND(Table1[[#This Row],[fmpce]],0)</f>
        <v>7500</v>
      </c>
      <c r="W573">
        <v>102.03498999999999</v>
      </c>
      <c r="X573" s="4">
        <f>Table1[[#This Row],[mpce]]*89</f>
        <v>9081.1141099999986</v>
      </c>
      <c r="Y573" s="2" t="s">
        <v>35</v>
      </c>
      <c r="Z573" s="3">
        <f>VLOOKUP(Y573, rmpce_reference!$B$1:$D$7,3,FALSE) * 89</f>
        <v>9790</v>
      </c>
      <c r="AA573" s="1" t="str">
        <f>IF(Table1[rmpce_inr]&lt;=rmpce_reference!$F$2, "Low Income", IF(Table1[rmpce_inr]&lt;=rmpce_reference!$F$3, "Middle Income", "High Income"))</f>
        <v>High Income</v>
      </c>
    </row>
    <row r="574" spans="1:27" x14ac:dyDescent="0.25">
      <c r="A574">
        <v>3117</v>
      </c>
      <c r="B574" t="s">
        <v>40</v>
      </c>
      <c r="C574" t="s">
        <v>21</v>
      </c>
      <c r="D574">
        <v>42</v>
      </c>
      <c r="E574" t="s">
        <v>22</v>
      </c>
      <c r="F574" t="s">
        <v>30</v>
      </c>
      <c r="G574">
        <v>2</v>
      </c>
      <c r="H574" s="1" t="str">
        <f>IF(Table1[[#This Row],[anxiety_score]]&lt;=10, "Normal", IF(Table1[[#This Row],[anxiety_score]]&lt;=20, "Moderate", IF(Table1[[#This Row],[anxiety_score]]&lt;=30, "Severe", "Extremely Severe")))</f>
        <v>Normal</v>
      </c>
      <c r="I574">
        <v>-0.81237789999999999</v>
      </c>
      <c r="J574">
        <v>8</v>
      </c>
      <c r="K574" s="1" t="str">
        <f>IF(Table1[[#This Row],[stress_score]]&lt;=10, "Normal", IF(Table1[[#This Row],[stress_score]]&lt;=20, "Moderate", IF(Table1[[#This Row],[stress_score]]&lt;=30, "Severe", "Extremely Severe")))</f>
        <v>Normal</v>
      </c>
      <c r="L574">
        <v>-0.38382620000000001</v>
      </c>
      <c r="M574">
        <v>4</v>
      </c>
      <c r="N574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574">
        <v>-0.72356116999999998</v>
      </c>
      <c r="P574">
        <v>4.6666664999999998</v>
      </c>
      <c r="Q574">
        <f>ROUND(Table1[[#This Row],[dass21_raw_score]],0)</f>
        <v>5</v>
      </c>
      <c r="R574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574">
        <v>-0.63992179999999999</v>
      </c>
      <c r="T574">
        <v>0.45498812</v>
      </c>
      <c r="U574">
        <v>5000</v>
      </c>
      <c r="V574" s="1">
        <f>ROUND(Table1[[#This Row],[fmpce]],0)</f>
        <v>5000</v>
      </c>
      <c r="W574">
        <v>68.023319999999998</v>
      </c>
      <c r="X574" s="4">
        <f>Table1[[#This Row],[mpce]]*89</f>
        <v>6054.0754799999995</v>
      </c>
      <c r="Y574" s="2" t="s">
        <v>28</v>
      </c>
      <c r="Z574" s="3">
        <f>VLOOKUP(Y574, rmpce_reference!$B$1:$D$7,3,FALSE) * 89</f>
        <v>6230</v>
      </c>
      <c r="AA574" s="1" t="str">
        <f>IF(Table1[rmpce_inr]&lt;=rmpce_reference!$F$2, "Low Income", IF(Table1[rmpce_inr]&lt;=rmpce_reference!$F$3, "Middle Income", "High Income"))</f>
        <v>Middle Income</v>
      </c>
    </row>
    <row r="575" spans="1:27" x14ac:dyDescent="0.25">
      <c r="A575">
        <v>3118</v>
      </c>
      <c r="B575" t="s">
        <v>40</v>
      </c>
      <c r="C575" t="s">
        <v>33</v>
      </c>
      <c r="D575">
        <v>27</v>
      </c>
      <c r="E575" t="s">
        <v>22</v>
      </c>
      <c r="F575" t="s">
        <v>30</v>
      </c>
      <c r="G575">
        <v>4</v>
      </c>
      <c r="H575" s="1" t="str">
        <f>IF(Table1[[#This Row],[anxiety_score]]&lt;=10, "Normal", IF(Table1[[#This Row],[anxiety_score]]&lt;=20, "Moderate", IF(Table1[[#This Row],[anxiety_score]]&lt;=30, "Severe", "Extremely Severe")))</f>
        <v>Normal</v>
      </c>
      <c r="I575">
        <v>-0.61133329999999997</v>
      </c>
      <c r="J575">
        <v>8</v>
      </c>
      <c r="K575" s="1" t="str">
        <f>IF(Table1[[#This Row],[stress_score]]&lt;=10, "Normal", IF(Table1[[#This Row],[stress_score]]&lt;=20, "Moderate", IF(Table1[[#This Row],[stress_score]]&lt;=30, "Severe", "Extremely Severe")))</f>
        <v>Normal</v>
      </c>
      <c r="L575">
        <v>-0.38382620000000001</v>
      </c>
      <c r="M575">
        <v>4</v>
      </c>
      <c r="N575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575">
        <v>-0.72356116999999998</v>
      </c>
      <c r="P575">
        <v>5.3333335000000002</v>
      </c>
      <c r="Q575">
        <f>ROUND(Table1[[#This Row],[dass21_raw_score]],0)</f>
        <v>5</v>
      </c>
      <c r="R575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575">
        <v>-0.5729069</v>
      </c>
      <c r="T575">
        <v>0.52200299999999999</v>
      </c>
      <c r="U575">
        <v>6250</v>
      </c>
      <c r="V575" s="1">
        <f>ROUND(Table1[[#This Row],[fmpce]],0)</f>
        <v>6250</v>
      </c>
      <c r="W575">
        <v>85.029150000000001</v>
      </c>
      <c r="X575" s="4">
        <f>Table1[[#This Row],[mpce]]*89</f>
        <v>7567.5943500000003</v>
      </c>
      <c r="Y575" s="2" t="s">
        <v>31</v>
      </c>
      <c r="Z575" s="3">
        <f>VLOOKUP(Y575, rmpce_reference!$B$1:$D$7,3,FALSE) * 89</f>
        <v>8010</v>
      </c>
      <c r="AA575" s="1" t="str">
        <f>IF(Table1[rmpce_inr]&lt;=rmpce_reference!$F$2, "Low Income", IF(Table1[rmpce_inr]&lt;=rmpce_reference!$F$3, "Middle Income", "High Income"))</f>
        <v>High Income</v>
      </c>
    </row>
    <row r="576" spans="1:27" x14ac:dyDescent="0.25">
      <c r="A576">
        <v>3119</v>
      </c>
      <c r="B576" t="s">
        <v>40</v>
      </c>
      <c r="C576" t="s">
        <v>33</v>
      </c>
      <c r="D576">
        <v>27</v>
      </c>
      <c r="E576" t="s">
        <v>25</v>
      </c>
      <c r="F576" t="s">
        <v>38</v>
      </c>
      <c r="G576">
        <v>0</v>
      </c>
      <c r="H576" s="1" t="str">
        <f>IF(Table1[[#This Row],[anxiety_score]]&lt;=10, "Normal", IF(Table1[[#This Row],[anxiety_score]]&lt;=20, "Moderate", IF(Table1[[#This Row],[anxiety_score]]&lt;=30, "Severe", "Extremely Severe")))</f>
        <v>Normal</v>
      </c>
      <c r="I576">
        <v>-1.0134224999999999</v>
      </c>
      <c r="J576">
        <v>0</v>
      </c>
      <c r="K576" s="1" t="str">
        <f>IF(Table1[[#This Row],[stress_score]]&lt;=10, "Normal", IF(Table1[[#This Row],[stress_score]]&lt;=20, "Moderate", IF(Table1[[#This Row],[stress_score]]&lt;=30, "Severe", "Extremely Severe")))</f>
        <v>Normal</v>
      </c>
      <c r="L576">
        <v>-1.1624711999999999</v>
      </c>
      <c r="M576">
        <v>4</v>
      </c>
      <c r="N576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576">
        <v>-0.72356116999999998</v>
      </c>
      <c r="P576">
        <v>1.3333333999999999</v>
      </c>
      <c r="Q576">
        <f>ROUND(Table1[[#This Row],[dass21_raw_score]],0)</f>
        <v>1</v>
      </c>
      <c r="R576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576">
        <v>-0.96648495999999995</v>
      </c>
      <c r="T576">
        <v>0.12842493999999999</v>
      </c>
      <c r="U576">
        <v>10000</v>
      </c>
      <c r="V576" s="1">
        <f>ROUND(Table1[[#This Row],[fmpce]],0)</f>
        <v>10000</v>
      </c>
      <c r="W576">
        <v>136.04665</v>
      </c>
      <c r="X576" s="4">
        <f>Table1[[#This Row],[mpce]]*89</f>
        <v>12108.15185</v>
      </c>
      <c r="Y576" s="2" t="s">
        <v>35</v>
      </c>
      <c r="Z576" s="3">
        <f>VLOOKUP(Y576, rmpce_reference!$B$1:$D$7,3,FALSE) * 89</f>
        <v>9790</v>
      </c>
      <c r="AA576" s="1" t="str">
        <f>IF(Table1[rmpce_inr]&lt;=rmpce_reference!$F$2, "Low Income", IF(Table1[rmpce_inr]&lt;=rmpce_reference!$F$3, "Middle Income", "High Income"))</f>
        <v>High Income</v>
      </c>
    </row>
    <row r="577" spans="1:27" x14ac:dyDescent="0.25">
      <c r="A577">
        <v>3120</v>
      </c>
      <c r="B577" t="s">
        <v>40</v>
      </c>
      <c r="C577" t="s">
        <v>33</v>
      </c>
      <c r="D577">
        <v>25</v>
      </c>
      <c r="E577" t="s">
        <v>25</v>
      </c>
      <c r="F577" t="s">
        <v>30</v>
      </c>
      <c r="G577">
        <v>0</v>
      </c>
      <c r="H577" s="1" t="str">
        <f>IF(Table1[[#This Row],[anxiety_score]]&lt;=10, "Normal", IF(Table1[[#This Row],[anxiety_score]]&lt;=20, "Moderate", IF(Table1[[#This Row],[anxiety_score]]&lt;=30, "Severe", "Extremely Severe")))</f>
        <v>Normal</v>
      </c>
      <c r="I577">
        <v>-1.0134224999999999</v>
      </c>
      <c r="J577">
        <v>0</v>
      </c>
      <c r="K577" s="1" t="str">
        <f>IF(Table1[[#This Row],[stress_score]]&lt;=10, "Normal", IF(Table1[[#This Row],[stress_score]]&lt;=20, "Moderate", IF(Table1[[#This Row],[stress_score]]&lt;=30, "Severe", "Extremely Severe")))</f>
        <v>Normal</v>
      </c>
      <c r="L577">
        <v>-1.1624711999999999</v>
      </c>
      <c r="M577">
        <v>2</v>
      </c>
      <c r="N577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577">
        <v>-0.91619854999999994</v>
      </c>
      <c r="P577">
        <v>0.66666669999999995</v>
      </c>
      <c r="Q577">
        <f>ROUND(Table1[[#This Row],[dass21_raw_score]],0)</f>
        <v>1</v>
      </c>
      <c r="R577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577">
        <v>-1.0306972999999999</v>
      </c>
      <c r="T577">
        <v>6.4212560000000002E-2</v>
      </c>
      <c r="U577">
        <v>10000</v>
      </c>
      <c r="V577" s="1">
        <f>ROUND(Table1[[#This Row],[fmpce]],0)</f>
        <v>10000</v>
      </c>
      <c r="W577">
        <v>136.04665</v>
      </c>
      <c r="X577" s="4">
        <f>Table1[[#This Row],[mpce]]*89</f>
        <v>12108.15185</v>
      </c>
      <c r="Y577" s="2" t="s">
        <v>35</v>
      </c>
      <c r="Z577" s="3">
        <f>VLOOKUP(Y577, rmpce_reference!$B$1:$D$7,3,FALSE) * 89</f>
        <v>9790</v>
      </c>
      <c r="AA577" s="1" t="str">
        <f>IF(Table1[rmpce_inr]&lt;=rmpce_reference!$F$2, "Low Income", IF(Table1[rmpce_inr]&lt;=rmpce_reference!$F$3, "Middle Income", "High Income"))</f>
        <v>High Income</v>
      </c>
    </row>
    <row r="578" spans="1:27" x14ac:dyDescent="0.25">
      <c r="A578">
        <v>3121</v>
      </c>
      <c r="B578" t="s">
        <v>40</v>
      </c>
      <c r="C578" t="s">
        <v>21</v>
      </c>
      <c r="D578">
        <v>50</v>
      </c>
      <c r="E578" t="s">
        <v>25</v>
      </c>
      <c r="F578" t="s">
        <v>26</v>
      </c>
      <c r="G578">
        <v>2</v>
      </c>
      <c r="H578" s="1" t="str">
        <f>IF(Table1[[#This Row],[anxiety_score]]&lt;=10, "Normal", IF(Table1[[#This Row],[anxiety_score]]&lt;=20, "Moderate", IF(Table1[[#This Row],[anxiety_score]]&lt;=30, "Severe", "Extremely Severe")))</f>
        <v>Normal</v>
      </c>
      <c r="I578">
        <v>-0.81237789999999999</v>
      </c>
      <c r="J578">
        <v>4</v>
      </c>
      <c r="K578" s="1" t="str">
        <f>IF(Table1[[#This Row],[stress_score]]&lt;=10, "Normal", IF(Table1[[#This Row],[stress_score]]&lt;=20, "Moderate", IF(Table1[[#This Row],[stress_score]]&lt;=30, "Severe", "Extremely Severe")))</f>
        <v>Normal</v>
      </c>
      <c r="L578">
        <v>-0.77314866000000004</v>
      </c>
      <c r="M578">
        <v>4</v>
      </c>
      <c r="N578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578">
        <v>-0.72356116999999998</v>
      </c>
      <c r="P578">
        <v>3.3333333000000001</v>
      </c>
      <c r="Q578">
        <f>ROUND(Table1[[#This Row],[dass21_raw_score]],0)</f>
        <v>3</v>
      </c>
      <c r="R578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578">
        <v>-0.76969593999999997</v>
      </c>
      <c r="T578">
        <v>0.32521397000000002</v>
      </c>
      <c r="U578">
        <v>10000</v>
      </c>
      <c r="V578" s="1">
        <f>ROUND(Table1[[#This Row],[fmpce]],0)</f>
        <v>10000</v>
      </c>
      <c r="W578">
        <v>136.04665</v>
      </c>
      <c r="X578" s="4">
        <f>Table1[[#This Row],[mpce]]*89</f>
        <v>12108.15185</v>
      </c>
      <c r="Y578" s="2" t="s">
        <v>35</v>
      </c>
      <c r="Z578" s="3">
        <f>VLOOKUP(Y578, rmpce_reference!$B$1:$D$7,3,FALSE) * 89</f>
        <v>9790</v>
      </c>
      <c r="AA578" s="1" t="str">
        <f>IF(Table1[rmpce_inr]&lt;=rmpce_reference!$F$2, "Low Income", IF(Table1[rmpce_inr]&lt;=rmpce_reference!$F$3, "Middle Income", "High Income"))</f>
        <v>High Income</v>
      </c>
    </row>
    <row r="579" spans="1:27" x14ac:dyDescent="0.25">
      <c r="A579">
        <v>3122</v>
      </c>
      <c r="B579" t="s">
        <v>40</v>
      </c>
      <c r="C579" t="s">
        <v>29</v>
      </c>
      <c r="D579">
        <v>33</v>
      </c>
      <c r="E579" t="s">
        <v>25</v>
      </c>
      <c r="F579" t="s">
        <v>27</v>
      </c>
      <c r="G579">
        <v>0</v>
      </c>
      <c r="H579" s="1" t="str">
        <f>IF(Table1[[#This Row],[anxiety_score]]&lt;=10, "Normal", IF(Table1[[#This Row],[anxiety_score]]&lt;=20, "Moderate", IF(Table1[[#This Row],[anxiety_score]]&lt;=30, "Severe", "Extremely Severe")))</f>
        <v>Normal</v>
      </c>
      <c r="I579">
        <v>-1.0134224999999999</v>
      </c>
      <c r="J579">
        <v>0</v>
      </c>
      <c r="K579" s="1" t="str">
        <f>IF(Table1[[#This Row],[stress_score]]&lt;=10, "Normal", IF(Table1[[#This Row],[stress_score]]&lt;=20, "Moderate", IF(Table1[[#This Row],[stress_score]]&lt;=30, "Severe", "Extremely Severe")))</f>
        <v>Normal</v>
      </c>
      <c r="L579">
        <v>-1.1624711999999999</v>
      </c>
      <c r="M579">
        <v>2</v>
      </c>
      <c r="N579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579">
        <v>-0.91619854999999994</v>
      </c>
      <c r="P579">
        <v>0.66666669999999995</v>
      </c>
      <c r="Q579">
        <f>ROUND(Table1[[#This Row],[dass21_raw_score]],0)</f>
        <v>1</v>
      </c>
      <c r="R579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579">
        <v>-1.0306972999999999</v>
      </c>
      <c r="T579">
        <v>6.4212560000000002E-2</v>
      </c>
      <c r="U579">
        <v>10000</v>
      </c>
      <c r="V579" s="1">
        <f>ROUND(Table1[[#This Row],[fmpce]],0)</f>
        <v>10000</v>
      </c>
      <c r="W579">
        <v>136.04665</v>
      </c>
      <c r="X579" s="4">
        <f>Table1[[#This Row],[mpce]]*89</f>
        <v>12108.15185</v>
      </c>
      <c r="Y579" s="2" t="s">
        <v>35</v>
      </c>
      <c r="Z579" s="3">
        <f>VLOOKUP(Y579, rmpce_reference!$B$1:$D$7,3,FALSE) * 89</f>
        <v>9790</v>
      </c>
      <c r="AA579" s="1" t="str">
        <f>IF(Table1[rmpce_inr]&lt;=rmpce_reference!$F$2, "Low Income", IF(Table1[rmpce_inr]&lt;=rmpce_reference!$F$3, "Middle Income", "High Income"))</f>
        <v>High Income</v>
      </c>
    </row>
    <row r="580" spans="1:27" x14ac:dyDescent="0.25">
      <c r="A580">
        <v>3123</v>
      </c>
      <c r="B580" t="s">
        <v>40</v>
      </c>
      <c r="C580" t="s">
        <v>29</v>
      </c>
      <c r="D580">
        <v>40</v>
      </c>
      <c r="E580" t="s">
        <v>25</v>
      </c>
      <c r="F580" t="s">
        <v>26</v>
      </c>
      <c r="G580">
        <v>2</v>
      </c>
      <c r="H580" s="1" t="str">
        <f>IF(Table1[[#This Row],[anxiety_score]]&lt;=10, "Normal", IF(Table1[[#This Row],[anxiety_score]]&lt;=20, "Moderate", IF(Table1[[#This Row],[anxiety_score]]&lt;=30, "Severe", "Extremely Severe")))</f>
        <v>Normal</v>
      </c>
      <c r="I580">
        <v>-0.81237789999999999</v>
      </c>
      <c r="J580">
        <v>6</v>
      </c>
      <c r="K580" s="1" t="str">
        <f>IF(Table1[[#This Row],[stress_score]]&lt;=10, "Normal", IF(Table1[[#This Row],[stress_score]]&lt;=20, "Moderate", IF(Table1[[#This Row],[stress_score]]&lt;=30, "Severe", "Extremely Severe")))</f>
        <v>Normal</v>
      </c>
      <c r="L580">
        <v>-0.57848745999999995</v>
      </c>
      <c r="M580">
        <v>4</v>
      </c>
      <c r="N580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580">
        <v>-0.72356116999999998</v>
      </c>
      <c r="P580">
        <v>4</v>
      </c>
      <c r="Q580">
        <f>ROUND(Table1[[#This Row],[dass21_raw_score]],0)</f>
        <v>4</v>
      </c>
      <c r="R580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580">
        <v>-0.70480883000000005</v>
      </c>
      <c r="T580">
        <v>0.39010107999999999</v>
      </c>
      <c r="U580">
        <v>5000</v>
      </c>
      <c r="V580" s="1">
        <f>ROUND(Table1[[#This Row],[fmpce]],0)</f>
        <v>5000</v>
      </c>
      <c r="W580">
        <v>68.023319999999998</v>
      </c>
      <c r="X580" s="4">
        <f>Table1[[#This Row],[mpce]]*89</f>
        <v>6054.0754799999995</v>
      </c>
      <c r="Y580" s="2" t="s">
        <v>28</v>
      </c>
      <c r="Z580" s="3">
        <f>VLOOKUP(Y580, rmpce_reference!$B$1:$D$7,3,FALSE) * 89</f>
        <v>6230</v>
      </c>
      <c r="AA580" s="1" t="str">
        <f>IF(Table1[rmpce_inr]&lt;=rmpce_reference!$F$2, "Low Income", IF(Table1[rmpce_inr]&lt;=rmpce_reference!$F$3, "Middle Income", "High Income"))</f>
        <v>Middle Income</v>
      </c>
    </row>
    <row r="581" spans="1:27" x14ac:dyDescent="0.25">
      <c r="A581">
        <v>3124</v>
      </c>
      <c r="B581" t="s">
        <v>40</v>
      </c>
      <c r="C581" t="s">
        <v>33</v>
      </c>
      <c r="D581">
        <v>27</v>
      </c>
      <c r="E581" t="s">
        <v>25</v>
      </c>
      <c r="F581" t="s">
        <v>30</v>
      </c>
      <c r="G581">
        <v>0</v>
      </c>
      <c r="H581" s="1" t="str">
        <f>IF(Table1[[#This Row],[anxiety_score]]&lt;=10, "Normal", IF(Table1[[#This Row],[anxiety_score]]&lt;=20, "Moderate", IF(Table1[[#This Row],[anxiety_score]]&lt;=30, "Severe", "Extremely Severe")))</f>
        <v>Normal</v>
      </c>
      <c r="I581">
        <v>-1.0134224999999999</v>
      </c>
      <c r="J581">
        <v>2</v>
      </c>
      <c r="K581" s="1" t="str">
        <f>IF(Table1[[#This Row],[stress_score]]&lt;=10, "Normal", IF(Table1[[#This Row],[stress_score]]&lt;=20, "Moderate", IF(Table1[[#This Row],[stress_score]]&lt;=30, "Severe", "Extremely Severe")))</f>
        <v>Normal</v>
      </c>
      <c r="L581">
        <v>-0.9678099</v>
      </c>
      <c r="M581">
        <v>0</v>
      </c>
      <c r="N581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581">
        <v>-1.1088359000000001</v>
      </c>
      <c r="P581">
        <v>0.66666669999999995</v>
      </c>
      <c r="Q581">
        <f>ROUND(Table1[[#This Row],[dass21_raw_score]],0)</f>
        <v>1</v>
      </c>
      <c r="R581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581">
        <v>-1.0300227</v>
      </c>
      <c r="T581">
        <v>6.4887165999999996E-2</v>
      </c>
      <c r="U581">
        <v>7500</v>
      </c>
      <c r="V581" s="1">
        <f>ROUND(Table1[[#This Row],[fmpce]],0)</f>
        <v>7500</v>
      </c>
      <c r="W581">
        <v>102.03498999999999</v>
      </c>
      <c r="X581" s="4">
        <f>Table1[[#This Row],[mpce]]*89</f>
        <v>9081.1141099999986</v>
      </c>
      <c r="Y581" s="2" t="s">
        <v>35</v>
      </c>
      <c r="Z581" s="3">
        <f>VLOOKUP(Y581, rmpce_reference!$B$1:$D$7,3,FALSE) * 89</f>
        <v>9790</v>
      </c>
      <c r="AA581" s="1" t="str">
        <f>IF(Table1[rmpce_inr]&lt;=rmpce_reference!$F$2, "Low Income", IF(Table1[rmpce_inr]&lt;=rmpce_reference!$F$3, "Middle Income", "High Income"))</f>
        <v>High Income</v>
      </c>
    </row>
    <row r="582" spans="1:27" x14ac:dyDescent="0.25">
      <c r="A582">
        <v>3125</v>
      </c>
      <c r="B582" t="s">
        <v>40</v>
      </c>
      <c r="C582" t="s">
        <v>29</v>
      </c>
      <c r="D582">
        <v>36</v>
      </c>
      <c r="E582" t="s">
        <v>25</v>
      </c>
      <c r="F582" t="s">
        <v>26</v>
      </c>
      <c r="G582">
        <v>2</v>
      </c>
      <c r="H582" s="1" t="str">
        <f>IF(Table1[[#This Row],[anxiety_score]]&lt;=10, "Normal", IF(Table1[[#This Row],[anxiety_score]]&lt;=20, "Moderate", IF(Table1[[#This Row],[anxiety_score]]&lt;=30, "Severe", "Extremely Severe")))</f>
        <v>Normal</v>
      </c>
      <c r="I582">
        <v>-0.81237789999999999</v>
      </c>
      <c r="J582">
        <v>2</v>
      </c>
      <c r="K582" s="1" t="str">
        <f>IF(Table1[[#This Row],[stress_score]]&lt;=10, "Normal", IF(Table1[[#This Row],[stress_score]]&lt;=20, "Moderate", IF(Table1[[#This Row],[stress_score]]&lt;=30, "Severe", "Extremely Severe")))</f>
        <v>Normal</v>
      </c>
      <c r="L582">
        <v>-0.9678099</v>
      </c>
      <c r="M582">
        <v>0</v>
      </c>
      <c r="N582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582">
        <v>-1.1088359000000001</v>
      </c>
      <c r="P582">
        <v>1.3333333999999999</v>
      </c>
      <c r="Q582">
        <f>ROUND(Table1[[#This Row],[dass21_raw_score]],0)</f>
        <v>1</v>
      </c>
      <c r="R582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582">
        <v>-0.96300790000000003</v>
      </c>
      <c r="T582">
        <v>0.13190198</v>
      </c>
      <c r="U582">
        <v>6666.6665000000003</v>
      </c>
      <c r="V582" s="1">
        <f>ROUND(Table1[[#This Row],[fmpce]],0)</f>
        <v>6667</v>
      </c>
      <c r="W582">
        <v>90.697760000000002</v>
      </c>
      <c r="X582" s="4">
        <f>Table1[[#This Row],[mpce]]*89</f>
        <v>8072.1006400000006</v>
      </c>
      <c r="Y582" s="2" t="s">
        <v>31</v>
      </c>
      <c r="Z582" s="3">
        <f>VLOOKUP(Y582, rmpce_reference!$B$1:$D$7,3,FALSE) * 89</f>
        <v>8010</v>
      </c>
      <c r="AA582" s="1" t="str">
        <f>IF(Table1[rmpce_inr]&lt;=rmpce_reference!$F$2, "Low Income", IF(Table1[rmpce_inr]&lt;=rmpce_reference!$F$3, "Middle Income", "High Income"))</f>
        <v>High Income</v>
      </c>
    </row>
    <row r="583" spans="1:27" x14ac:dyDescent="0.25">
      <c r="A583">
        <v>3126</v>
      </c>
      <c r="B583" t="s">
        <v>40</v>
      </c>
      <c r="C583" t="s">
        <v>33</v>
      </c>
      <c r="D583">
        <v>29</v>
      </c>
      <c r="E583" t="s">
        <v>25</v>
      </c>
      <c r="F583" t="s">
        <v>27</v>
      </c>
      <c r="G583">
        <v>0</v>
      </c>
      <c r="H583" s="1" t="str">
        <f>IF(Table1[[#This Row],[anxiety_score]]&lt;=10, "Normal", IF(Table1[[#This Row],[anxiety_score]]&lt;=20, "Moderate", IF(Table1[[#This Row],[anxiety_score]]&lt;=30, "Severe", "Extremely Severe")))</f>
        <v>Normal</v>
      </c>
      <c r="I583">
        <v>-1.0134224999999999</v>
      </c>
      <c r="J583">
        <v>0</v>
      </c>
      <c r="K583" s="1" t="str">
        <f>IF(Table1[[#This Row],[stress_score]]&lt;=10, "Normal", IF(Table1[[#This Row],[stress_score]]&lt;=20, "Moderate", IF(Table1[[#This Row],[stress_score]]&lt;=30, "Severe", "Extremely Severe")))</f>
        <v>Normal</v>
      </c>
      <c r="L583">
        <v>-1.1624711999999999</v>
      </c>
      <c r="M583">
        <v>4</v>
      </c>
      <c r="N583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583">
        <v>-0.72356116999999998</v>
      </c>
      <c r="P583">
        <v>1.3333333999999999</v>
      </c>
      <c r="Q583">
        <f>ROUND(Table1[[#This Row],[dass21_raw_score]],0)</f>
        <v>1</v>
      </c>
      <c r="R583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583">
        <v>-0.96648495999999995</v>
      </c>
      <c r="T583">
        <v>0.12842493999999999</v>
      </c>
      <c r="U583">
        <v>8750</v>
      </c>
      <c r="V583" s="1">
        <f>ROUND(Table1[[#This Row],[fmpce]],0)</f>
        <v>8750</v>
      </c>
      <c r="W583">
        <v>119.04082</v>
      </c>
      <c r="X583" s="4">
        <f>Table1[[#This Row],[mpce]]*89</f>
        <v>10594.63298</v>
      </c>
      <c r="Y583" s="2" t="s">
        <v>35</v>
      </c>
      <c r="Z583" s="3">
        <f>VLOOKUP(Y583, rmpce_reference!$B$1:$D$7,3,FALSE) * 89</f>
        <v>9790</v>
      </c>
      <c r="AA583" s="1" t="str">
        <f>IF(Table1[rmpce_inr]&lt;=rmpce_reference!$F$2, "Low Income", IF(Table1[rmpce_inr]&lt;=rmpce_reference!$F$3, "Middle Income", "High Income"))</f>
        <v>High Income</v>
      </c>
    </row>
    <row r="584" spans="1:27" x14ac:dyDescent="0.25">
      <c r="A584">
        <v>3127</v>
      </c>
      <c r="B584" t="s">
        <v>40</v>
      </c>
      <c r="C584" t="s">
        <v>33</v>
      </c>
      <c r="D584">
        <v>28</v>
      </c>
      <c r="E584" t="s">
        <v>25</v>
      </c>
      <c r="F584" t="s">
        <v>30</v>
      </c>
      <c r="G584">
        <v>0</v>
      </c>
      <c r="H584" s="1" t="str">
        <f>IF(Table1[[#This Row],[anxiety_score]]&lt;=10, "Normal", IF(Table1[[#This Row],[anxiety_score]]&lt;=20, "Moderate", IF(Table1[[#This Row],[anxiety_score]]&lt;=30, "Severe", "Extremely Severe")))</f>
        <v>Normal</v>
      </c>
      <c r="I584">
        <v>-1.0134224999999999</v>
      </c>
      <c r="J584">
        <v>2</v>
      </c>
      <c r="K584" s="1" t="str">
        <f>IF(Table1[[#This Row],[stress_score]]&lt;=10, "Normal", IF(Table1[[#This Row],[stress_score]]&lt;=20, "Moderate", IF(Table1[[#This Row],[stress_score]]&lt;=30, "Severe", "Extremely Severe")))</f>
        <v>Normal</v>
      </c>
      <c r="L584">
        <v>-0.9678099</v>
      </c>
      <c r="M584">
        <v>2</v>
      </c>
      <c r="N584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584">
        <v>-0.91619854999999994</v>
      </c>
      <c r="P584">
        <v>1.3333333999999999</v>
      </c>
      <c r="Q584">
        <f>ROUND(Table1[[#This Row],[dass21_raw_score]],0)</f>
        <v>1</v>
      </c>
      <c r="R584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584">
        <v>-0.96581030000000001</v>
      </c>
      <c r="T584">
        <v>0.12909961</v>
      </c>
      <c r="U584">
        <v>6666.6665000000003</v>
      </c>
      <c r="V584" s="1">
        <f>ROUND(Table1[[#This Row],[fmpce]],0)</f>
        <v>6667</v>
      </c>
      <c r="W584">
        <v>90.697760000000002</v>
      </c>
      <c r="X584" s="4">
        <f>Table1[[#This Row],[mpce]]*89</f>
        <v>8072.1006400000006</v>
      </c>
      <c r="Y584" s="2" t="s">
        <v>31</v>
      </c>
      <c r="Z584" s="3">
        <f>VLOOKUP(Y584, rmpce_reference!$B$1:$D$7,3,FALSE) * 89</f>
        <v>8010</v>
      </c>
      <c r="AA584" s="1" t="str">
        <f>IF(Table1[rmpce_inr]&lt;=rmpce_reference!$F$2, "Low Income", IF(Table1[rmpce_inr]&lt;=rmpce_reference!$F$3, "Middle Income", "High Income"))</f>
        <v>High Income</v>
      </c>
    </row>
    <row r="585" spans="1:27" x14ac:dyDescent="0.25">
      <c r="A585">
        <v>3128</v>
      </c>
      <c r="B585" t="s">
        <v>40</v>
      </c>
      <c r="C585" t="s">
        <v>29</v>
      </c>
      <c r="D585">
        <v>35</v>
      </c>
      <c r="E585" t="s">
        <v>25</v>
      </c>
      <c r="F585" t="s">
        <v>26</v>
      </c>
      <c r="G585">
        <v>0</v>
      </c>
      <c r="H585" s="1" t="str">
        <f>IF(Table1[[#This Row],[anxiety_score]]&lt;=10, "Normal", IF(Table1[[#This Row],[anxiety_score]]&lt;=20, "Moderate", IF(Table1[[#This Row],[anxiety_score]]&lt;=30, "Severe", "Extremely Severe")))</f>
        <v>Normal</v>
      </c>
      <c r="I585">
        <v>-1.0134224999999999</v>
      </c>
      <c r="J585">
        <v>2</v>
      </c>
      <c r="K585" s="1" t="str">
        <f>IF(Table1[[#This Row],[stress_score]]&lt;=10, "Normal", IF(Table1[[#This Row],[stress_score]]&lt;=20, "Moderate", IF(Table1[[#This Row],[stress_score]]&lt;=30, "Severe", "Extremely Severe")))</f>
        <v>Normal</v>
      </c>
      <c r="L585">
        <v>-0.9678099</v>
      </c>
      <c r="M585">
        <v>4</v>
      </c>
      <c r="N585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585">
        <v>-0.72356116999999998</v>
      </c>
      <c r="P585">
        <v>2</v>
      </c>
      <c r="Q585">
        <f>ROUND(Table1[[#This Row],[dass21_raw_score]],0)</f>
        <v>2</v>
      </c>
      <c r="R585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585">
        <v>-0.90159785999999997</v>
      </c>
      <c r="T585">
        <v>0.19331205000000001</v>
      </c>
      <c r="U585">
        <v>7500</v>
      </c>
      <c r="V585" s="1">
        <f>ROUND(Table1[[#This Row],[fmpce]],0)</f>
        <v>7500</v>
      </c>
      <c r="W585">
        <v>102.03498999999999</v>
      </c>
      <c r="X585" s="4">
        <f>Table1[[#This Row],[mpce]]*89</f>
        <v>9081.1141099999986</v>
      </c>
      <c r="Y585" s="2" t="s">
        <v>35</v>
      </c>
      <c r="Z585" s="3">
        <f>VLOOKUP(Y585, rmpce_reference!$B$1:$D$7,3,FALSE) * 89</f>
        <v>9790</v>
      </c>
      <c r="AA585" s="1" t="str">
        <f>IF(Table1[rmpce_inr]&lt;=rmpce_reference!$F$2, "Low Income", IF(Table1[rmpce_inr]&lt;=rmpce_reference!$F$3, "Middle Income", "High Income"))</f>
        <v>High Income</v>
      </c>
    </row>
    <row r="586" spans="1:27" x14ac:dyDescent="0.25">
      <c r="A586">
        <v>3129</v>
      </c>
      <c r="B586" t="s">
        <v>40</v>
      </c>
      <c r="C586" t="s">
        <v>29</v>
      </c>
      <c r="D586">
        <v>35</v>
      </c>
      <c r="E586" t="s">
        <v>25</v>
      </c>
      <c r="F586" t="s">
        <v>26</v>
      </c>
      <c r="G586">
        <v>0</v>
      </c>
      <c r="H586" s="1" t="str">
        <f>IF(Table1[[#This Row],[anxiety_score]]&lt;=10, "Normal", IF(Table1[[#This Row],[anxiety_score]]&lt;=20, "Moderate", IF(Table1[[#This Row],[anxiety_score]]&lt;=30, "Severe", "Extremely Severe")))</f>
        <v>Normal</v>
      </c>
      <c r="I586">
        <v>-1.0134224999999999</v>
      </c>
      <c r="J586">
        <v>4</v>
      </c>
      <c r="K586" s="1" t="str">
        <f>IF(Table1[[#This Row],[stress_score]]&lt;=10, "Normal", IF(Table1[[#This Row],[stress_score]]&lt;=20, "Moderate", IF(Table1[[#This Row],[stress_score]]&lt;=30, "Severe", "Extremely Severe")))</f>
        <v>Normal</v>
      </c>
      <c r="L586">
        <v>-0.77314866000000004</v>
      </c>
      <c r="M586">
        <v>4</v>
      </c>
      <c r="N586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586">
        <v>-0.72356116999999998</v>
      </c>
      <c r="P586">
        <v>2.6666666999999999</v>
      </c>
      <c r="Q586">
        <f>ROUND(Table1[[#This Row],[dass21_raw_score]],0)</f>
        <v>3</v>
      </c>
      <c r="R586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586">
        <v>-0.83671074999999995</v>
      </c>
      <c r="T586">
        <v>0.25819915999999998</v>
      </c>
      <c r="U586">
        <v>7500</v>
      </c>
      <c r="V586" s="1">
        <f>ROUND(Table1[[#This Row],[fmpce]],0)</f>
        <v>7500</v>
      </c>
      <c r="W586">
        <v>102.03498999999999</v>
      </c>
      <c r="X586" s="4">
        <f>Table1[[#This Row],[mpce]]*89</f>
        <v>9081.1141099999986</v>
      </c>
      <c r="Y586" s="2" t="s">
        <v>35</v>
      </c>
      <c r="Z586" s="3">
        <f>VLOOKUP(Y586, rmpce_reference!$B$1:$D$7,3,FALSE) * 89</f>
        <v>9790</v>
      </c>
      <c r="AA586" s="1" t="str">
        <f>IF(Table1[rmpce_inr]&lt;=rmpce_reference!$F$2, "Low Income", IF(Table1[rmpce_inr]&lt;=rmpce_reference!$F$3, "Middle Income", "High Income"))</f>
        <v>High Income</v>
      </c>
    </row>
    <row r="587" spans="1:27" x14ac:dyDescent="0.25">
      <c r="A587">
        <v>3130</v>
      </c>
      <c r="B587" t="s">
        <v>40</v>
      </c>
      <c r="C587" t="s">
        <v>29</v>
      </c>
      <c r="D587">
        <v>40</v>
      </c>
      <c r="E587" t="s">
        <v>22</v>
      </c>
      <c r="F587" t="s">
        <v>26</v>
      </c>
      <c r="G587">
        <v>4</v>
      </c>
      <c r="H587" s="1" t="str">
        <f>IF(Table1[[#This Row],[anxiety_score]]&lt;=10, "Normal", IF(Table1[[#This Row],[anxiety_score]]&lt;=20, "Moderate", IF(Table1[[#This Row],[anxiety_score]]&lt;=30, "Severe", "Extremely Severe")))</f>
        <v>Normal</v>
      </c>
      <c r="I587">
        <v>-0.61133329999999997</v>
      </c>
      <c r="J587">
        <v>6</v>
      </c>
      <c r="K587" s="1" t="str">
        <f>IF(Table1[[#This Row],[stress_score]]&lt;=10, "Normal", IF(Table1[[#This Row],[stress_score]]&lt;=20, "Moderate", IF(Table1[[#This Row],[stress_score]]&lt;=30, "Severe", "Extremely Severe")))</f>
        <v>Normal</v>
      </c>
      <c r="L587">
        <v>-0.57848745999999995</v>
      </c>
      <c r="M587">
        <v>4</v>
      </c>
      <c r="N587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587">
        <v>-0.72356116999999998</v>
      </c>
      <c r="P587">
        <v>4.6666664999999998</v>
      </c>
      <c r="Q587">
        <f>ROUND(Table1[[#This Row],[dass21_raw_score]],0)</f>
        <v>5</v>
      </c>
      <c r="R587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587">
        <v>-0.63779395999999999</v>
      </c>
      <c r="T587">
        <v>0.45711594999999999</v>
      </c>
      <c r="U587">
        <v>7500</v>
      </c>
      <c r="V587" s="1">
        <f>ROUND(Table1[[#This Row],[fmpce]],0)</f>
        <v>7500</v>
      </c>
      <c r="W587">
        <v>102.03498999999999</v>
      </c>
      <c r="X587" s="4">
        <f>Table1[[#This Row],[mpce]]*89</f>
        <v>9081.1141099999986</v>
      </c>
      <c r="Y587" s="2" t="s">
        <v>35</v>
      </c>
      <c r="Z587" s="3">
        <f>VLOOKUP(Y587, rmpce_reference!$B$1:$D$7,3,FALSE) * 89</f>
        <v>9790</v>
      </c>
      <c r="AA587" s="1" t="str">
        <f>IF(Table1[rmpce_inr]&lt;=rmpce_reference!$F$2, "Low Income", IF(Table1[rmpce_inr]&lt;=rmpce_reference!$F$3, "Middle Income", "High Income"))</f>
        <v>High Income</v>
      </c>
    </row>
    <row r="588" spans="1:27" x14ac:dyDescent="0.25">
      <c r="A588">
        <v>3131</v>
      </c>
      <c r="B588" t="s">
        <v>40</v>
      </c>
      <c r="C588" t="s">
        <v>33</v>
      </c>
      <c r="D588">
        <v>30</v>
      </c>
      <c r="E588" t="s">
        <v>25</v>
      </c>
      <c r="F588" t="s">
        <v>26</v>
      </c>
      <c r="G588">
        <v>0</v>
      </c>
      <c r="H588" s="1" t="str">
        <f>IF(Table1[[#This Row],[anxiety_score]]&lt;=10, "Normal", IF(Table1[[#This Row],[anxiety_score]]&lt;=20, "Moderate", IF(Table1[[#This Row],[anxiety_score]]&lt;=30, "Severe", "Extremely Severe")))</f>
        <v>Normal</v>
      </c>
      <c r="I588">
        <v>-1.0134224999999999</v>
      </c>
      <c r="J588">
        <v>2</v>
      </c>
      <c r="K588" s="1" t="str">
        <f>IF(Table1[[#This Row],[stress_score]]&lt;=10, "Normal", IF(Table1[[#This Row],[stress_score]]&lt;=20, "Moderate", IF(Table1[[#This Row],[stress_score]]&lt;=30, "Severe", "Extremely Severe")))</f>
        <v>Normal</v>
      </c>
      <c r="L588">
        <v>-0.9678099</v>
      </c>
      <c r="M588">
        <v>2</v>
      </c>
      <c r="N588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588">
        <v>-0.91619854999999994</v>
      </c>
      <c r="P588">
        <v>1.3333333999999999</v>
      </c>
      <c r="Q588">
        <f>ROUND(Table1[[#This Row],[dass21_raw_score]],0)</f>
        <v>1</v>
      </c>
      <c r="R588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588">
        <v>-0.96581030000000001</v>
      </c>
      <c r="T588">
        <v>0.12909961</v>
      </c>
      <c r="U588">
        <v>5000</v>
      </c>
      <c r="V588" s="1">
        <f>ROUND(Table1[[#This Row],[fmpce]],0)</f>
        <v>5000</v>
      </c>
      <c r="W588">
        <v>68.023319999999998</v>
      </c>
      <c r="X588" s="4">
        <f>Table1[[#This Row],[mpce]]*89</f>
        <v>6054.0754799999995</v>
      </c>
      <c r="Y588" s="2" t="s">
        <v>28</v>
      </c>
      <c r="Z588" s="3">
        <f>VLOOKUP(Y588, rmpce_reference!$B$1:$D$7,3,FALSE) * 89</f>
        <v>6230</v>
      </c>
      <c r="AA588" s="1" t="str">
        <f>IF(Table1[rmpce_inr]&lt;=rmpce_reference!$F$2, "Low Income", IF(Table1[rmpce_inr]&lt;=rmpce_reference!$F$3, "Middle Income", "High Income"))</f>
        <v>Middle Income</v>
      </c>
    </row>
    <row r="589" spans="1:27" x14ac:dyDescent="0.25">
      <c r="A589">
        <v>3132</v>
      </c>
      <c r="B589" t="s">
        <v>40</v>
      </c>
      <c r="C589" t="s">
        <v>29</v>
      </c>
      <c r="D589">
        <v>33</v>
      </c>
      <c r="E589" t="s">
        <v>25</v>
      </c>
      <c r="F589" t="s">
        <v>26</v>
      </c>
      <c r="G589">
        <v>2</v>
      </c>
      <c r="H589" s="1" t="str">
        <f>IF(Table1[[#This Row],[anxiety_score]]&lt;=10, "Normal", IF(Table1[[#This Row],[anxiety_score]]&lt;=20, "Moderate", IF(Table1[[#This Row],[anxiety_score]]&lt;=30, "Severe", "Extremely Severe")))</f>
        <v>Normal</v>
      </c>
      <c r="I589">
        <v>-0.81237789999999999</v>
      </c>
      <c r="J589">
        <v>2</v>
      </c>
      <c r="K589" s="1" t="str">
        <f>IF(Table1[[#This Row],[stress_score]]&lt;=10, "Normal", IF(Table1[[#This Row],[stress_score]]&lt;=20, "Moderate", IF(Table1[[#This Row],[stress_score]]&lt;=30, "Severe", "Extremely Severe")))</f>
        <v>Normal</v>
      </c>
      <c r="L589">
        <v>-0.9678099</v>
      </c>
      <c r="M589">
        <v>4</v>
      </c>
      <c r="N589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589">
        <v>-0.72356116999999998</v>
      </c>
      <c r="P589">
        <v>2.6666666999999999</v>
      </c>
      <c r="Q589">
        <f>ROUND(Table1[[#This Row],[dass21_raw_score]],0)</f>
        <v>3</v>
      </c>
      <c r="R589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589">
        <v>-0.83458299999999996</v>
      </c>
      <c r="T589">
        <v>0.26032692000000002</v>
      </c>
      <c r="U589">
        <v>8750</v>
      </c>
      <c r="V589" s="1">
        <f>ROUND(Table1[[#This Row],[fmpce]],0)</f>
        <v>8750</v>
      </c>
      <c r="W589">
        <v>119.04082</v>
      </c>
      <c r="X589" s="4">
        <f>Table1[[#This Row],[mpce]]*89</f>
        <v>10594.63298</v>
      </c>
      <c r="Y589" s="2" t="s">
        <v>35</v>
      </c>
      <c r="Z589" s="3">
        <f>VLOOKUP(Y589, rmpce_reference!$B$1:$D$7,3,FALSE) * 89</f>
        <v>9790</v>
      </c>
      <c r="AA589" s="1" t="str">
        <f>IF(Table1[rmpce_inr]&lt;=rmpce_reference!$F$2, "Low Income", IF(Table1[rmpce_inr]&lt;=rmpce_reference!$F$3, "Middle Income", "High Income"))</f>
        <v>High Income</v>
      </c>
    </row>
    <row r="590" spans="1:27" x14ac:dyDescent="0.25">
      <c r="A590">
        <v>3133</v>
      </c>
      <c r="B590" t="s">
        <v>40</v>
      </c>
      <c r="C590" t="s">
        <v>29</v>
      </c>
      <c r="D590">
        <v>35</v>
      </c>
      <c r="E590" t="s">
        <v>25</v>
      </c>
      <c r="F590" t="s">
        <v>26</v>
      </c>
      <c r="G590">
        <v>0</v>
      </c>
      <c r="H590" s="1" t="str">
        <f>IF(Table1[[#This Row],[anxiety_score]]&lt;=10, "Normal", IF(Table1[[#This Row],[anxiety_score]]&lt;=20, "Moderate", IF(Table1[[#This Row],[anxiety_score]]&lt;=30, "Severe", "Extremely Severe")))</f>
        <v>Normal</v>
      </c>
      <c r="I590">
        <v>-1.0134224999999999</v>
      </c>
      <c r="J590">
        <v>4</v>
      </c>
      <c r="K590" s="1" t="str">
        <f>IF(Table1[[#This Row],[stress_score]]&lt;=10, "Normal", IF(Table1[[#This Row],[stress_score]]&lt;=20, "Moderate", IF(Table1[[#This Row],[stress_score]]&lt;=30, "Severe", "Extremely Severe")))</f>
        <v>Normal</v>
      </c>
      <c r="L590">
        <v>-0.77314866000000004</v>
      </c>
      <c r="M590">
        <v>2</v>
      </c>
      <c r="N590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590">
        <v>-0.91619854999999994</v>
      </c>
      <c r="P590">
        <v>2</v>
      </c>
      <c r="Q590">
        <f>ROUND(Table1[[#This Row],[dass21_raw_score]],0)</f>
        <v>2</v>
      </c>
      <c r="R590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590">
        <v>-0.90092324999999995</v>
      </c>
      <c r="T590">
        <v>0.19398665000000001</v>
      </c>
      <c r="U590">
        <v>8333.3330000000005</v>
      </c>
      <c r="V590" s="1">
        <f>ROUND(Table1[[#This Row],[fmpce]],0)</f>
        <v>8333</v>
      </c>
      <c r="W590">
        <v>113.37220000000001</v>
      </c>
      <c r="X590" s="4">
        <f>Table1[[#This Row],[mpce]]*89</f>
        <v>10090.1258</v>
      </c>
      <c r="Y590" s="2" t="s">
        <v>35</v>
      </c>
      <c r="Z590" s="3">
        <f>VLOOKUP(Y590, rmpce_reference!$B$1:$D$7,3,FALSE) * 89</f>
        <v>9790</v>
      </c>
      <c r="AA590" s="1" t="str">
        <f>IF(Table1[rmpce_inr]&lt;=rmpce_reference!$F$2, "Low Income", IF(Table1[rmpce_inr]&lt;=rmpce_reference!$F$3, "Middle Income", "High Income"))</f>
        <v>High Income</v>
      </c>
    </row>
    <row r="591" spans="1:27" x14ac:dyDescent="0.25">
      <c r="A591">
        <v>3134</v>
      </c>
      <c r="B591" t="s">
        <v>40</v>
      </c>
      <c r="C591" t="s">
        <v>29</v>
      </c>
      <c r="D591">
        <v>36</v>
      </c>
      <c r="E591" t="s">
        <v>25</v>
      </c>
      <c r="F591" t="s">
        <v>26</v>
      </c>
      <c r="G591">
        <v>2</v>
      </c>
      <c r="H591" s="1" t="str">
        <f>IF(Table1[[#This Row],[anxiety_score]]&lt;=10, "Normal", IF(Table1[[#This Row],[anxiety_score]]&lt;=20, "Moderate", IF(Table1[[#This Row],[anxiety_score]]&lt;=30, "Severe", "Extremely Severe")))</f>
        <v>Normal</v>
      </c>
      <c r="I591">
        <v>-0.81237789999999999</v>
      </c>
      <c r="J591">
        <v>2</v>
      </c>
      <c r="K591" s="1" t="str">
        <f>IF(Table1[[#This Row],[stress_score]]&lt;=10, "Normal", IF(Table1[[#This Row],[stress_score]]&lt;=20, "Moderate", IF(Table1[[#This Row],[stress_score]]&lt;=30, "Severe", "Extremely Severe")))</f>
        <v>Normal</v>
      </c>
      <c r="L591">
        <v>-0.9678099</v>
      </c>
      <c r="M591">
        <v>4</v>
      </c>
      <c r="N591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591">
        <v>-0.72356116999999998</v>
      </c>
      <c r="P591">
        <v>2.6666666999999999</v>
      </c>
      <c r="Q591">
        <f>ROUND(Table1[[#This Row],[dass21_raw_score]],0)</f>
        <v>3</v>
      </c>
      <c r="R591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591">
        <v>-0.83458299999999996</v>
      </c>
      <c r="T591">
        <v>0.26032692000000002</v>
      </c>
      <c r="U591">
        <v>13333.333000000001</v>
      </c>
      <c r="V591" s="1">
        <f>ROUND(Table1[[#This Row],[fmpce]],0)</f>
        <v>13333</v>
      </c>
      <c r="W591">
        <v>181.39552</v>
      </c>
      <c r="X591" s="4">
        <f>Table1[[#This Row],[mpce]]*89</f>
        <v>16144.201280000001</v>
      </c>
      <c r="Y591" s="2" t="s">
        <v>35</v>
      </c>
      <c r="Z591" s="3">
        <f>VLOOKUP(Y591, rmpce_reference!$B$1:$D$7,3,FALSE) * 89</f>
        <v>9790</v>
      </c>
      <c r="AA591" s="1" t="str">
        <f>IF(Table1[rmpce_inr]&lt;=rmpce_reference!$F$2, "Low Income", IF(Table1[rmpce_inr]&lt;=rmpce_reference!$F$3, "Middle Income", "High Income"))</f>
        <v>High Income</v>
      </c>
    </row>
    <row r="592" spans="1:27" x14ac:dyDescent="0.25">
      <c r="A592">
        <v>3135</v>
      </c>
      <c r="B592" t="s">
        <v>40</v>
      </c>
      <c r="C592" t="s">
        <v>29</v>
      </c>
      <c r="D592">
        <v>38</v>
      </c>
      <c r="E592" t="s">
        <v>25</v>
      </c>
      <c r="F592" t="s">
        <v>26</v>
      </c>
      <c r="G592">
        <v>0</v>
      </c>
      <c r="H592" s="1" t="str">
        <f>IF(Table1[[#This Row],[anxiety_score]]&lt;=10, "Normal", IF(Table1[[#This Row],[anxiety_score]]&lt;=20, "Moderate", IF(Table1[[#This Row],[anxiety_score]]&lt;=30, "Severe", "Extremely Severe")))</f>
        <v>Normal</v>
      </c>
      <c r="I592">
        <v>-1.0134224999999999</v>
      </c>
      <c r="J592">
        <v>0</v>
      </c>
      <c r="K592" s="1" t="str">
        <f>IF(Table1[[#This Row],[stress_score]]&lt;=10, "Normal", IF(Table1[[#This Row],[stress_score]]&lt;=20, "Moderate", IF(Table1[[#This Row],[stress_score]]&lt;=30, "Severe", "Extremely Severe")))</f>
        <v>Normal</v>
      </c>
      <c r="L592">
        <v>-1.1624711999999999</v>
      </c>
      <c r="M592">
        <v>4</v>
      </c>
      <c r="N592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592">
        <v>-0.72356116999999998</v>
      </c>
      <c r="P592">
        <v>1.3333333999999999</v>
      </c>
      <c r="Q592">
        <f>ROUND(Table1[[#This Row],[dass21_raw_score]],0)</f>
        <v>1</v>
      </c>
      <c r="R592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592">
        <v>-0.96648495999999995</v>
      </c>
      <c r="T592">
        <v>0.12842493999999999</v>
      </c>
      <c r="U592">
        <v>10000</v>
      </c>
      <c r="V592" s="1">
        <f>ROUND(Table1[[#This Row],[fmpce]],0)</f>
        <v>10000</v>
      </c>
      <c r="W592">
        <v>136.04665</v>
      </c>
      <c r="X592" s="4">
        <f>Table1[[#This Row],[mpce]]*89</f>
        <v>12108.15185</v>
      </c>
      <c r="Y592" s="2" t="s">
        <v>35</v>
      </c>
      <c r="Z592" s="3">
        <f>VLOOKUP(Y592, rmpce_reference!$B$1:$D$7,3,FALSE) * 89</f>
        <v>9790</v>
      </c>
      <c r="AA592" s="1" t="str">
        <f>IF(Table1[rmpce_inr]&lt;=rmpce_reference!$F$2, "Low Income", IF(Table1[rmpce_inr]&lt;=rmpce_reference!$F$3, "Middle Income", "High Income"))</f>
        <v>High Income</v>
      </c>
    </row>
    <row r="593" spans="1:27" x14ac:dyDescent="0.25">
      <c r="A593">
        <v>3136</v>
      </c>
      <c r="B593" t="s">
        <v>40</v>
      </c>
      <c r="C593" t="s">
        <v>21</v>
      </c>
      <c r="D593">
        <v>43</v>
      </c>
      <c r="E593" t="s">
        <v>25</v>
      </c>
      <c r="F593" t="s">
        <v>26</v>
      </c>
      <c r="G593">
        <v>2</v>
      </c>
      <c r="H593" s="1" t="str">
        <f>IF(Table1[[#This Row],[anxiety_score]]&lt;=10, "Normal", IF(Table1[[#This Row],[anxiety_score]]&lt;=20, "Moderate", IF(Table1[[#This Row],[anxiety_score]]&lt;=30, "Severe", "Extremely Severe")))</f>
        <v>Normal</v>
      </c>
      <c r="I593">
        <v>-0.81237789999999999</v>
      </c>
      <c r="J593">
        <v>8</v>
      </c>
      <c r="K593" s="1" t="str">
        <f>IF(Table1[[#This Row],[stress_score]]&lt;=10, "Normal", IF(Table1[[#This Row],[stress_score]]&lt;=20, "Moderate", IF(Table1[[#This Row],[stress_score]]&lt;=30, "Severe", "Extremely Severe")))</f>
        <v>Normal</v>
      </c>
      <c r="L593">
        <v>-0.38382620000000001</v>
      </c>
      <c r="M593">
        <v>6</v>
      </c>
      <c r="N593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593">
        <v>-0.53092379999999995</v>
      </c>
      <c r="P593">
        <v>5.3333335000000002</v>
      </c>
      <c r="Q593">
        <f>ROUND(Table1[[#This Row],[dass21_raw_score]],0)</f>
        <v>5</v>
      </c>
      <c r="R593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593">
        <v>-0.57570929999999998</v>
      </c>
      <c r="T593">
        <v>0.51920060000000001</v>
      </c>
      <c r="U593">
        <v>12500</v>
      </c>
      <c r="V593" s="1">
        <f>ROUND(Table1[[#This Row],[fmpce]],0)</f>
        <v>12500</v>
      </c>
      <c r="W593">
        <v>170.0583</v>
      </c>
      <c r="X593" s="4">
        <f>Table1[[#This Row],[mpce]]*89</f>
        <v>15135.188700000001</v>
      </c>
      <c r="Y593" s="2" t="s">
        <v>35</v>
      </c>
      <c r="Z593" s="3">
        <f>VLOOKUP(Y593, rmpce_reference!$B$1:$D$7,3,FALSE) * 89</f>
        <v>9790</v>
      </c>
      <c r="AA593" s="1" t="str">
        <f>IF(Table1[rmpce_inr]&lt;=rmpce_reference!$F$2, "Low Income", IF(Table1[rmpce_inr]&lt;=rmpce_reference!$F$3, "Middle Income", "High Income"))</f>
        <v>High Income</v>
      </c>
    </row>
    <row r="594" spans="1:27" x14ac:dyDescent="0.25">
      <c r="A594">
        <v>3137</v>
      </c>
      <c r="B594" t="s">
        <v>40</v>
      </c>
      <c r="C594" t="s">
        <v>21</v>
      </c>
      <c r="D594">
        <v>50</v>
      </c>
      <c r="E594" t="s">
        <v>25</v>
      </c>
      <c r="F594" t="s">
        <v>26</v>
      </c>
      <c r="G594">
        <v>0</v>
      </c>
      <c r="H594" s="1" t="str">
        <f>IF(Table1[[#This Row],[anxiety_score]]&lt;=10, "Normal", IF(Table1[[#This Row],[anxiety_score]]&lt;=20, "Moderate", IF(Table1[[#This Row],[anxiety_score]]&lt;=30, "Severe", "Extremely Severe")))</f>
        <v>Normal</v>
      </c>
      <c r="I594">
        <v>-1.0134224999999999</v>
      </c>
      <c r="J594">
        <v>6</v>
      </c>
      <c r="K594" s="1" t="str">
        <f>IF(Table1[[#This Row],[stress_score]]&lt;=10, "Normal", IF(Table1[[#This Row],[stress_score]]&lt;=20, "Moderate", IF(Table1[[#This Row],[stress_score]]&lt;=30, "Severe", "Extremely Severe")))</f>
        <v>Normal</v>
      </c>
      <c r="L594">
        <v>-0.57848745999999995</v>
      </c>
      <c r="M594">
        <v>4</v>
      </c>
      <c r="N594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594">
        <v>-0.72356116999999998</v>
      </c>
      <c r="P594">
        <v>3.3333333000000001</v>
      </c>
      <c r="Q594">
        <f>ROUND(Table1[[#This Row],[dass21_raw_score]],0)</f>
        <v>3</v>
      </c>
      <c r="R594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594">
        <v>-0.7718237</v>
      </c>
      <c r="T594">
        <v>0.32308619999999999</v>
      </c>
      <c r="U594">
        <v>6000</v>
      </c>
      <c r="V594" s="1">
        <f>ROUND(Table1[[#This Row],[fmpce]],0)</f>
        <v>6000</v>
      </c>
      <c r="W594">
        <v>81.627989999999997</v>
      </c>
      <c r="X594" s="4">
        <f>Table1[[#This Row],[mpce]]*89</f>
        <v>7264.8911099999996</v>
      </c>
      <c r="Y594" s="2" t="s">
        <v>31</v>
      </c>
      <c r="Z594" s="3">
        <f>VLOOKUP(Y594, rmpce_reference!$B$1:$D$7,3,FALSE) * 89</f>
        <v>8010</v>
      </c>
      <c r="AA594" s="1" t="str">
        <f>IF(Table1[rmpce_inr]&lt;=rmpce_reference!$F$2, "Low Income", IF(Table1[rmpce_inr]&lt;=rmpce_reference!$F$3, "Middle Income", "High Income"))</f>
        <v>High Income</v>
      </c>
    </row>
    <row r="595" spans="1:27" x14ac:dyDescent="0.25">
      <c r="A595">
        <v>3138</v>
      </c>
      <c r="B595" t="s">
        <v>40</v>
      </c>
      <c r="C595" t="s">
        <v>29</v>
      </c>
      <c r="D595">
        <v>33</v>
      </c>
      <c r="E595" t="s">
        <v>22</v>
      </c>
      <c r="F595" t="s">
        <v>30</v>
      </c>
      <c r="G595">
        <v>4</v>
      </c>
      <c r="H595" s="1" t="str">
        <f>IF(Table1[[#This Row],[anxiety_score]]&lt;=10, "Normal", IF(Table1[[#This Row],[anxiety_score]]&lt;=20, "Moderate", IF(Table1[[#This Row],[anxiety_score]]&lt;=30, "Severe", "Extremely Severe")))</f>
        <v>Normal</v>
      </c>
      <c r="I595">
        <v>-0.61133329999999997</v>
      </c>
      <c r="J595">
        <v>8</v>
      </c>
      <c r="K595" s="1" t="str">
        <f>IF(Table1[[#This Row],[stress_score]]&lt;=10, "Normal", IF(Table1[[#This Row],[stress_score]]&lt;=20, "Moderate", IF(Table1[[#This Row],[stress_score]]&lt;=30, "Severe", "Extremely Severe")))</f>
        <v>Normal</v>
      </c>
      <c r="L595">
        <v>-0.38382620000000001</v>
      </c>
      <c r="M595">
        <v>6</v>
      </c>
      <c r="N595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595">
        <v>-0.53092379999999995</v>
      </c>
      <c r="P595">
        <v>6</v>
      </c>
      <c r="Q595">
        <f>ROUND(Table1[[#This Row],[dass21_raw_score]],0)</f>
        <v>6</v>
      </c>
      <c r="R595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595">
        <v>-0.50869439999999999</v>
      </c>
      <c r="T595">
        <v>0.5862155</v>
      </c>
      <c r="U595">
        <v>3333.3332999999998</v>
      </c>
      <c r="V595" s="1">
        <f>ROUND(Table1[[#This Row],[fmpce]],0)</f>
        <v>3333</v>
      </c>
      <c r="W595">
        <v>45.348880000000001</v>
      </c>
      <c r="X595" s="4">
        <f>Table1[[#This Row],[mpce]]*89</f>
        <v>4036.0503200000003</v>
      </c>
      <c r="Y595" s="2" t="s">
        <v>32</v>
      </c>
      <c r="Z595" s="3">
        <f>VLOOKUP(Y595, rmpce_reference!$B$1:$D$7,3,FALSE) * 89</f>
        <v>4450</v>
      </c>
      <c r="AA595" s="1" t="str">
        <f>IF(Table1[rmpce_inr]&lt;=rmpce_reference!$F$2, "Low Income", IF(Table1[rmpce_inr]&lt;=rmpce_reference!$F$3, "Middle Income", "High Income"))</f>
        <v>Low Income</v>
      </c>
    </row>
    <row r="596" spans="1:27" x14ac:dyDescent="0.25">
      <c r="A596">
        <v>3139</v>
      </c>
      <c r="B596" t="s">
        <v>40</v>
      </c>
      <c r="C596" t="s">
        <v>29</v>
      </c>
      <c r="D596">
        <v>38</v>
      </c>
      <c r="E596" t="s">
        <v>25</v>
      </c>
      <c r="F596" t="s">
        <v>26</v>
      </c>
      <c r="G596">
        <v>2</v>
      </c>
      <c r="H596" s="1" t="str">
        <f>IF(Table1[[#This Row],[anxiety_score]]&lt;=10, "Normal", IF(Table1[[#This Row],[anxiety_score]]&lt;=20, "Moderate", IF(Table1[[#This Row],[anxiety_score]]&lt;=30, "Severe", "Extremely Severe")))</f>
        <v>Normal</v>
      </c>
      <c r="I596">
        <v>-0.81237789999999999</v>
      </c>
      <c r="J596">
        <v>4</v>
      </c>
      <c r="K596" s="1" t="str">
        <f>IF(Table1[[#This Row],[stress_score]]&lt;=10, "Normal", IF(Table1[[#This Row],[stress_score]]&lt;=20, "Moderate", IF(Table1[[#This Row],[stress_score]]&lt;=30, "Severe", "Extremely Severe")))</f>
        <v>Normal</v>
      </c>
      <c r="L596">
        <v>-0.77314866000000004</v>
      </c>
      <c r="M596">
        <v>4</v>
      </c>
      <c r="N596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596">
        <v>-0.72356116999999998</v>
      </c>
      <c r="P596">
        <v>3.3333333000000001</v>
      </c>
      <c r="Q596">
        <f>ROUND(Table1[[#This Row],[dass21_raw_score]],0)</f>
        <v>3</v>
      </c>
      <c r="R596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596">
        <v>-0.76969593999999997</v>
      </c>
      <c r="T596">
        <v>0.32521397000000002</v>
      </c>
      <c r="U596">
        <v>6666.6665000000003</v>
      </c>
      <c r="V596" s="1">
        <f>ROUND(Table1[[#This Row],[fmpce]],0)</f>
        <v>6667</v>
      </c>
      <c r="W596">
        <v>90.697760000000002</v>
      </c>
      <c r="X596" s="4">
        <f>Table1[[#This Row],[mpce]]*89</f>
        <v>8072.1006400000006</v>
      </c>
      <c r="Y596" s="2" t="s">
        <v>31</v>
      </c>
      <c r="Z596" s="3">
        <f>VLOOKUP(Y596, rmpce_reference!$B$1:$D$7,3,FALSE) * 89</f>
        <v>8010</v>
      </c>
      <c r="AA596" s="1" t="str">
        <f>IF(Table1[rmpce_inr]&lt;=rmpce_reference!$F$2, "Low Income", IF(Table1[rmpce_inr]&lt;=rmpce_reference!$F$3, "Middle Income", "High Income"))</f>
        <v>High Income</v>
      </c>
    </row>
    <row r="597" spans="1:27" x14ac:dyDescent="0.25">
      <c r="A597">
        <v>3140</v>
      </c>
      <c r="B597" t="s">
        <v>40</v>
      </c>
      <c r="C597" t="s">
        <v>33</v>
      </c>
      <c r="D597">
        <v>30</v>
      </c>
      <c r="E597" t="s">
        <v>25</v>
      </c>
      <c r="F597" t="s">
        <v>30</v>
      </c>
      <c r="G597">
        <v>0</v>
      </c>
      <c r="H597" s="1" t="str">
        <f>IF(Table1[[#This Row],[anxiety_score]]&lt;=10, "Normal", IF(Table1[[#This Row],[anxiety_score]]&lt;=20, "Moderate", IF(Table1[[#This Row],[anxiety_score]]&lt;=30, "Severe", "Extremely Severe")))</f>
        <v>Normal</v>
      </c>
      <c r="I597">
        <v>-1.0134224999999999</v>
      </c>
      <c r="J597">
        <v>0</v>
      </c>
      <c r="K597" s="1" t="str">
        <f>IF(Table1[[#This Row],[stress_score]]&lt;=10, "Normal", IF(Table1[[#This Row],[stress_score]]&lt;=20, "Moderate", IF(Table1[[#This Row],[stress_score]]&lt;=30, "Severe", "Extremely Severe")))</f>
        <v>Normal</v>
      </c>
      <c r="L597">
        <v>-1.1624711999999999</v>
      </c>
      <c r="M597">
        <v>2</v>
      </c>
      <c r="N597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597">
        <v>-0.91619854999999994</v>
      </c>
      <c r="P597">
        <v>0.66666669999999995</v>
      </c>
      <c r="Q597">
        <f>ROUND(Table1[[#This Row],[dass21_raw_score]],0)</f>
        <v>1</v>
      </c>
      <c r="R597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597">
        <v>-1.0306972999999999</v>
      </c>
      <c r="T597">
        <v>6.4212560000000002E-2</v>
      </c>
      <c r="U597">
        <v>8000</v>
      </c>
      <c r="V597" s="1">
        <f>ROUND(Table1[[#This Row],[fmpce]],0)</f>
        <v>8000</v>
      </c>
      <c r="W597">
        <v>108.83732000000001</v>
      </c>
      <c r="X597" s="4">
        <f>Table1[[#This Row],[mpce]]*89</f>
        <v>9686.5214800000012</v>
      </c>
      <c r="Y597" s="2" t="s">
        <v>35</v>
      </c>
      <c r="Z597" s="3">
        <f>VLOOKUP(Y597, rmpce_reference!$B$1:$D$7,3,FALSE) * 89</f>
        <v>9790</v>
      </c>
      <c r="AA597" s="1" t="str">
        <f>IF(Table1[rmpce_inr]&lt;=rmpce_reference!$F$2, "Low Income", IF(Table1[rmpce_inr]&lt;=rmpce_reference!$F$3, "Middle Income", "High Income"))</f>
        <v>High Income</v>
      </c>
    </row>
    <row r="598" spans="1:27" x14ac:dyDescent="0.25">
      <c r="A598">
        <v>3141</v>
      </c>
      <c r="B598" t="s">
        <v>40</v>
      </c>
      <c r="C598" t="s">
        <v>33</v>
      </c>
      <c r="D598">
        <v>30</v>
      </c>
      <c r="E598" t="s">
        <v>25</v>
      </c>
      <c r="F598" t="s">
        <v>26</v>
      </c>
      <c r="G598">
        <v>2</v>
      </c>
      <c r="H598" s="1" t="str">
        <f>IF(Table1[[#This Row],[anxiety_score]]&lt;=10, "Normal", IF(Table1[[#This Row],[anxiety_score]]&lt;=20, "Moderate", IF(Table1[[#This Row],[anxiety_score]]&lt;=30, "Severe", "Extremely Severe")))</f>
        <v>Normal</v>
      </c>
      <c r="I598">
        <v>-0.81237789999999999</v>
      </c>
      <c r="J598">
        <v>2</v>
      </c>
      <c r="K598" s="1" t="str">
        <f>IF(Table1[[#This Row],[stress_score]]&lt;=10, "Normal", IF(Table1[[#This Row],[stress_score]]&lt;=20, "Moderate", IF(Table1[[#This Row],[stress_score]]&lt;=30, "Severe", "Extremely Severe")))</f>
        <v>Normal</v>
      </c>
      <c r="L598">
        <v>-0.9678099</v>
      </c>
      <c r="M598">
        <v>4</v>
      </c>
      <c r="N598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598">
        <v>-0.72356116999999998</v>
      </c>
      <c r="P598">
        <v>2.6666666999999999</v>
      </c>
      <c r="Q598">
        <f>ROUND(Table1[[#This Row],[dass21_raw_score]],0)</f>
        <v>3</v>
      </c>
      <c r="R598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598">
        <v>-0.83458299999999996</v>
      </c>
      <c r="T598">
        <v>0.26032692000000002</v>
      </c>
      <c r="U598">
        <v>10000</v>
      </c>
      <c r="V598" s="1">
        <f>ROUND(Table1[[#This Row],[fmpce]],0)</f>
        <v>10000</v>
      </c>
      <c r="W598">
        <v>136.04665</v>
      </c>
      <c r="X598" s="4">
        <f>Table1[[#This Row],[mpce]]*89</f>
        <v>12108.15185</v>
      </c>
      <c r="Y598" s="2" t="s">
        <v>35</v>
      </c>
      <c r="Z598" s="3">
        <f>VLOOKUP(Y598, rmpce_reference!$B$1:$D$7,3,FALSE) * 89</f>
        <v>9790</v>
      </c>
      <c r="AA598" s="1" t="str">
        <f>IF(Table1[rmpce_inr]&lt;=rmpce_reference!$F$2, "Low Income", IF(Table1[rmpce_inr]&lt;=rmpce_reference!$F$3, "Middle Income", "High Income"))</f>
        <v>High Income</v>
      </c>
    </row>
    <row r="599" spans="1:27" x14ac:dyDescent="0.25">
      <c r="A599">
        <v>3142</v>
      </c>
      <c r="B599" t="s">
        <v>40</v>
      </c>
      <c r="C599" t="s">
        <v>29</v>
      </c>
      <c r="D599">
        <v>35</v>
      </c>
      <c r="E599" t="s">
        <v>25</v>
      </c>
      <c r="F599" t="s">
        <v>26</v>
      </c>
      <c r="G599">
        <v>0</v>
      </c>
      <c r="H599" s="1" t="str">
        <f>IF(Table1[[#This Row],[anxiety_score]]&lt;=10, "Normal", IF(Table1[[#This Row],[anxiety_score]]&lt;=20, "Moderate", IF(Table1[[#This Row],[anxiety_score]]&lt;=30, "Severe", "Extremely Severe")))</f>
        <v>Normal</v>
      </c>
      <c r="I599">
        <v>-1.0134224999999999</v>
      </c>
      <c r="J599">
        <v>4</v>
      </c>
      <c r="K599" s="1" t="str">
        <f>IF(Table1[[#This Row],[stress_score]]&lt;=10, "Normal", IF(Table1[[#This Row],[stress_score]]&lt;=20, "Moderate", IF(Table1[[#This Row],[stress_score]]&lt;=30, "Severe", "Extremely Severe")))</f>
        <v>Normal</v>
      </c>
      <c r="L599">
        <v>-0.77314866000000004</v>
      </c>
      <c r="M599">
        <v>2</v>
      </c>
      <c r="N599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599">
        <v>-0.91619854999999994</v>
      </c>
      <c r="P599">
        <v>2</v>
      </c>
      <c r="Q599">
        <f>ROUND(Table1[[#This Row],[dass21_raw_score]],0)</f>
        <v>2</v>
      </c>
      <c r="R599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599">
        <v>-0.90092324999999995</v>
      </c>
      <c r="T599">
        <v>0.19398665000000001</v>
      </c>
      <c r="U599">
        <v>7500</v>
      </c>
      <c r="V599" s="1">
        <f>ROUND(Table1[[#This Row],[fmpce]],0)</f>
        <v>7500</v>
      </c>
      <c r="W599">
        <v>102.03498999999999</v>
      </c>
      <c r="X599" s="4">
        <f>Table1[[#This Row],[mpce]]*89</f>
        <v>9081.1141099999986</v>
      </c>
      <c r="Y599" s="2" t="s">
        <v>35</v>
      </c>
      <c r="Z599" s="3">
        <f>VLOOKUP(Y599, rmpce_reference!$B$1:$D$7,3,FALSE) * 89</f>
        <v>9790</v>
      </c>
      <c r="AA599" s="1" t="str">
        <f>IF(Table1[rmpce_inr]&lt;=rmpce_reference!$F$2, "Low Income", IF(Table1[rmpce_inr]&lt;=rmpce_reference!$F$3, "Middle Income", "High Income"))</f>
        <v>High Income</v>
      </c>
    </row>
    <row r="600" spans="1:27" x14ac:dyDescent="0.25">
      <c r="A600">
        <v>3143</v>
      </c>
      <c r="B600" t="s">
        <v>40</v>
      </c>
      <c r="C600" t="s">
        <v>36</v>
      </c>
      <c r="D600">
        <v>55</v>
      </c>
      <c r="E600" t="s">
        <v>25</v>
      </c>
      <c r="F600" t="s">
        <v>26</v>
      </c>
      <c r="G600">
        <v>0</v>
      </c>
      <c r="H600" s="1" t="str">
        <f>IF(Table1[[#This Row],[anxiety_score]]&lt;=10, "Normal", IF(Table1[[#This Row],[anxiety_score]]&lt;=20, "Moderate", IF(Table1[[#This Row],[anxiety_score]]&lt;=30, "Severe", "Extremely Severe")))</f>
        <v>Normal</v>
      </c>
      <c r="I600">
        <v>-1.0134224999999999</v>
      </c>
      <c r="J600">
        <v>8</v>
      </c>
      <c r="K600" s="1" t="str">
        <f>IF(Table1[[#This Row],[stress_score]]&lt;=10, "Normal", IF(Table1[[#This Row],[stress_score]]&lt;=20, "Moderate", IF(Table1[[#This Row],[stress_score]]&lt;=30, "Severe", "Extremely Severe")))</f>
        <v>Normal</v>
      </c>
      <c r="L600">
        <v>-0.38382620000000001</v>
      </c>
      <c r="M600">
        <v>4</v>
      </c>
      <c r="N600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600">
        <v>-0.72356116999999998</v>
      </c>
      <c r="P600">
        <v>4</v>
      </c>
      <c r="Q600">
        <f>ROUND(Table1[[#This Row],[dass21_raw_score]],0)</f>
        <v>4</v>
      </c>
      <c r="R600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600">
        <v>-0.70693660000000003</v>
      </c>
      <c r="T600">
        <v>0.38797330000000002</v>
      </c>
      <c r="U600">
        <v>8333.3330000000005</v>
      </c>
      <c r="V600" s="1">
        <f>ROUND(Table1[[#This Row],[fmpce]],0)</f>
        <v>8333</v>
      </c>
      <c r="W600">
        <v>113.37220000000001</v>
      </c>
      <c r="X600" s="4">
        <f>Table1[[#This Row],[mpce]]*89</f>
        <v>10090.1258</v>
      </c>
      <c r="Y600" s="2" t="s">
        <v>35</v>
      </c>
      <c r="Z600" s="3">
        <f>VLOOKUP(Y600, rmpce_reference!$B$1:$D$7,3,FALSE) * 89</f>
        <v>9790</v>
      </c>
      <c r="AA600" s="1" t="str">
        <f>IF(Table1[rmpce_inr]&lt;=rmpce_reference!$F$2, "Low Income", IF(Table1[rmpce_inr]&lt;=rmpce_reference!$F$3, "Middle Income", "High Income"))</f>
        <v>High Income</v>
      </c>
    </row>
    <row r="601" spans="1:27" x14ac:dyDescent="0.25">
      <c r="A601">
        <v>3144</v>
      </c>
      <c r="B601" t="s">
        <v>40</v>
      </c>
      <c r="C601" t="s">
        <v>29</v>
      </c>
      <c r="D601">
        <v>32</v>
      </c>
      <c r="E601" t="s">
        <v>25</v>
      </c>
      <c r="F601" t="s">
        <v>30</v>
      </c>
      <c r="G601">
        <v>2</v>
      </c>
      <c r="H601" s="1" t="str">
        <f>IF(Table1[[#This Row],[anxiety_score]]&lt;=10, "Normal", IF(Table1[[#This Row],[anxiety_score]]&lt;=20, "Moderate", IF(Table1[[#This Row],[anxiety_score]]&lt;=30, "Severe", "Extremely Severe")))</f>
        <v>Normal</v>
      </c>
      <c r="I601">
        <v>-0.81237789999999999</v>
      </c>
      <c r="J601">
        <v>6</v>
      </c>
      <c r="K601" s="1" t="str">
        <f>IF(Table1[[#This Row],[stress_score]]&lt;=10, "Normal", IF(Table1[[#This Row],[stress_score]]&lt;=20, "Moderate", IF(Table1[[#This Row],[stress_score]]&lt;=30, "Severe", "Extremely Severe")))</f>
        <v>Normal</v>
      </c>
      <c r="L601">
        <v>-0.57848745999999995</v>
      </c>
      <c r="M601">
        <v>2</v>
      </c>
      <c r="N601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601">
        <v>-0.91619854999999994</v>
      </c>
      <c r="P601">
        <v>3.3333333000000001</v>
      </c>
      <c r="Q601">
        <f>ROUND(Table1[[#This Row],[dass21_raw_score]],0)</f>
        <v>3</v>
      </c>
      <c r="R601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601">
        <v>-0.76902132999999995</v>
      </c>
      <c r="T601">
        <v>0.32588856999999999</v>
      </c>
      <c r="U601">
        <v>13333.333000000001</v>
      </c>
      <c r="V601" s="1">
        <f>ROUND(Table1[[#This Row],[fmpce]],0)</f>
        <v>13333</v>
      </c>
      <c r="W601">
        <v>181.39552</v>
      </c>
      <c r="X601" s="4">
        <f>Table1[[#This Row],[mpce]]*89</f>
        <v>16144.201280000001</v>
      </c>
      <c r="Y601" s="2" t="s">
        <v>35</v>
      </c>
      <c r="Z601" s="3">
        <f>VLOOKUP(Y601, rmpce_reference!$B$1:$D$7,3,FALSE) * 89</f>
        <v>9790</v>
      </c>
      <c r="AA601" s="1" t="str">
        <f>IF(Table1[rmpce_inr]&lt;=rmpce_reference!$F$2, "Low Income", IF(Table1[rmpce_inr]&lt;=rmpce_reference!$F$3, "Middle Income", "High Income"))</f>
        <v>High Income</v>
      </c>
    </row>
    <row r="602" spans="1:27" x14ac:dyDescent="0.25">
      <c r="A602">
        <v>3145</v>
      </c>
      <c r="B602" t="s">
        <v>40</v>
      </c>
      <c r="C602" t="s">
        <v>33</v>
      </c>
      <c r="D602">
        <v>25</v>
      </c>
      <c r="E602" t="s">
        <v>25</v>
      </c>
      <c r="F602" t="s">
        <v>30</v>
      </c>
      <c r="G602">
        <v>2</v>
      </c>
      <c r="H602" s="1" t="str">
        <f>IF(Table1[[#This Row],[anxiety_score]]&lt;=10, "Normal", IF(Table1[[#This Row],[anxiety_score]]&lt;=20, "Moderate", IF(Table1[[#This Row],[anxiety_score]]&lt;=30, "Severe", "Extremely Severe")))</f>
        <v>Normal</v>
      </c>
      <c r="I602">
        <v>-0.81237789999999999</v>
      </c>
      <c r="J602">
        <v>6</v>
      </c>
      <c r="K602" s="1" t="str">
        <f>IF(Table1[[#This Row],[stress_score]]&lt;=10, "Normal", IF(Table1[[#This Row],[stress_score]]&lt;=20, "Moderate", IF(Table1[[#This Row],[stress_score]]&lt;=30, "Severe", "Extremely Severe")))</f>
        <v>Normal</v>
      </c>
      <c r="L602">
        <v>-0.57848745999999995</v>
      </c>
      <c r="M602">
        <v>4</v>
      </c>
      <c r="N602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602">
        <v>-0.72356116999999998</v>
      </c>
      <c r="P602">
        <v>4</v>
      </c>
      <c r="Q602">
        <f>ROUND(Table1[[#This Row],[dass21_raw_score]],0)</f>
        <v>4</v>
      </c>
      <c r="R602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602">
        <v>-0.70480883000000005</v>
      </c>
      <c r="T602">
        <v>0.39010107999999999</v>
      </c>
      <c r="U602">
        <v>6000</v>
      </c>
      <c r="V602" s="1">
        <f>ROUND(Table1[[#This Row],[fmpce]],0)</f>
        <v>6000</v>
      </c>
      <c r="W602">
        <v>81.627989999999997</v>
      </c>
      <c r="X602" s="4">
        <f>Table1[[#This Row],[mpce]]*89</f>
        <v>7264.8911099999996</v>
      </c>
      <c r="Y602" s="2" t="s">
        <v>31</v>
      </c>
      <c r="Z602" s="3">
        <f>VLOOKUP(Y602, rmpce_reference!$B$1:$D$7,3,FALSE) * 89</f>
        <v>8010</v>
      </c>
      <c r="AA602" s="1" t="str">
        <f>IF(Table1[rmpce_inr]&lt;=rmpce_reference!$F$2, "Low Income", IF(Table1[rmpce_inr]&lt;=rmpce_reference!$F$3, "Middle Income", "High Income"))</f>
        <v>High Income</v>
      </c>
    </row>
    <row r="603" spans="1:27" x14ac:dyDescent="0.25">
      <c r="A603">
        <v>3146</v>
      </c>
      <c r="B603" t="s">
        <v>40</v>
      </c>
      <c r="C603" t="s">
        <v>21</v>
      </c>
      <c r="D603">
        <v>45</v>
      </c>
      <c r="E603" t="s">
        <v>25</v>
      </c>
      <c r="F603" t="s">
        <v>26</v>
      </c>
      <c r="G603">
        <v>0</v>
      </c>
      <c r="H603" s="1" t="str">
        <f>IF(Table1[[#This Row],[anxiety_score]]&lt;=10, "Normal", IF(Table1[[#This Row],[anxiety_score]]&lt;=20, "Moderate", IF(Table1[[#This Row],[anxiety_score]]&lt;=30, "Severe", "Extremely Severe")))</f>
        <v>Normal</v>
      </c>
      <c r="I603">
        <v>-1.0134224999999999</v>
      </c>
      <c r="J603">
        <v>4</v>
      </c>
      <c r="K603" s="1" t="str">
        <f>IF(Table1[[#This Row],[stress_score]]&lt;=10, "Normal", IF(Table1[[#This Row],[stress_score]]&lt;=20, "Moderate", IF(Table1[[#This Row],[stress_score]]&lt;=30, "Severe", "Extremely Severe")))</f>
        <v>Normal</v>
      </c>
      <c r="L603">
        <v>-0.77314866000000004</v>
      </c>
      <c r="M603">
        <v>4</v>
      </c>
      <c r="N603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603">
        <v>-0.72356116999999998</v>
      </c>
      <c r="P603">
        <v>2.6666666999999999</v>
      </c>
      <c r="Q603">
        <f>ROUND(Table1[[#This Row],[dass21_raw_score]],0)</f>
        <v>3</v>
      </c>
      <c r="R603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603">
        <v>-0.83671074999999995</v>
      </c>
      <c r="T603">
        <v>0.25819915999999998</v>
      </c>
      <c r="U603">
        <v>20000</v>
      </c>
      <c r="V603" s="1">
        <f>ROUND(Table1[[#This Row],[fmpce]],0)</f>
        <v>20000</v>
      </c>
      <c r="W603">
        <v>272.0933</v>
      </c>
      <c r="X603" s="4">
        <f>Table1[[#This Row],[mpce]]*89</f>
        <v>24216.3037</v>
      </c>
      <c r="Y603" s="2" t="s">
        <v>35</v>
      </c>
      <c r="Z603" s="3">
        <f>VLOOKUP(Y603, rmpce_reference!$B$1:$D$7,3,FALSE) * 89</f>
        <v>9790</v>
      </c>
      <c r="AA603" s="1" t="str">
        <f>IF(Table1[rmpce_inr]&lt;=rmpce_reference!$F$2, "Low Income", IF(Table1[rmpce_inr]&lt;=rmpce_reference!$F$3, "Middle Income", "High Income"))</f>
        <v>High Income</v>
      </c>
    </row>
    <row r="604" spans="1:27" x14ac:dyDescent="0.25">
      <c r="A604">
        <v>3147</v>
      </c>
      <c r="B604" t="s">
        <v>40</v>
      </c>
      <c r="C604" t="s">
        <v>33</v>
      </c>
      <c r="D604">
        <v>27</v>
      </c>
      <c r="E604" t="s">
        <v>22</v>
      </c>
      <c r="F604" t="s">
        <v>30</v>
      </c>
      <c r="G604">
        <v>2</v>
      </c>
      <c r="H604" s="1" t="str">
        <f>IF(Table1[[#This Row],[anxiety_score]]&lt;=10, "Normal", IF(Table1[[#This Row],[anxiety_score]]&lt;=20, "Moderate", IF(Table1[[#This Row],[anxiety_score]]&lt;=30, "Severe", "Extremely Severe")))</f>
        <v>Normal</v>
      </c>
      <c r="I604">
        <v>-0.81237789999999999</v>
      </c>
      <c r="J604">
        <v>10</v>
      </c>
      <c r="K604" s="1" t="str">
        <f>IF(Table1[[#This Row],[stress_score]]&lt;=10, "Normal", IF(Table1[[#This Row],[stress_score]]&lt;=20, "Moderate", IF(Table1[[#This Row],[stress_score]]&lt;=30, "Severe", "Extremely Severe")))</f>
        <v>Normal</v>
      </c>
      <c r="L604">
        <v>-0.18916494</v>
      </c>
      <c r="M604">
        <v>2</v>
      </c>
      <c r="N604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604">
        <v>-0.91619854999999994</v>
      </c>
      <c r="P604">
        <v>4.6666664999999998</v>
      </c>
      <c r="Q604">
        <f>ROUND(Table1[[#This Row],[dass21_raw_score]],0)</f>
        <v>5</v>
      </c>
      <c r="R604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604">
        <v>-0.63924709999999996</v>
      </c>
      <c r="T604">
        <v>0.45566279999999998</v>
      </c>
      <c r="U604">
        <v>6250</v>
      </c>
      <c r="V604" s="1">
        <f>ROUND(Table1[[#This Row],[fmpce]],0)</f>
        <v>6250</v>
      </c>
      <c r="W604">
        <v>85.029150000000001</v>
      </c>
      <c r="X604" s="4">
        <f>Table1[[#This Row],[mpce]]*89</f>
        <v>7567.5943500000003</v>
      </c>
      <c r="Y604" s="2" t="s">
        <v>31</v>
      </c>
      <c r="Z604" s="3">
        <f>VLOOKUP(Y604, rmpce_reference!$B$1:$D$7,3,FALSE) * 89</f>
        <v>8010</v>
      </c>
      <c r="AA604" s="1" t="str">
        <f>IF(Table1[rmpce_inr]&lt;=rmpce_reference!$F$2, "Low Income", IF(Table1[rmpce_inr]&lt;=rmpce_reference!$F$3, "Middle Income", "High Income"))</f>
        <v>High Income</v>
      </c>
    </row>
    <row r="605" spans="1:27" x14ac:dyDescent="0.25">
      <c r="A605">
        <v>3148</v>
      </c>
      <c r="B605" t="s">
        <v>40</v>
      </c>
      <c r="C605" t="s">
        <v>29</v>
      </c>
      <c r="D605">
        <v>33</v>
      </c>
      <c r="E605" t="s">
        <v>22</v>
      </c>
      <c r="F605" t="s">
        <v>30</v>
      </c>
      <c r="G605">
        <v>4</v>
      </c>
      <c r="H605" s="1" t="str">
        <f>IF(Table1[[#This Row],[anxiety_score]]&lt;=10, "Normal", IF(Table1[[#This Row],[anxiety_score]]&lt;=20, "Moderate", IF(Table1[[#This Row],[anxiety_score]]&lt;=30, "Severe", "Extremely Severe")))</f>
        <v>Normal</v>
      </c>
      <c r="I605">
        <v>-0.61133329999999997</v>
      </c>
      <c r="J605">
        <v>8</v>
      </c>
      <c r="K605" s="1" t="str">
        <f>IF(Table1[[#This Row],[stress_score]]&lt;=10, "Normal", IF(Table1[[#This Row],[stress_score]]&lt;=20, "Moderate", IF(Table1[[#This Row],[stress_score]]&lt;=30, "Severe", "Extremely Severe")))</f>
        <v>Normal</v>
      </c>
      <c r="L605">
        <v>-0.38382620000000001</v>
      </c>
      <c r="M605">
        <v>2</v>
      </c>
      <c r="N605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605">
        <v>-0.91619854999999994</v>
      </c>
      <c r="P605">
        <v>4.6666664999999998</v>
      </c>
      <c r="Q605">
        <f>ROUND(Table1[[#This Row],[dass21_raw_score]],0)</f>
        <v>5</v>
      </c>
      <c r="R605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605">
        <v>-0.63711934999999997</v>
      </c>
      <c r="T605">
        <v>0.45779055000000002</v>
      </c>
      <c r="U605">
        <v>6666.6665000000003</v>
      </c>
      <c r="V605" s="1">
        <f>ROUND(Table1[[#This Row],[fmpce]],0)</f>
        <v>6667</v>
      </c>
      <c r="W605">
        <v>90.697760000000002</v>
      </c>
      <c r="X605" s="4">
        <f>Table1[[#This Row],[mpce]]*89</f>
        <v>8072.1006400000006</v>
      </c>
      <c r="Y605" s="2" t="s">
        <v>31</v>
      </c>
      <c r="Z605" s="3">
        <f>VLOOKUP(Y605, rmpce_reference!$B$1:$D$7,3,FALSE) * 89</f>
        <v>8010</v>
      </c>
      <c r="AA605" s="1" t="str">
        <f>IF(Table1[rmpce_inr]&lt;=rmpce_reference!$F$2, "Low Income", IF(Table1[rmpce_inr]&lt;=rmpce_reference!$F$3, "Middle Income", "High Income"))</f>
        <v>High Income</v>
      </c>
    </row>
    <row r="606" spans="1:27" x14ac:dyDescent="0.25">
      <c r="A606">
        <v>3149</v>
      </c>
      <c r="B606" t="s">
        <v>40</v>
      </c>
      <c r="C606" t="s">
        <v>33</v>
      </c>
      <c r="D606">
        <v>27</v>
      </c>
      <c r="E606" t="s">
        <v>25</v>
      </c>
      <c r="F606" t="s">
        <v>30</v>
      </c>
      <c r="G606">
        <v>4</v>
      </c>
      <c r="H606" s="1" t="str">
        <f>IF(Table1[[#This Row],[anxiety_score]]&lt;=10, "Normal", IF(Table1[[#This Row],[anxiety_score]]&lt;=20, "Moderate", IF(Table1[[#This Row],[anxiety_score]]&lt;=30, "Severe", "Extremely Severe")))</f>
        <v>Normal</v>
      </c>
      <c r="I606">
        <v>-0.61133329999999997</v>
      </c>
      <c r="J606">
        <v>8</v>
      </c>
      <c r="K606" s="1" t="str">
        <f>IF(Table1[[#This Row],[stress_score]]&lt;=10, "Normal", IF(Table1[[#This Row],[stress_score]]&lt;=20, "Moderate", IF(Table1[[#This Row],[stress_score]]&lt;=30, "Severe", "Extremely Severe")))</f>
        <v>Normal</v>
      </c>
      <c r="L606">
        <v>-0.38382620000000001</v>
      </c>
      <c r="M606">
        <v>2</v>
      </c>
      <c r="N606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606">
        <v>-0.91619854999999994</v>
      </c>
      <c r="P606">
        <v>4.6666664999999998</v>
      </c>
      <c r="Q606">
        <f>ROUND(Table1[[#This Row],[dass21_raw_score]],0)</f>
        <v>5</v>
      </c>
      <c r="R606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606">
        <v>-0.63711934999999997</v>
      </c>
      <c r="T606">
        <v>0.45779055000000002</v>
      </c>
      <c r="U606">
        <v>6000</v>
      </c>
      <c r="V606" s="1">
        <f>ROUND(Table1[[#This Row],[fmpce]],0)</f>
        <v>6000</v>
      </c>
      <c r="W606">
        <v>81.627989999999997</v>
      </c>
      <c r="X606" s="4">
        <f>Table1[[#This Row],[mpce]]*89</f>
        <v>7264.8911099999996</v>
      </c>
      <c r="Y606" s="2" t="s">
        <v>31</v>
      </c>
      <c r="Z606" s="3">
        <f>VLOOKUP(Y606, rmpce_reference!$B$1:$D$7,3,FALSE) * 89</f>
        <v>8010</v>
      </c>
      <c r="AA606" s="1" t="str">
        <f>IF(Table1[rmpce_inr]&lt;=rmpce_reference!$F$2, "Low Income", IF(Table1[rmpce_inr]&lt;=rmpce_reference!$F$3, "Middle Income", "High Income"))</f>
        <v>High Income</v>
      </c>
    </row>
    <row r="607" spans="1:27" x14ac:dyDescent="0.25">
      <c r="A607">
        <v>3150</v>
      </c>
      <c r="B607" t="s">
        <v>40</v>
      </c>
      <c r="C607" t="s">
        <v>29</v>
      </c>
      <c r="D607">
        <v>40</v>
      </c>
      <c r="E607" t="s">
        <v>25</v>
      </c>
      <c r="F607" t="s">
        <v>30</v>
      </c>
      <c r="G607">
        <v>0</v>
      </c>
      <c r="H607" s="1" t="str">
        <f>IF(Table1[[#This Row],[anxiety_score]]&lt;=10, "Normal", IF(Table1[[#This Row],[anxiety_score]]&lt;=20, "Moderate", IF(Table1[[#This Row],[anxiety_score]]&lt;=30, "Severe", "Extremely Severe")))</f>
        <v>Normal</v>
      </c>
      <c r="I607">
        <v>-1.0134224999999999</v>
      </c>
      <c r="J607">
        <v>4</v>
      </c>
      <c r="K607" s="1" t="str">
        <f>IF(Table1[[#This Row],[stress_score]]&lt;=10, "Normal", IF(Table1[[#This Row],[stress_score]]&lt;=20, "Moderate", IF(Table1[[#This Row],[stress_score]]&lt;=30, "Severe", "Extremely Severe")))</f>
        <v>Normal</v>
      </c>
      <c r="L607">
        <v>-0.77314866000000004</v>
      </c>
      <c r="M607">
        <v>2</v>
      </c>
      <c r="N607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607">
        <v>-0.91619854999999994</v>
      </c>
      <c r="P607">
        <v>2</v>
      </c>
      <c r="Q607">
        <f>ROUND(Table1[[#This Row],[dass21_raw_score]],0)</f>
        <v>2</v>
      </c>
      <c r="R607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607">
        <v>-0.90092324999999995</v>
      </c>
      <c r="T607">
        <v>0.19398665000000001</v>
      </c>
      <c r="U607">
        <v>7000</v>
      </c>
      <c r="V607" s="1">
        <f>ROUND(Table1[[#This Row],[fmpce]],0)</f>
        <v>7000</v>
      </c>
      <c r="W607">
        <v>95.232650000000007</v>
      </c>
      <c r="X607" s="4">
        <f>Table1[[#This Row],[mpce]]*89</f>
        <v>8475.7058500000003</v>
      </c>
      <c r="Y607" s="2" t="s">
        <v>31</v>
      </c>
      <c r="Z607" s="3">
        <f>VLOOKUP(Y607, rmpce_reference!$B$1:$D$7,3,FALSE) * 89</f>
        <v>8010</v>
      </c>
      <c r="AA607" s="1" t="str">
        <f>IF(Table1[rmpce_inr]&lt;=rmpce_reference!$F$2, "Low Income", IF(Table1[rmpce_inr]&lt;=rmpce_reference!$F$3, "Middle Income", "High Income"))</f>
        <v>High Income</v>
      </c>
    </row>
    <row r="608" spans="1:27" x14ac:dyDescent="0.25">
      <c r="A608">
        <v>3151</v>
      </c>
      <c r="B608" t="s">
        <v>40</v>
      </c>
      <c r="C608" t="s">
        <v>21</v>
      </c>
      <c r="D608">
        <v>43</v>
      </c>
      <c r="E608" t="s">
        <v>25</v>
      </c>
      <c r="F608" t="s">
        <v>27</v>
      </c>
      <c r="G608">
        <v>0</v>
      </c>
      <c r="H608" s="1" t="str">
        <f>IF(Table1[[#This Row],[anxiety_score]]&lt;=10, "Normal", IF(Table1[[#This Row],[anxiety_score]]&lt;=20, "Moderate", IF(Table1[[#This Row],[anxiety_score]]&lt;=30, "Severe", "Extremely Severe")))</f>
        <v>Normal</v>
      </c>
      <c r="I608">
        <v>-1.0134224999999999</v>
      </c>
      <c r="J608">
        <v>4</v>
      </c>
      <c r="K608" s="1" t="str">
        <f>IF(Table1[[#This Row],[stress_score]]&lt;=10, "Normal", IF(Table1[[#This Row],[stress_score]]&lt;=20, "Moderate", IF(Table1[[#This Row],[stress_score]]&lt;=30, "Severe", "Extremely Severe")))</f>
        <v>Normal</v>
      </c>
      <c r="L608">
        <v>-0.77314866000000004</v>
      </c>
      <c r="M608">
        <v>2</v>
      </c>
      <c r="N608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608">
        <v>-0.91619854999999994</v>
      </c>
      <c r="P608">
        <v>2</v>
      </c>
      <c r="Q608">
        <f>ROUND(Table1[[#This Row],[dass21_raw_score]],0)</f>
        <v>2</v>
      </c>
      <c r="R608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608">
        <v>-0.90092324999999995</v>
      </c>
      <c r="T608">
        <v>0.19398665000000001</v>
      </c>
      <c r="U608">
        <v>10000</v>
      </c>
      <c r="V608" s="1">
        <f>ROUND(Table1[[#This Row],[fmpce]],0)</f>
        <v>10000</v>
      </c>
      <c r="W608">
        <v>136.04665</v>
      </c>
      <c r="X608" s="4">
        <f>Table1[[#This Row],[mpce]]*89</f>
        <v>12108.15185</v>
      </c>
      <c r="Y608" s="2" t="s">
        <v>35</v>
      </c>
      <c r="Z608" s="3">
        <f>VLOOKUP(Y608, rmpce_reference!$B$1:$D$7,3,FALSE) * 89</f>
        <v>9790</v>
      </c>
      <c r="AA608" s="1" t="str">
        <f>IF(Table1[rmpce_inr]&lt;=rmpce_reference!$F$2, "Low Income", IF(Table1[rmpce_inr]&lt;=rmpce_reference!$F$3, "Middle Income", "High Income"))</f>
        <v>High Income</v>
      </c>
    </row>
    <row r="609" spans="1:27" x14ac:dyDescent="0.25">
      <c r="A609">
        <v>3152</v>
      </c>
      <c r="B609" t="s">
        <v>40</v>
      </c>
      <c r="C609" t="s">
        <v>29</v>
      </c>
      <c r="D609">
        <v>38</v>
      </c>
      <c r="E609" t="s">
        <v>25</v>
      </c>
      <c r="F609" t="s">
        <v>26</v>
      </c>
      <c r="G609">
        <v>2</v>
      </c>
      <c r="H609" s="1" t="str">
        <f>IF(Table1[[#This Row],[anxiety_score]]&lt;=10, "Normal", IF(Table1[[#This Row],[anxiety_score]]&lt;=20, "Moderate", IF(Table1[[#This Row],[anxiety_score]]&lt;=30, "Severe", "Extremely Severe")))</f>
        <v>Normal</v>
      </c>
      <c r="I609">
        <v>-0.81237789999999999</v>
      </c>
      <c r="J609">
        <v>2</v>
      </c>
      <c r="K609" s="1" t="str">
        <f>IF(Table1[[#This Row],[stress_score]]&lt;=10, "Normal", IF(Table1[[#This Row],[stress_score]]&lt;=20, "Moderate", IF(Table1[[#This Row],[stress_score]]&lt;=30, "Severe", "Extremely Severe")))</f>
        <v>Normal</v>
      </c>
      <c r="L609">
        <v>-0.9678099</v>
      </c>
      <c r="M609">
        <v>0</v>
      </c>
      <c r="N609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609">
        <v>-1.1088359000000001</v>
      </c>
      <c r="P609">
        <v>1.3333333999999999</v>
      </c>
      <c r="Q609">
        <f>ROUND(Table1[[#This Row],[dass21_raw_score]],0)</f>
        <v>1</v>
      </c>
      <c r="R609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609">
        <v>-0.96300790000000003</v>
      </c>
      <c r="T609">
        <v>0.13190198</v>
      </c>
      <c r="U609">
        <v>13333.333000000001</v>
      </c>
      <c r="V609" s="1">
        <f>ROUND(Table1[[#This Row],[fmpce]],0)</f>
        <v>13333</v>
      </c>
      <c r="W609">
        <v>181.39552</v>
      </c>
      <c r="X609" s="4">
        <f>Table1[[#This Row],[mpce]]*89</f>
        <v>16144.201280000001</v>
      </c>
      <c r="Y609" s="2" t="s">
        <v>35</v>
      </c>
      <c r="Z609" s="3">
        <f>VLOOKUP(Y609, rmpce_reference!$B$1:$D$7,3,FALSE) * 89</f>
        <v>9790</v>
      </c>
      <c r="AA609" s="1" t="str">
        <f>IF(Table1[rmpce_inr]&lt;=rmpce_reference!$F$2, "Low Income", IF(Table1[rmpce_inr]&lt;=rmpce_reference!$F$3, "Middle Income", "High Income"))</f>
        <v>High Income</v>
      </c>
    </row>
    <row r="610" spans="1:27" x14ac:dyDescent="0.25">
      <c r="A610">
        <v>3153</v>
      </c>
      <c r="B610" t="s">
        <v>40</v>
      </c>
      <c r="C610" t="s">
        <v>21</v>
      </c>
      <c r="D610">
        <v>50</v>
      </c>
      <c r="E610" t="s">
        <v>25</v>
      </c>
      <c r="F610" t="s">
        <v>26</v>
      </c>
      <c r="G610">
        <v>0</v>
      </c>
      <c r="H610" s="1" t="str">
        <f>IF(Table1[[#This Row],[anxiety_score]]&lt;=10, "Normal", IF(Table1[[#This Row],[anxiety_score]]&lt;=20, "Moderate", IF(Table1[[#This Row],[anxiety_score]]&lt;=30, "Severe", "Extremely Severe")))</f>
        <v>Normal</v>
      </c>
      <c r="I610">
        <v>-1.0134224999999999</v>
      </c>
      <c r="J610">
        <v>6</v>
      </c>
      <c r="K610" s="1" t="str">
        <f>IF(Table1[[#This Row],[stress_score]]&lt;=10, "Normal", IF(Table1[[#This Row],[stress_score]]&lt;=20, "Moderate", IF(Table1[[#This Row],[stress_score]]&lt;=30, "Severe", "Extremely Severe")))</f>
        <v>Normal</v>
      </c>
      <c r="L610">
        <v>-0.57848745999999995</v>
      </c>
      <c r="M610">
        <v>4</v>
      </c>
      <c r="N610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610">
        <v>-0.72356116999999998</v>
      </c>
      <c r="P610">
        <v>3.3333333000000001</v>
      </c>
      <c r="Q610">
        <f>ROUND(Table1[[#This Row],[dass21_raw_score]],0)</f>
        <v>3</v>
      </c>
      <c r="R610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610">
        <v>-0.7718237</v>
      </c>
      <c r="T610">
        <v>0.32308619999999999</v>
      </c>
      <c r="U610">
        <v>10000</v>
      </c>
      <c r="V610" s="1">
        <f>ROUND(Table1[[#This Row],[fmpce]],0)</f>
        <v>10000</v>
      </c>
      <c r="W610">
        <v>136.04665</v>
      </c>
      <c r="X610" s="4">
        <f>Table1[[#This Row],[mpce]]*89</f>
        <v>12108.15185</v>
      </c>
      <c r="Y610" s="2" t="s">
        <v>35</v>
      </c>
      <c r="Z610" s="3">
        <f>VLOOKUP(Y610, rmpce_reference!$B$1:$D$7,3,FALSE) * 89</f>
        <v>9790</v>
      </c>
      <c r="AA610" s="1" t="str">
        <f>IF(Table1[rmpce_inr]&lt;=rmpce_reference!$F$2, "Low Income", IF(Table1[rmpce_inr]&lt;=rmpce_reference!$F$3, "Middle Income", "High Income"))</f>
        <v>High Income</v>
      </c>
    </row>
    <row r="611" spans="1:27" x14ac:dyDescent="0.25">
      <c r="A611">
        <v>3154</v>
      </c>
      <c r="B611" t="s">
        <v>40</v>
      </c>
      <c r="C611" t="s">
        <v>29</v>
      </c>
      <c r="D611">
        <v>33</v>
      </c>
      <c r="E611" t="s">
        <v>25</v>
      </c>
      <c r="F611" t="s">
        <v>26</v>
      </c>
      <c r="G611">
        <v>0</v>
      </c>
      <c r="H611" s="1" t="str">
        <f>IF(Table1[[#This Row],[anxiety_score]]&lt;=10, "Normal", IF(Table1[[#This Row],[anxiety_score]]&lt;=20, "Moderate", IF(Table1[[#This Row],[anxiety_score]]&lt;=30, "Severe", "Extremely Severe")))</f>
        <v>Normal</v>
      </c>
      <c r="I611">
        <v>-1.0134224999999999</v>
      </c>
      <c r="J611">
        <v>4</v>
      </c>
      <c r="K611" s="1" t="str">
        <f>IF(Table1[[#This Row],[stress_score]]&lt;=10, "Normal", IF(Table1[[#This Row],[stress_score]]&lt;=20, "Moderate", IF(Table1[[#This Row],[stress_score]]&lt;=30, "Severe", "Extremely Severe")))</f>
        <v>Normal</v>
      </c>
      <c r="L611">
        <v>-0.77314866000000004</v>
      </c>
      <c r="M611">
        <v>0</v>
      </c>
      <c r="N611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611">
        <v>-1.1088359000000001</v>
      </c>
      <c r="P611">
        <v>1.3333333999999999</v>
      </c>
      <c r="Q611">
        <f>ROUND(Table1[[#This Row],[dass21_raw_score]],0)</f>
        <v>1</v>
      </c>
      <c r="R611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611">
        <v>-0.96513570000000004</v>
      </c>
      <c r="T611">
        <v>0.12977421</v>
      </c>
      <c r="U611">
        <v>5000</v>
      </c>
      <c r="V611" s="1">
        <f>ROUND(Table1[[#This Row],[fmpce]],0)</f>
        <v>5000</v>
      </c>
      <c r="W611">
        <v>68.023319999999998</v>
      </c>
      <c r="X611" s="4">
        <f>Table1[[#This Row],[mpce]]*89</f>
        <v>6054.0754799999995</v>
      </c>
      <c r="Y611" s="2" t="s">
        <v>28</v>
      </c>
      <c r="Z611" s="3">
        <f>VLOOKUP(Y611, rmpce_reference!$B$1:$D$7,3,FALSE) * 89</f>
        <v>6230</v>
      </c>
      <c r="AA611" s="1" t="str">
        <f>IF(Table1[rmpce_inr]&lt;=rmpce_reference!$F$2, "Low Income", IF(Table1[rmpce_inr]&lt;=rmpce_reference!$F$3, "Middle Income", "High Income"))</f>
        <v>Middle Income</v>
      </c>
    </row>
    <row r="612" spans="1:27" x14ac:dyDescent="0.25">
      <c r="A612">
        <v>3155</v>
      </c>
      <c r="B612" t="s">
        <v>40</v>
      </c>
      <c r="C612" t="s">
        <v>29</v>
      </c>
      <c r="D612">
        <v>34</v>
      </c>
      <c r="E612" t="s">
        <v>25</v>
      </c>
      <c r="F612" t="s">
        <v>26</v>
      </c>
      <c r="G612">
        <v>0</v>
      </c>
      <c r="H612" s="1" t="str">
        <f>IF(Table1[[#This Row],[anxiety_score]]&lt;=10, "Normal", IF(Table1[[#This Row],[anxiety_score]]&lt;=20, "Moderate", IF(Table1[[#This Row],[anxiety_score]]&lt;=30, "Severe", "Extremely Severe")))</f>
        <v>Normal</v>
      </c>
      <c r="I612">
        <v>-1.0134224999999999</v>
      </c>
      <c r="J612">
        <v>10</v>
      </c>
      <c r="K612" s="1" t="str">
        <f>IF(Table1[[#This Row],[stress_score]]&lt;=10, "Normal", IF(Table1[[#This Row],[stress_score]]&lt;=20, "Moderate", IF(Table1[[#This Row],[stress_score]]&lt;=30, "Severe", "Extremely Severe")))</f>
        <v>Normal</v>
      </c>
      <c r="L612">
        <v>-0.18916494</v>
      </c>
      <c r="M612">
        <v>4</v>
      </c>
      <c r="N612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612">
        <v>-0.72356116999999998</v>
      </c>
      <c r="P612">
        <v>4.6666664999999998</v>
      </c>
      <c r="Q612">
        <f>ROUND(Table1[[#This Row],[dass21_raw_score]],0)</f>
        <v>5</v>
      </c>
      <c r="R612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612">
        <v>-0.64204954999999997</v>
      </c>
      <c r="T612">
        <v>0.45286036000000002</v>
      </c>
      <c r="U612">
        <v>6000</v>
      </c>
      <c r="V612" s="1">
        <f>ROUND(Table1[[#This Row],[fmpce]],0)</f>
        <v>6000</v>
      </c>
      <c r="W612">
        <v>81.627989999999997</v>
      </c>
      <c r="X612" s="4">
        <f>Table1[[#This Row],[mpce]]*89</f>
        <v>7264.8911099999996</v>
      </c>
      <c r="Y612" s="2" t="s">
        <v>31</v>
      </c>
      <c r="Z612" s="3">
        <f>VLOOKUP(Y612, rmpce_reference!$B$1:$D$7,3,FALSE) * 89</f>
        <v>8010</v>
      </c>
      <c r="AA612" s="1" t="str">
        <f>IF(Table1[rmpce_inr]&lt;=rmpce_reference!$F$2, "Low Income", IF(Table1[rmpce_inr]&lt;=rmpce_reference!$F$3, "Middle Income", "High Income"))</f>
        <v>High Income</v>
      </c>
    </row>
    <row r="613" spans="1:27" x14ac:dyDescent="0.25">
      <c r="A613">
        <v>3156</v>
      </c>
      <c r="B613" t="s">
        <v>40</v>
      </c>
      <c r="C613" t="s">
        <v>21</v>
      </c>
      <c r="D613">
        <v>45</v>
      </c>
      <c r="E613" t="s">
        <v>22</v>
      </c>
      <c r="F613" t="s">
        <v>30</v>
      </c>
      <c r="G613">
        <v>0</v>
      </c>
      <c r="H613" s="1" t="str">
        <f>IF(Table1[[#This Row],[anxiety_score]]&lt;=10, "Normal", IF(Table1[[#This Row],[anxiety_score]]&lt;=20, "Moderate", IF(Table1[[#This Row],[anxiety_score]]&lt;=30, "Severe", "Extremely Severe")))</f>
        <v>Normal</v>
      </c>
      <c r="I613">
        <v>-1.0134224999999999</v>
      </c>
      <c r="J613">
        <v>14</v>
      </c>
      <c r="K613" s="1" t="str">
        <f>IF(Table1[[#This Row],[stress_score]]&lt;=10, "Normal", IF(Table1[[#This Row],[stress_score]]&lt;=20, "Moderate", IF(Table1[[#This Row],[stress_score]]&lt;=30, "Severe", "Extremely Severe")))</f>
        <v>Moderate</v>
      </c>
      <c r="L613">
        <v>0.20015757000000001</v>
      </c>
      <c r="M613">
        <v>12</v>
      </c>
      <c r="N613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613">
        <v>4.6988415999999998E-2</v>
      </c>
      <c r="P613">
        <v>8.6666670000000003</v>
      </c>
      <c r="Q613">
        <f>ROUND(Table1[[#This Row],[dass21_raw_score]],0)</f>
        <v>9</v>
      </c>
      <c r="R613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613">
        <v>-0.25542550000000003</v>
      </c>
      <c r="T613">
        <v>0.83948440000000002</v>
      </c>
      <c r="U613">
        <v>7500</v>
      </c>
      <c r="V613" s="1">
        <f>ROUND(Table1[[#This Row],[fmpce]],0)</f>
        <v>7500</v>
      </c>
      <c r="W613">
        <v>102.03498999999999</v>
      </c>
      <c r="X613" s="4">
        <f>Table1[[#This Row],[mpce]]*89</f>
        <v>9081.1141099999986</v>
      </c>
      <c r="Y613" s="2" t="s">
        <v>35</v>
      </c>
      <c r="Z613" s="3">
        <f>VLOOKUP(Y613, rmpce_reference!$B$1:$D$7,3,FALSE) * 89</f>
        <v>9790</v>
      </c>
      <c r="AA613" s="1" t="str">
        <f>IF(Table1[rmpce_inr]&lt;=rmpce_reference!$F$2, "Low Income", IF(Table1[rmpce_inr]&lt;=rmpce_reference!$F$3, "Middle Income", "High Income"))</f>
        <v>High Income</v>
      </c>
    </row>
    <row r="614" spans="1:27" x14ac:dyDescent="0.25">
      <c r="A614">
        <v>3157</v>
      </c>
      <c r="B614" t="s">
        <v>40</v>
      </c>
      <c r="C614" t="s">
        <v>33</v>
      </c>
      <c r="D614">
        <v>28</v>
      </c>
      <c r="E614" t="s">
        <v>22</v>
      </c>
      <c r="F614" t="s">
        <v>30</v>
      </c>
      <c r="G614">
        <v>2</v>
      </c>
      <c r="H614" s="1" t="str">
        <f>IF(Table1[[#This Row],[anxiety_score]]&lt;=10, "Normal", IF(Table1[[#This Row],[anxiety_score]]&lt;=20, "Moderate", IF(Table1[[#This Row],[anxiety_score]]&lt;=30, "Severe", "Extremely Severe")))</f>
        <v>Normal</v>
      </c>
      <c r="I614">
        <v>-0.81237789999999999</v>
      </c>
      <c r="J614">
        <v>8</v>
      </c>
      <c r="K614" s="1" t="str">
        <f>IF(Table1[[#This Row],[stress_score]]&lt;=10, "Normal", IF(Table1[[#This Row],[stress_score]]&lt;=20, "Moderate", IF(Table1[[#This Row],[stress_score]]&lt;=30, "Severe", "Extremely Severe")))</f>
        <v>Normal</v>
      </c>
      <c r="L614">
        <v>-0.38382620000000001</v>
      </c>
      <c r="M614">
        <v>2</v>
      </c>
      <c r="N614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614">
        <v>-0.91619854999999994</v>
      </c>
      <c r="P614">
        <v>4</v>
      </c>
      <c r="Q614">
        <f>ROUND(Table1[[#This Row],[dass21_raw_score]],0)</f>
        <v>4</v>
      </c>
      <c r="R614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614">
        <v>-0.70413420000000004</v>
      </c>
      <c r="T614">
        <v>0.39077568000000001</v>
      </c>
      <c r="U614">
        <v>10000</v>
      </c>
      <c r="V614" s="1">
        <f>ROUND(Table1[[#This Row],[fmpce]],0)</f>
        <v>10000</v>
      </c>
      <c r="W614">
        <v>136.04665</v>
      </c>
      <c r="X614" s="4">
        <f>Table1[[#This Row],[mpce]]*89</f>
        <v>12108.15185</v>
      </c>
      <c r="Y614" s="2" t="s">
        <v>35</v>
      </c>
      <c r="Z614" s="3">
        <f>VLOOKUP(Y614, rmpce_reference!$B$1:$D$7,3,FALSE) * 89</f>
        <v>9790</v>
      </c>
      <c r="AA614" s="1" t="str">
        <f>IF(Table1[rmpce_inr]&lt;=rmpce_reference!$F$2, "Low Income", IF(Table1[rmpce_inr]&lt;=rmpce_reference!$F$3, "Middle Income", "High Income"))</f>
        <v>High Income</v>
      </c>
    </row>
    <row r="615" spans="1:27" x14ac:dyDescent="0.25">
      <c r="A615">
        <v>3158</v>
      </c>
      <c r="B615" t="s">
        <v>40</v>
      </c>
      <c r="C615" t="s">
        <v>29</v>
      </c>
      <c r="D615">
        <v>38</v>
      </c>
      <c r="E615" t="s">
        <v>25</v>
      </c>
      <c r="F615" t="s">
        <v>26</v>
      </c>
      <c r="G615">
        <v>4</v>
      </c>
      <c r="H615" s="1" t="str">
        <f>IF(Table1[[#This Row],[anxiety_score]]&lt;=10, "Normal", IF(Table1[[#This Row],[anxiety_score]]&lt;=20, "Moderate", IF(Table1[[#This Row],[anxiety_score]]&lt;=30, "Severe", "Extremely Severe")))</f>
        <v>Normal</v>
      </c>
      <c r="I615">
        <v>-0.61133329999999997</v>
      </c>
      <c r="J615">
        <v>6</v>
      </c>
      <c r="K615" s="1" t="str">
        <f>IF(Table1[[#This Row],[stress_score]]&lt;=10, "Normal", IF(Table1[[#This Row],[stress_score]]&lt;=20, "Moderate", IF(Table1[[#This Row],[stress_score]]&lt;=30, "Severe", "Extremely Severe")))</f>
        <v>Normal</v>
      </c>
      <c r="L615">
        <v>-0.57848745999999995</v>
      </c>
      <c r="M615">
        <v>10</v>
      </c>
      <c r="N615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615">
        <v>-0.14564899000000001</v>
      </c>
      <c r="P615">
        <v>6.6666664999999998</v>
      </c>
      <c r="Q615">
        <f>ROUND(Table1[[#This Row],[dass21_raw_score]],0)</f>
        <v>7</v>
      </c>
      <c r="R615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615">
        <v>-0.44515656999999997</v>
      </c>
      <c r="T615">
        <v>0.64975333000000002</v>
      </c>
      <c r="U615">
        <v>6250</v>
      </c>
      <c r="V615" s="1">
        <f>ROUND(Table1[[#This Row],[fmpce]],0)</f>
        <v>6250</v>
      </c>
      <c r="W615">
        <v>85.029150000000001</v>
      </c>
      <c r="X615" s="4">
        <f>Table1[[#This Row],[mpce]]*89</f>
        <v>7567.5943500000003</v>
      </c>
      <c r="Y615" s="2" t="s">
        <v>31</v>
      </c>
      <c r="Z615" s="3">
        <f>VLOOKUP(Y615, rmpce_reference!$B$1:$D$7,3,FALSE) * 89</f>
        <v>8010</v>
      </c>
      <c r="AA615" s="1" t="str">
        <f>IF(Table1[rmpce_inr]&lt;=rmpce_reference!$F$2, "Low Income", IF(Table1[rmpce_inr]&lt;=rmpce_reference!$F$3, "Middle Income", "High Income"))</f>
        <v>High Income</v>
      </c>
    </row>
    <row r="616" spans="1:27" x14ac:dyDescent="0.25">
      <c r="A616">
        <v>3159</v>
      </c>
      <c r="B616" t="s">
        <v>40</v>
      </c>
      <c r="C616" t="s">
        <v>33</v>
      </c>
      <c r="D616">
        <v>27</v>
      </c>
      <c r="E616" t="s">
        <v>25</v>
      </c>
      <c r="F616" t="s">
        <v>30</v>
      </c>
      <c r="G616">
        <v>4</v>
      </c>
      <c r="H616" s="1" t="str">
        <f>IF(Table1[[#This Row],[anxiety_score]]&lt;=10, "Normal", IF(Table1[[#This Row],[anxiety_score]]&lt;=20, "Moderate", IF(Table1[[#This Row],[anxiety_score]]&lt;=30, "Severe", "Extremely Severe")))</f>
        <v>Normal</v>
      </c>
      <c r="I616">
        <v>-0.61133329999999997</v>
      </c>
      <c r="J616">
        <v>8</v>
      </c>
      <c r="K616" s="1" t="str">
        <f>IF(Table1[[#This Row],[stress_score]]&lt;=10, "Normal", IF(Table1[[#This Row],[stress_score]]&lt;=20, "Moderate", IF(Table1[[#This Row],[stress_score]]&lt;=30, "Severe", "Extremely Severe")))</f>
        <v>Normal</v>
      </c>
      <c r="L616">
        <v>-0.38382620000000001</v>
      </c>
      <c r="M616">
        <v>2</v>
      </c>
      <c r="N616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616">
        <v>-0.91619854999999994</v>
      </c>
      <c r="P616">
        <v>4.6666664999999998</v>
      </c>
      <c r="Q616">
        <f>ROUND(Table1[[#This Row],[dass21_raw_score]],0)</f>
        <v>5</v>
      </c>
      <c r="R616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616">
        <v>-0.63711934999999997</v>
      </c>
      <c r="T616">
        <v>0.45779055000000002</v>
      </c>
      <c r="U616">
        <v>4000</v>
      </c>
      <c r="V616" s="1">
        <f>ROUND(Table1[[#This Row],[fmpce]],0)</f>
        <v>4000</v>
      </c>
      <c r="W616">
        <v>54.418660000000003</v>
      </c>
      <c r="X616" s="4">
        <f>Table1[[#This Row],[mpce]]*89</f>
        <v>4843.2607400000006</v>
      </c>
      <c r="Y616" s="2" t="s">
        <v>32</v>
      </c>
      <c r="Z616" s="3">
        <f>VLOOKUP(Y616, rmpce_reference!$B$1:$D$7,3,FALSE) * 89</f>
        <v>4450</v>
      </c>
      <c r="AA616" s="1" t="str">
        <f>IF(Table1[rmpce_inr]&lt;=rmpce_reference!$F$2, "Low Income", IF(Table1[rmpce_inr]&lt;=rmpce_reference!$F$3, "Middle Income", "High Income"))</f>
        <v>Low Income</v>
      </c>
    </row>
    <row r="617" spans="1:27" x14ac:dyDescent="0.25">
      <c r="A617">
        <v>3160</v>
      </c>
      <c r="B617" t="s">
        <v>40</v>
      </c>
      <c r="C617" t="s">
        <v>29</v>
      </c>
      <c r="D617">
        <v>40</v>
      </c>
      <c r="E617" t="s">
        <v>22</v>
      </c>
      <c r="F617" t="s">
        <v>30</v>
      </c>
      <c r="G617">
        <v>0</v>
      </c>
      <c r="H617" s="1" t="str">
        <f>IF(Table1[[#This Row],[anxiety_score]]&lt;=10, "Normal", IF(Table1[[#This Row],[anxiety_score]]&lt;=20, "Moderate", IF(Table1[[#This Row],[anxiety_score]]&lt;=30, "Severe", "Extremely Severe")))</f>
        <v>Normal</v>
      </c>
      <c r="I617">
        <v>-1.0134224999999999</v>
      </c>
      <c r="J617">
        <v>4</v>
      </c>
      <c r="K617" s="1" t="str">
        <f>IF(Table1[[#This Row],[stress_score]]&lt;=10, "Normal", IF(Table1[[#This Row],[stress_score]]&lt;=20, "Moderate", IF(Table1[[#This Row],[stress_score]]&lt;=30, "Severe", "Extremely Severe")))</f>
        <v>Normal</v>
      </c>
      <c r="L617">
        <v>-0.77314866000000004</v>
      </c>
      <c r="M617">
        <v>12</v>
      </c>
      <c r="N617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617">
        <v>4.6988415999999998E-2</v>
      </c>
      <c r="P617">
        <v>5.3333335000000002</v>
      </c>
      <c r="Q617">
        <f>ROUND(Table1[[#This Row],[dass21_raw_score]],0)</f>
        <v>5</v>
      </c>
      <c r="R617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617">
        <v>-0.57986090000000001</v>
      </c>
      <c r="T617">
        <v>0.51504899999999998</v>
      </c>
      <c r="U617">
        <v>5000</v>
      </c>
      <c r="V617" s="1">
        <f>ROUND(Table1[[#This Row],[fmpce]],0)</f>
        <v>5000</v>
      </c>
      <c r="W617">
        <v>68.023319999999998</v>
      </c>
      <c r="X617" s="4">
        <f>Table1[[#This Row],[mpce]]*89</f>
        <v>6054.0754799999995</v>
      </c>
      <c r="Y617" s="2" t="s">
        <v>28</v>
      </c>
      <c r="Z617" s="3">
        <f>VLOOKUP(Y617, rmpce_reference!$B$1:$D$7,3,FALSE) * 89</f>
        <v>6230</v>
      </c>
      <c r="AA617" s="1" t="str">
        <f>IF(Table1[rmpce_inr]&lt;=rmpce_reference!$F$2, "Low Income", IF(Table1[rmpce_inr]&lt;=rmpce_reference!$F$3, "Middle Income", "High Income"))</f>
        <v>Middle Income</v>
      </c>
    </row>
    <row r="618" spans="1:27" x14ac:dyDescent="0.25">
      <c r="A618">
        <v>3161</v>
      </c>
      <c r="B618" t="s">
        <v>40</v>
      </c>
      <c r="C618" t="s">
        <v>29</v>
      </c>
      <c r="D618">
        <v>32</v>
      </c>
      <c r="E618" t="s">
        <v>22</v>
      </c>
      <c r="F618" t="s">
        <v>26</v>
      </c>
      <c r="G618">
        <v>0</v>
      </c>
      <c r="H618" s="1" t="str">
        <f>IF(Table1[[#This Row],[anxiety_score]]&lt;=10, "Normal", IF(Table1[[#This Row],[anxiety_score]]&lt;=20, "Moderate", IF(Table1[[#This Row],[anxiety_score]]&lt;=30, "Severe", "Extremely Severe")))</f>
        <v>Normal</v>
      </c>
      <c r="I618">
        <v>-1.0134224999999999</v>
      </c>
      <c r="J618">
        <v>0</v>
      </c>
      <c r="K618" s="1" t="str">
        <f>IF(Table1[[#This Row],[stress_score]]&lt;=10, "Normal", IF(Table1[[#This Row],[stress_score]]&lt;=20, "Moderate", IF(Table1[[#This Row],[stress_score]]&lt;=30, "Severe", "Extremely Severe")))</f>
        <v>Normal</v>
      </c>
      <c r="L618">
        <v>-1.1624711999999999</v>
      </c>
      <c r="M618">
        <v>10</v>
      </c>
      <c r="N618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618">
        <v>-0.14564899000000001</v>
      </c>
      <c r="P618">
        <v>3.3333333000000001</v>
      </c>
      <c r="Q618">
        <f>ROUND(Table1[[#This Row],[dass21_raw_score]],0)</f>
        <v>3</v>
      </c>
      <c r="R618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618">
        <v>-0.77384759999999997</v>
      </c>
      <c r="T618">
        <v>0.32106233000000001</v>
      </c>
      <c r="U618">
        <v>6250</v>
      </c>
      <c r="V618" s="1">
        <f>ROUND(Table1[[#This Row],[fmpce]],0)</f>
        <v>6250</v>
      </c>
      <c r="W618">
        <v>85.029150000000001</v>
      </c>
      <c r="X618" s="4">
        <f>Table1[[#This Row],[mpce]]*89</f>
        <v>7567.5943500000003</v>
      </c>
      <c r="Y618" s="2" t="s">
        <v>31</v>
      </c>
      <c r="Z618" s="3">
        <f>VLOOKUP(Y618, rmpce_reference!$B$1:$D$7,3,FALSE) * 89</f>
        <v>8010</v>
      </c>
      <c r="AA618" s="1" t="str">
        <f>IF(Table1[rmpce_inr]&lt;=rmpce_reference!$F$2, "Low Income", IF(Table1[rmpce_inr]&lt;=rmpce_reference!$F$3, "Middle Income", "High Income"))</f>
        <v>High Income</v>
      </c>
    </row>
    <row r="619" spans="1:27" x14ac:dyDescent="0.25">
      <c r="A619">
        <v>3162</v>
      </c>
      <c r="B619" t="s">
        <v>40</v>
      </c>
      <c r="C619" t="s">
        <v>21</v>
      </c>
      <c r="D619">
        <v>45</v>
      </c>
      <c r="E619" t="s">
        <v>22</v>
      </c>
      <c r="F619" t="s">
        <v>30</v>
      </c>
      <c r="G619">
        <v>4</v>
      </c>
      <c r="H619" s="1" t="str">
        <f>IF(Table1[[#This Row],[anxiety_score]]&lt;=10, "Normal", IF(Table1[[#This Row],[anxiety_score]]&lt;=20, "Moderate", IF(Table1[[#This Row],[anxiety_score]]&lt;=30, "Severe", "Extremely Severe")))</f>
        <v>Normal</v>
      </c>
      <c r="I619">
        <v>-0.61133329999999997</v>
      </c>
      <c r="J619">
        <v>8</v>
      </c>
      <c r="K619" s="1" t="str">
        <f>IF(Table1[[#This Row],[stress_score]]&lt;=10, "Normal", IF(Table1[[#This Row],[stress_score]]&lt;=20, "Moderate", IF(Table1[[#This Row],[stress_score]]&lt;=30, "Severe", "Extremely Severe")))</f>
        <v>Normal</v>
      </c>
      <c r="L619">
        <v>-0.38382620000000001</v>
      </c>
      <c r="M619">
        <v>6</v>
      </c>
      <c r="N619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619">
        <v>-0.53092379999999995</v>
      </c>
      <c r="P619">
        <v>6</v>
      </c>
      <c r="Q619">
        <f>ROUND(Table1[[#This Row],[dass21_raw_score]],0)</f>
        <v>6</v>
      </c>
      <c r="R619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619">
        <v>-0.50869439999999999</v>
      </c>
      <c r="T619">
        <v>0.5862155</v>
      </c>
      <c r="U619">
        <v>4000</v>
      </c>
      <c r="V619" s="1">
        <f>ROUND(Table1[[#This Row],[fmpce]],0)</f>
        <v>4000</v>
      </c>
      <c r="W619">
        <v>54.418660000000003</v>
      </c>
      <c r="X619" s="4">
        <f>Table1[[#This Row],[mpce]]*89</f>
        <v>4843.2607400000006</v>
      </c>
      <c r="Y619" s="2" t="s">
        <v>32</v>
      </c>
      <c r="Z619" s="3">
        <f>VLOOKUP(Y619, rmpce_reference!$B$1:$D$7,3,FALSE) * 89</f>
        <v>4450</v>
      </c>
      <c r="AA619" s="1" t="str">
        <f>IF(Table1[rmpce_inr]&lt;=rmpce_reference!$F$2, "Low Income", IF(Table1[rmpce_inr]&lt;=rmpce_reference!$F$3, "Middle Income", "High Income"))</f>
        <v>Low Income</v>
      </c>
    </row>
    <row r="620" spans="1:27" x14ac:dyDescent="0.25">
      <c r="A620">
        <v>3163</v>
      </c>
      <c r="B620" t="s">
        <v>40</v>
      </c>
      <c r="C620" t="s">
        <v>33</v>
      </c>
      <c r="D620">
        <v>30</v>
      </c>
      <c r="E620" t="s">
        <v>25</v>
      </c>
      <c r="F620" t="s">
        <v>26</v>
      </c>
      <c r="G620">
        <v>2</v>
      </c>
      <c r="H620" s="1" t="str">
        <f>IF(Table1[[#This Row],[anxiety_score]]&lt;=10, "Normal", IF(Table1[[#This Row],[anxiety_score]]&lt;=20, "Moderate", IF(Table1[[#This Row],[anxiety_score]]&lt;=30, "Severe", "Extremely Severe")))</f>
        <v>Normal</v>
      </c>
      <c r="I620">
        <v>-0.81237789999999999</v>
      </c>
      <c r="J620">
        <v>0</v>
      </c>
      <c r="K620" s="1" t="str">
        <f>IF(Table1[[#This Row],[stress_score]]&lt;=10, "Normal", IF(Table1[[#This Row],[stress_score]]&lt;=20, "Moderate", IF(Table1[[#This Row],[stress_score]]&lt;=30, "Severe", "Extremely Severe")))</f>
        <v>Normal</v>
      </c>
      <c r="L620">
        <v>-1.1624711999999999</v>
      </c>
      <c r="M620">
        <v>2</v>
      </c>
      <c r="N620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620">
        <v>-0.91619854999999994</v>
      </c>
      <c r="P620">
        <v>1.3333333999999999</v>
      </c>
      <c r="Q620">
        <f>ROUND(Table1[[#This Row],[dass21_raw_score]],0)</f>
        <v>1</v>
      </c>
      <c r="R620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620">
        <v>-0.96368253000000004</v>
      </c>
      <c r="T620">
        <v>0.13122737000000001</v>
      </c>
      <c r="U620">
        <v>8750</v>
      </c>
      <c r="V620" s="1">
        <f>ROUND(Table1[[#This Row],[fmpce]],0)</f>
        <v>8750</v>
      </c>
      <c r="W620">
        <v>119.04082</v>
      </c>
      <c r="X620" s="4">
        <f>Table1[[#This Row],[mpce]]*89</f>
        <v>10594.63298</v>
      </c>
      <c r="Y620" s="2" t="s">
        <v>35</v>
      </c>
      <c r="Z620" s="3">
        <f>VLOOKUP(Y620, rmpce_reference!$B$1:$D$7,3,FALSE) * 89</f>
        <v>9790</v>
      </c>
      <c r="AA620" s="1" t="str">
        <f>IF(Table1[rmpce_inr]&lt;=rmpce_reference!$F$2, "Low Income", IF(Table1[rmpce_inr]&lt;=rmpce_reference!$F$3, "Middle Income", "High Income"))</f>
        <v>High Income</v>
      </c>
    </row>
    <row r="621" spans="1:27" x14ac:dyDescent="0.25">
      <c r="A621">
        <v>3164</v>
      </c>
      <c r="B621" t="s">
        <v>40</v>
      </c>
      <c r="C621" t="s">
        <v>33</v>
      </c>
      <c r="D621">
        <v>30</v>
      </c>
      <c r="E621" t="s">
        <v>25</v>
      </c>
      <c r="F621" t="s">
        <v>26</v>
      </c>
      <c r="G621">
        <v>0</v>
      </c>
      <c r="H621" s="1" t="str">
        <f>IF(Table1[[#This Row],[anxiety_score]]&lt;=10, "Normal", IF(Table1[[#This Row],[anxiety_score]]&lt;=20, "Moderate", IF(Table1[[#This Row],[anxiety_score]]&lt;=30, "Severe", "Extremely Severe")))</f>
        <v>Normal</v>
      </c>
      <c r="I621">
        <v>-1.0134224999999999</v>
      </c>
      <c r="J621">
        <v>0</v>
      </c>
      <c r="K621" s="1" t="str">
        <f>IF(Table1[[#This Row],[stress_score]]&lt;=10, "Normal", IF(Table1[[#This Row],[stress_score]]&lt;=20, "Moderate", IF(Table1[[#This Row],[stress_score]]&lt;=30, "Severe", "Extremely Severe")))</f>
        <v>Normal</v>
      </c>
      <c r="L621">
        <v>-1.1624711999999999</v>
      </c>
      <c r="M621">
        <v>4</v>
      </c>
      <c r="N621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621">
        <v>-0.72356116999999998</v>
      </c>
      <c r="P621">
        <v>1.3333333999999999</v>
      </c>
      <c r="Q621">
        <f>ROUND(Table1[[#This Row],[dass21_raw_score]],0)</f>
        <v>1</v>
      </c>
      <c r="R621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621">
        <v>-0.96648495999999995</v>
      </c>
      <c r="T621">
        <v>0.12842493999999999</v>
      </c>
      <c r="U621">
        <v>7500</v>
      </c>
      <c r="V621" s="1">
        <f>ROUND(Table1[[#This Row],[fmpce]],0)</f>
        <v>7500</v>
      </c>
      <c r="W621">
        <v>102.03498999999999</v>
      </c>
      <c r="X621" s="4">
        <f>Table1[[#This Row],[mpce]]*89</f>
        <v>9081.1141099999986</v>
      </c>
      <c r="Y621" s="2" t="s">
        <v>35</v>
      </c>
      <c r="Z621" s="3">
        <f>VLOOKUP(Y621, rmpce_reference!$B$1:$D$7,3,FALSE) * 89</f>
        <v>9790</v>
      </c>
      <c r="AA621" s="1" t="str">
        <f>IF(Table1[rmpce_inr]&lt;=rmpce_reference!$F$2, "Low Income", IF(Table1[rmpce_inr]&lt;=rmpce_reference!$F$3, "Middle Income", "High Income"))</f>
        <v>High Income</v>
      </c>
    </row>
    <row r="622" spans="1:27" x14ac:dyDescent="0.25">
      <c r="A622">
        <v>3165</v>
      </c>
      <c r="B622" t="s">
        <v>40</v>
      </c>
      <c r="C622" t="s">
        <v>29</v>
      </c>
      <c r="D622">
        <v>40</v>
      </c>
      <c r="E622" t="s">
        <v>25</v>
      </c>
      <c r="F622" t="s">
        <v>26</v>
      </c>
      <c r="G622">
        <v>0</v>
      </c>
      <c r="H622" s="1" t="str">
        <f>IF(Table1[[#This Row],[anxiety_score]]&lt;=10, "Normal", IF(Table1[[#This Row],[anxiety_score]]&lt;=20, "Moderate", IF(Table1[[#This Row],[anxiety_score]]&lt;=30, "Severe", "Extremely Severe")))</f>
        <v>Normal</v>
      </c>
      <c r="I622">
        <v>-1.0134224999999999</v>
      </c>
      <c r="J622">
        <v>2</v>
      </c>
      <c r="K622" s="1" t="str">
        <f>IF(Table1[[#This Row],[stress_score]]&lt;=10, "Normal", IF(Table1[[#This Row],[stress_score]]&lt;=20, "Moderate", IF(Table1[[#This Row],[stress_score]]&lt;=30, "Severe", "Extremely Severe")))</f>
        <v>Normal</v>
      </c>
      <c r="L622">
        <v>-0.9678099</v>
      </c>
      <c r="M622">
        <v>2</v>
      </c>
      <c r="N622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622">
        <v>-0.91619854999999994</v>
      </c>
      <c r="P622">
        <v>1.3333333999999999</v>
      </c>
      <c r="Q622">
        <f>ROUND(Table1[[#This Row],[dass21_raw_score]],0)</f>
        <v>1</v>
      </c>
      <c r="R622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622">
        <v>-0.96581030000000001</v>
      </c>
      <c r="T622">
        <v>0.12909961</v>
      </c>
      <c r="U622">
        <v>8000</v>
      </c>
      <c r="V622" s="1">
        <f>ROUND(Table1[[#This Row],[fmpce]],0)</f>
        <v>8000</v>
      </c>
      <c r="W622">
        <v>108.83732000000001</v>
      </c>
      <c r="X622" s="4">
        <f>Table1[[#This Row],[mpce]]*89</f>
        <v>9686.5214800000012</v>
      </c>
      <c r="Y622" s="2" t="s">
        <v>35</v>
      </c>
      <c r="Z622" s="3">
        <f>VLOOKUP(Y622, rmpce_reference!$B$1:$D$7,3,FALSE) * 89</f>
        <v>9790</v>
      </c>
      <c r="AA622" s="1" t="str">
        <f>IF(Table1[rmpce_inr]&lt;=rmpce_reference!$F$2, "Low Income", IF(Table1[rmpce_inr]&lt;=rmpce_reference!$F$3, "Middle Income", "High Income"))</f>
        <v>High Income</v>
      </c>
    </row>
    <row r="623" spans="1:27" x14ac:dyDescent="0.25">
      <c r="A623">
        <v>3166</v>
      </c>
      <c r="B623" t="s">
        <v>40</v>
      </c>
      <c r="C623" t="s">
        <v>29</v>
      </c>
      <c r="D623">
        <v>40</v>
      </c>
      <c r="E623" t="s">
        <v>25</v>
      </c>
      <c r="F623" t="s">
        <v>26</v>
      </c>
      <c r="G623">
        <v>0</v>
      </c>
      <c r="H623" s="1" t="str">
        <f>IF(Table1[[#This Row],[anxiety_score]]&lt;=10, "Normal", IF(Table1[[#This Row],[anxiety_score]]&lt;=20, "Moderate", IF(Table1[[#This Row],[anxiety_score]]&lt;=30, "Severe", "Extremely Severe")))</f>
        <v>Normal</v>
      </c>
      <c r="I623">
        <v>-1.0134224999999999</v>
      </c>
      <c r="J623">
        <v>2</v>
      </c>
      <c r="K623" s="1" t="str">
        <f>IF(Table1[[#This Row],[stress_score]]&lt;=10, "Normal", IF(Table1[[#This Row],[stress_score]]&lt;=20, "Moderate", IF(Table1[[#This Row],[stress_score]]&lt;=30, "Severe", "Extremely Severe")))</f>
        <v>Normal</v>
      </c>
      <c r="L623">
        <v>-0.9678099</v>
      </c>
      <c r="M623">
        <v>4</v>
      </c>
      <c r="N623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623">
        <v>-0.72356116999999998</v>
      </c>
      <c r="P623">
        <v>2</v>
      </c>
      <c r="Q623">
        <f>ROUND(Table1[[#This Row],[dass21_raw_score]],0)</f>
        <v>2</v>
      </c>
      <c r="R623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623">
        <v>-0.90159785999999997</v>
      </c>
      <c r="T623">
        <v>0.19331205000000001</v>
      </c>
      <c r="U623">
        <v>6666.6665000000003</v>
      </c>
      <c r="V623" s="1">
        <f>ROUND(Table1[[#This Row],[fmpce]],0)</f>
        <v>6667</v>
      </c>
      <c r="W623">
        <v>90.697760000000002</v>
      </c>
      <c r="X623" s="4">
        <f>Table1[[#This Row],[mpce]]*89</f>
        <v>8072.1006400000006</v>
      </c>
      <c r="Y623" s="2" t="s">
        <v>31</v>
      </c>
      <c r="Z623" s="3">
        <f>VLOOKUP(Y623, rmpce_reference!$B$1:$D$7,3,FALSE) * 89</f>
        <v>8010</v>
      </c>
      <c r="AA623" s="1" t="str">
        <f>IF(Table1[rmpce_inr]&lt;=rmpce_reference!$F$2, "Low Income", IF(Table1[rmpce_inr]&lt;=rmpce_reference!$F$3, "Middle Income", "High Income"))</f>
        <v>High Income</v>
      </c>
    </row>
    <row r="624" spans="1:27" x14ac:dyDescent="0.25">
      <c r="A624">
        <v>3167</v>
      </c>
      <c r="B624" t="s">
        <v>40</v>
      </c>
      <c r="C624" t="s">
        <v>21</v>
      </c>
      <c r="D624">
        <v>45</v>
      </c>
      <c r="E624" t="s">
        <v>25</v>
      </c>
      <c r="F624" t="s">
        <v>26</v>
      </c>
      <c r="G624">
        <v>0</v>
      </c>
      <c r="H624" s="1" t="str">
        <f>IF(Table1[[#This Row],[anxiety_score]]&lt;=10, "Normal", IF(Table1[[#This Row],[anxiety_score]]&lt;=20, "Moderate", IF(Table1[[#This Row],[anxiety_score]]&lt;=30, "Severe", "Extremely Severe")))</f>
        <v>Normal</v>
      </c>
      <c r="I624">
        <v>-1.0134224999999999</v>
      </c>
      <c r="J624">
        <v>2</v>
      </c>
      <c r="K624" s="1" t="str">
        <f>IF(Table1[[#This Row],[stress_score]]&lt;=10, "Normal", IF(Table1[[#This Row],[stress_score]]&lt;=20, "Moderate", IF(Table1[[#This Row],[stress_score]]&lt;=30, "Severe", "Extremely Severe")))</f>
        <v>Normal</v>
      </c>
      <c r="L624">
        <v>-0.9678099</v>
      </c>
      <c r="M624">
        <v>4</v>
      </c>
      <c r="N624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624">
        <v>-0.72356116999999998</v>
      </c>
      <c r="P624">
        <v>2</v>
      </c>
      <c r="Q624">
        <f>ROUND(Table1[[#This Row],[dass21_raw_score]],0)</f>
        <v>2</v>
      </c>
      <c r="R624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624">
        <v>-0.90159785999999997</v>
      </c>
      <c r="T624">
        <v>0.19331205000000001</v>
      </c>
      <c r="U624">
        <v>13333.333000000001</v>
      </c>
      <c r="V624" s="1">
        <f>ROUND(Table1[[#This Row],[fmpce]],0)</f>
        <v>13333</v>
      </c>
      <c r="W624">
        <v>181.39552</v>
      </c>
      <c r="X624" s="4">
        <f>Table1[[#This Row],[mpce]]*89</f>
        <v>16144.201280000001</v>
      </c>
      <c r="Y624" s="2" t="s">
        <v>35</v>
      </c>
      <c r="Z624" s="3">
        <f>VLOOKUP(Y624, rmpce_reference!$B$1:$D$7,3,FALSE) * 89</f>
        <v>9790</v>
      </c>
      <c r="AA624" s="1" t="str">
        <f>IF(Table1[rmpce_inr]&lt;=rmpce_reference!$F$2, "Low Income", IF(Table1[rmpce_inr]&lt;=rmpce_reference!$F$3, "Middle Income", "High Income"))</f>
        <v>High Income</v>
      </c>
    </row>
    <row r="625" spans="1:27" x14ac:dyDescent="0.25">
      <c r="A625">
        <v>3168</v>
      </c>
      <c r="B625" t="s">
        <v>40</v>
      </c>
      <c r="C625" t="s">
        <v>29</v>
      </c>
      <c r="D625">
        <v>35</v>
      </c>
      <c r="E625" t="s">
        <v>22</v>
      </c>
      <c r="F625" t="s">
        <v>23</v>
      </c>
      <c r="G625">
        <v>2</v>
      </c>
      <c r="H625" s="1" t="str">
        <f>IF(Table1[[#This Row],[anxiety_score]]&lt;=10, "Normal", IF(Table1[[#This Row],[anxiety_score]]&lt;=20, "Moderate", IF(Table1[[#This Row],[anxiety_score]]&lt;=30, "Severe", "Extremely Severe")))</f>
        <v>Normal</v>
      </c>
      <c r="I625">
        <v>-0.81237789999999999</v>
      </c>
      <c r="J625">
        <v>6</v>
      </c>
      <c r="K625" s="1" t="str">
        <f>IF(Table1[[#This Row],[stress_score]]&lt;=10, "Normal", IF(Table1[[#This Row],[stress_score]]&lt;=20, "Moderate", IF(Table1[[#This Row],[stress_score]]&lt;=30, "Severe", "Extremely Severe")))</f>
        <v>Normal</v>
      </c>
      <c r="L625">
        <v>-0.57848745999999995</v>
      </c>
      <c r="M625">
        <v>2</v>
      </c>
      <c r="N625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625">
        <v>-0.91619854999999994</v>
      </c>
      <c r="P625">
        <v>3.3333333000000001</v>
      </c>
      <c r="Q625">
        <f>ROUND(Table1[[#This Row],[dass21_raw_score]],0)</f>
        <v>3</v>
      </c>
      <c r="R625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625">
        <v>-0.76902132999999995</v>
      </c>
      <c r="T625">
        <v>0.32588856999999999</v>
      </c>
      <c r="U625">
        <v>4000</v>
      </c>
      <c r="V625" s="1">
        <f>ROUND(Table1[[#This Row],[fmpce]],0)</f>
        <v>4000</v>
      </c>
      <c r="W625">
        <v>54.418660000000003</v>
      </c>
      <c r="X625" s="4">
        <f>Table1[[#This Row],[mpce]]*89</f>
        <v>4843.2607400000006</v>
      </c>
      <c r="Y625" s="2" t="s">
        <v>32</v>
      </c>
      <c r="Z625" s="3">
        <f>VLOOKUP(Y625, rmpce_reference!$B$1:$D$7,3,FALSE) * 89</f>
        <v>4450</v>
      </c>
      <c r="AA625" s="1" t="str">
        <f>IF(Table1[rmpce_inr]&lt;=rmpce_reference!$F$2, "Low Income", IF(Table1[rmpce_inr]&lt;=rmpce_reference!$F$3, "Middle Income", "High Income"))</f>
        <v>Low Income</v>
      </c>
    </row>
    <row r="626" spans="1:27" x14ac:dyDescent="0.25">
      <c r="A626">
        <v>3169</v>
      </c>
      <c r="B626" t="s">
        <v>40</v>
      </c>
      <c r="C626" t="s">
        <v>29</v>
      </c>
      <c r="D626">
        <v>33</v>
      </c>
      <c r="E626" t="s">
        <v>25</v>
      </c>
      <c r="F626" t="s">
        <v>26</v>
      </c>
      <c r="G626">
        <v>0</v>
      </c>
      <c r="H626" s="1" t="str">
        <f>IF(Table1[[#This Row],[anxiety_score]]&lt;=10, "Normal", IF(Table1[[#This Row],[anxiety_score]]&lt;=20, "Moderate", IF(Table1[[#This Row],[anxiety_score]]&lt;=30, "Severe", "Extremely Severe")))</f>
        <v>Normal</v>
      </c>
      <c r="I626">
        <v>-1.0134224999999999</v>
      </c>
      <c r="J626">
        <v>2</v>
      </c>
      <c r="K626" s="1" t="str">
        <f>IF(Table1[[#This Row],[stress_score]]&lt;=10, "Normal", IF(Table1[[#This Row],[stress_score]]&lt;=20, "Moderate", IF(Table1[[#This Row],[stress_score]]&lt;=30, "Severe", "Extremely Severe")))</f>
        <v>Normal</v>
      </c>
      <c r="L626">
        <v>-0.9678099</v>
      </c>
      <c r="M626">
        <v>4</v>
      </c>
      <c r="N626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626">
        <v>-0.72356116999999998</v>
      </c>
      <c r="P626">
        <v>2</v>
      </c>
      <c r="Q626">
        <f>ROUND(Table1[[#This Row],[dass21_raw_score]],0)</f>
        <v>2</v>
      </c>
      <c r="R626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626">
        <v>-0.90159785999999997</v>
      </c>
      <c r="T626">
        <v>0.19331205000000001</v>
      </c>
      <c r="U626">
        <v>10000</v>
      </c>
      <c r="V626" s="1">
        <f>ROUND(Table1[[#This Row],[fmpce]],0)</f>
        <v>10000</v>
      </c>
      <c r="W626">
        <v>136.04665</v>
      </c>
      <c r="X626" s="4">
        <f>Table1[[#This Row],[mpce]]*89</f>
        <v>12108.15185</v>
      </c>
      <c r="Y626" s="2" t="s">
        <v>35</v>
      </c>
      <c r="Z626" s="3">
        <f>VLOOKUP(Y626, rmpce_reference!$B$1:$D$7,3,FALSE) * 89</f>
        <v>9790</v>
      </c>
      <c r="AA626" s="1" t="str">
        <f>IF(Table1[rmpce_inr]&lt;=rmpce_reference!$F$2, "Low Income", IF(Table1[rmpce_inr]&lt;=rmpce_reference!$F$3, "Middle Income", "High Income"))</f>
        <v>High Income</v>
      </c>
    </row>
    <row r="627" spans="1:27" x14ac:dyDescent="0.25">
      <c r="A627">
        <v>3170</v>
      </c>
      <c r="B627" t="s">
        <v>40</v>
      </c>
      <c r="C627" t="s">
        <v>29</v>
      </c>
      <c r="D627">
        <v>34</v>
      </c>
      <c r="E627" t="s">
        <v>25</v>
      </c>
      <c r="F627" t="s">
        <v>26</v>
      </c>
      <c r="G627">
        <v>0</v>
      </c>
      <c r="H627" s="1" t="str">
        <f>IF(Table1[[#This Row],[anxiety_score]]&lt;=10, "Normal", IF(Table1[[#This Row],[anxiety_score]]&lt;=20, "Moderate", IF(Table1[[#This Row],[anxiety_score]]&lt;=30, "Severe", "Extremely Severe")))</f>
        <v>Normal</v>
      </c>
      <c r="I627">
        <v>-1.0134224999999999</v>
      </c>
      <c r="J627">
        <v>0</v>
      </c>
      <c r="K627" s="1" t="str">
        <f>IF(Table1[[#This Row],[stress_score]]&lt;=10, "Normal", IF(Table1[[#This Row],[stress_score]]&lt;=20, "Moderate", IF(Table1[[#This Row],[stress_score]]&lt;=30, "Severe", "Extremely Severe")))</f>
        <v>Normal</v>
      </c>
      <c r="L627">
        <v>-1.1624711999999999</v>
      </c>
      <c r="M627">
        <v>0</v>
      </c>
      <c r="N627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627">
        <v>-1.1088359000000001</v>
      </c>
      <c r="P627">
        <v>0</v>
      </c>
      <c r="Q627">
        <f>ROUND(Table1[[#This Row],[dass21_raw_score]],0)</f>
        <v>0</v>
      </c>
      <c r="R627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627">
        <v>-1.0949099</v>
      </c>
      <c r="T627">
        <v>0</v>
      </c>
      <c r="U627">
        <v>6000</v>
      </c>
      <c r="V627" s="1">
        <f>ROUND(Table1[[#This Row],[fmpce]],0)</f>
        <v>6000</v>
      </c>
      <c r="W627">
        <v>81.627989999999997</v>
      </c>
      <c r="X627" s="4">
        <f>Table1[[#This Row],[mpce]]*89</f>
        <v>7264.8911099999996</v>
      </c>
      <c r="Y627" s="2" t="s">
        <v>31</v>
      </c>
      <c r="Z627" s="3">
        <f>VLOOKUP(Y627, rmpce_reference!$B$1:$D$7,3,FALSE) * 89</f>
        <v>8010</v>
      </c>
      <c r="AA627" s="1" t="str">
        <f>IF(Table1[rmpce_inr]&lt;=rmpce_reference!$F$2, "Low Income", IF(Table1[rmpce_inr]&lt;=rmpce_reference!$F$3, "Middle Income", "High Income"))</f>
        <v>High Income</v>
      </c>
    </row>
    <row r="628" spans="1:27" x14ac:dyDescent="0.25">
      <c r="A628">
        <v>3171</v>
      </c>
      <c r="B628" t="s">
        <v>40</v>
      </c>
      <c r="C628" t="s">
        <v>21</v>
      </c>
      <c r="D628">
        <v>44</v>
      </c>
      <c r="E628" t="s">
        <v>25</v>
      </c>
      <c r="F628" t="s">
        <v>30</v>
      </c>
      <c r="G628">
        <v>0</v>
      </c>
      <c r="H628" s="1" t="str">
        <f>IF(Table1[[#This Row],[anxiety_score]]&lt;=10, "Normal", IF(Table1[[#This Row],[anxiety_score]]&lt;=20, "Moderate", IF(Table1[[#This Row],[anxiety_score]]&lt;=30, "Severe", "Extremely Severe")))</f>
        <v>Normal</v>
      </c>
      <c r="I628">
        <v>-1.0134224999999999</v>
      </c>
      <c r="J628">
        <v>0</v>
      </c>
      <c r="K628" s="1" t="str">
        <f>IF(Table1[[#This Row],[stress_score]]&lt;=10, "Normal", IF(Table1[[#This Row],[stress_score]]&lt;=20, "Moderate", IF(Table1[[#This Row],[stress_score]]&lt;=30, "Severe", "Extremely Severe")))</f>
        <v>Normal</v>
      </c>
      <c r="L628">
        <v>-1.1624711999999999</v>
      </c>
      <c r="M628">
        <v>0</v>
      </c>
      <c r="N628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628">
        <v>-1.1088359000000001</v>
      </c>
      <c r="P628">
        <v>0</v>
      </c>
      <c r="Q628">
        <f>ROUND(Table1[[#This Row],[dass21_raw_score]],0)</f>
        <v>0</v>
      </c>
      <c r="R628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628">
        <v>-1.0949099</v>
      </c>
      <c r="T628">
        <v>0</v>
      </c>
      <c r="U628">
        <v>13333.333000000001</v>
      </c>
      <c r="V628" s="1">
        <f>ROUND(Table1[[#This Row],[fmpce]],0)</f>
        <v>13333</v>
      </c>
      <c r="W628">
        <v>181.39552</v>
      </c>
      <c r="X628" s="4">
        <f>Table1[[#This Row],[mpce]]*89</f>
        <v>16144.201280000001</v>
      </c>
      <c r="Y628" s="2" t="s">
        <v>35</v>
      </c>
      <c r="Z628" s="3">
        <f>VLOOKUP(Y628, rmpce_reference!$B$1:$D$7,3,FALSE) * 89</f>
        <v>9790</v>
      </c>
      <c r="AA628" s="1" t="str">
        <f>IF(Table1[rmpce_inr]&lt;=rmpce_reference!$F$2, "Low Income", IF(Table1[rmpce_inr]&lt;=rmpce_reference!$F$3, "Middle Income", "High Income"))</f>
        <v>High Income</v>
      </c>
    </row>
    <row r="629" spans="1:27" x14ac:dyDescent="0.25">
      <c r="A629">
        <v>3172</v>
      </c>
      <c r="B629" t="s">
        <v>40</v>
      </c>
      <c r="C629" t="s">
        <v>29</v>
      </c>
      <c r="D629">
        <v>34</v>
      </c>
      <c r="E629" t="s">
        <v>25</v>
      </c>
      <c r="F629" t="s">
        <v>26</v>
      </c>
      <c r="G629">
        <v>2</v>
      </c>
      <c r="H629" s="1" t="str">
        <f>IF(Table1[[#This Row],[anxiety_score]]&lt;=10, "Normal", IF(Table1[[#This Row],[anxiety_score]]&lt;=20, "Moderate", IF(Table1[[#This Row],[anxiety_score]]&lt;=30, "Severe", "Extremely Severe")))</f>
        <v>Normal</v>
      </c>
      <c r="I629">
        <v>-0.81237789999999999</v>
      </c>
      <c r="J629">
        <v>2</v>
      </c>
      <c r="K629" s="1" t="str">
        <f>IF(Table1[[#This Row],[stress_score]]&lt;=10, "Normal", IF(Table1[[#This Row],[stress_score]]&lt;=20, "Moderate", IF(Table1[[#This Row],[stress_score]]&lt;=30, "Severe", "Extremely Severe")))</f>
        <v>Normal</v>
      </c>
      <c r="L629">
        <v>-0.9678099</v>
      </c>
      <c r="M629">
        <v>0</v>
      </c>
      <c r="N629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629">
        <v>-1.1088359000000001</v>
      </c>
      <c r="P629">
        <v>1.3333333999999999</v>
      </c>
      <c r="Q629">
        <f>ROUND(Table1[[#This Row],[dass21_raw_score]],0)</f>
        <v>1</v>
      </c>
      <c r="R629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629">
        <v>-0.96300790000000003</v>
      </c>
      <c r="T629">
        <v>0.13190198</v>
      </c>
      <c r="U629">
        <v>8333.3330000000005</v>
      </c>
      <c r="V629" s="1">
        <f>ROUND(Table1[[#This Row],[fmpce]],0)</f>
        <v>8333</v>
      </c>
      <c r="W629">
        <v>113.37220000000001</v>
      </c>
      <c r="X629" s="4">
        <f>Table1[[#This Row],[mpce]]*89</f>
        <v>10090.1258</v>
      </c>
      <c r="Y629" s="2" t="s">
        <v>35</v>
      </c>
      <c r="Z629" s="3">
        <f>VLOOKUP(Y629, rmpce_reference!$B$1:$D$7,3,FALSE) * 89</f>
        <v>9790</v>
      </c>
      <c r="AA629" s="1" t="str">
        <f>IF(Table1[rmpce_inr]&lt;=rmpce_reference!$F$2, "Low Income", IF(Table1[rmpce_inr]&lt;=rmpce_reference!$F$3, "Middle Income", "High Income"))</f>
        <v>High Income</v>
      </c>
    </row>
    <row r="630" spans="1:27" x14ac:dyDescent="0.25">
      <c r="A630">
        <v>3173</v>
      </c>
      <c r="B630" t="s">
        <v>40</v>
      </c>
      <c r="C630" t="s">
        <v>33</v>
      </c>
      <c r="D630">
        <v>28</v>
      </c>
      <c r="E630" t="s">
        <v>25</v>
      </c>
      <c r="F630" t="s">
        <v>26</v>
      </c>
      <c r="G630">
        <v>0</v>
      </c>
      <c r="H630" s="1" t="str">
        <f>IF(Table1[[#This Row],[anxiety_score]]&lt;=10, "Normal", IF(Table1[[#This Row],[anxiety_score]]&lt;=20, "Moderate", IF(Table1[[#This Row],[anxiety_score]]&lt;=30, "Severe", "Extremely Severe")))</f>
        <v>Normal</v>
      </c>
      <c r="I630">
        <v>-1.0134224999999999</v>
      </c>
      <c r="J630">
        <v>4</v>
      </c>
      <c r="K630" s="1" t="str">
        <f>IF(Table1[[#This Row],[stress_score]]&lt;=10, "Normal", IF(Table1[[#This Row],[stress_score]]&lt;=20, "Moderate", IF(Table1[[#This Row],[stress_score]]&lt;=30, "Severe", "Extremely Severe")))</f>
        <v>Normal</v>
      </c>
      <c r="L630">
        <v>-0.77314866000000004</v>
      </c>
      <c r="M630">
        <v>0</v>
      </c>
      <c r="N630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630">
        <v>-1.1088359000000001</v>
      </c>
      <c r="P630">
        <v>1.3333333999999999</v>
      </c>
      <c r="Q630">
        <f>ROUND(Table1[[#This Row],[dass21_raw_score]],0)</f>
        <v>1</v>
      </c>
      <c r="R630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630">
        <v>-0.96513570000000004</v>
      </c>
      <c r="T630">
        <v>0.12977421</v>
      </c>
      <c r="U630">
        <v>6000</v>
      </c>
      <c r="V630" s="1">
        <f>ROUND(Table1[[#This Row],[fmpce]],0)</f>
        <v>6000</v>
      </c>
      <c r="W630">
        <v>81.627989999999997</v>
      </c>
      <c r="X630" s="4">
        <f>Table1[[#This Row],[mpce]]*89</f>
        <v>7264.8911099999996</v>
      </c>
      <c r="Y630" s="2" t="s">
        <v>31</v>
      </c>
      <c r="Z630" s="3">
        <f>VLOOKUP(Y630, rmpce_reference!$B$1:$D$7,3,FALSE) * 89</f>
        <v>8010</v>
      </c>
      <c r="AA630" s="1" t="str">
        <f>IF(Table1[rmpce_inr]&lt;=rmpce_reference!$F$2, "Low Income", IF(Table1[rmpce_inr]&lt;=rmpce_reference!$F$3, "Middle Income", "High Income"))</f>
        <v>High Income</v>
      </c>
    </row>
    <row r="631" spans="1:27" x14ac:dyDescent="0.25">
      <c r="A631">
        <v>3174</v>
      </c>
      <c r="B631" t="s">
        <v>40</v>
      </c>
      <c r="C631" t="s">
        <v>33</v>
      </c>
      <c r="D631">
        <v>30</v>
      </c>
      <c r="E631" t="s">
        <v>25</v>
      </c>
      <c r="F631" t="s">
        <v>30</v>
      </c>
      <c r="G631">
        <v>0</v>
      </c>
      <c r="H631" s="1" t="str">
        <f>IF(Table1[[#This Row],[anxiety_score]]&lt;=10, "Normal", IF(Table1[[#This Row],[anxiety_score]]&lt;=20, "Moderate", IF(Table1[[#This Row],[anxiety_score]]&lt;=30, "Severe", "Extremely Severe")))</f>
        <v>Normal</v>
      </c>
      <c r="I631">
        <v>-1.0134224999999999</v>
      </c>
      <c r="J631">
        <v>0</v>
      </c>
      <c r="K631" s="1" t="str">
        <f>IF(Table1[[#This Row],[stress_score]]&lt;=10, "Normal", IF(Table1[[#This Row],[stress_score]]&lt;=20, "Moderate", IF(Table1[[#This Row],[stress_score]]&lt;=30, "Severe", "Extremely Severe")))</f>
        <v>Normal</v>
      </c>
      <c r="L631">
        <v>-1.1624711999999999</v>
      </c>
      <c r="M631">
        <v>2</v>
      </c>
      <c r="N631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631">
        <v>-0.91619854999999994</v>
      </c>
      <c r="P631">
        <v>0.66666669999999995</v>
      </c>
      <c r="Q631">
        <f>ROUND(Table1[[#This Row],[dass21_raw_score]],0)</f>
        <v>1</v>
      </c>
      <c r="R631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631">
        <v>-1.0306972999999999</v>
      </c>
      <c r="T631">
        <v>6.4212560000000002E-2</v>
      </c>
      <c r="U631">
        <v>8000</v>
      </c>
      <c r="V631" s="1">
        <f>ROUND(Table1[[#This Row],[fmpce]],0)</f>
        <v>8000</v>
      </c>
      <c r="W631">
        <v>108.83732000000001</v>
      </c>
      <c r="X631" s="4">
        <f>Table1[[#This Row],[mpce]]*89</f>
        <v>9686.5214800000012</v>
      </c>
      <c r="Y631" s="2" t="s">
        <v>35</v>
      </c>
      <c r="Z631" s="3">
        <f>VLOOKUP(Y631, rmpce_reference!$B$1:$D$7,3,FALSE) * 89</f>
        <v>9790</v>
      </c>
      <c r="AA631" s="1" t="str">
        <f>IF(Table1[rmpce_inr]&lt;=rmpce_reference!$F$2, "Low Income", IF(Table1[rmpce_inr]&lt;=rmpce_reference!$F$3, "Middle Income", "High Income"))</f>
        <v>High Income</v>
      </c>
    </row>
    <row r="632" spans="1:27" x14ac:dyDescent="0.25">
      <c r="A632">
        <v>3175</v>
      </c>
      <c r="B632" t="s">
        <v>40</v>
      </c>
      <c r="C632" t="s">
        <v>33</v>
      </c>
      <c r="D632">
        <v>30</v>
      </c>
      <c r="E632" t="s">
        <v>25</v>
      </c>
      <c r="F632" t="s">
        <v>26</v>
      </c>
      <c r="G632">
        <v>0</v>
      </c>
      <c r="H632" s="1" t="str">
        <f>IF(Table1[[#This Row],[anxiety_score]]&lt;=10, "Normal", IF(Table1[[#This Row],[anxiety_score]]&lt;=20, "Moderate", IF(Table1[[#This Row],[anxiety_score]]&lt;=30, "Severe", "Extremely Severe")))</f>
        <v>Normal</v>
      </c>
      <c r="I632">
        <v>-1.0134224999999999</v>
      </c>
      <c r="J632">
        <v>2</v>
      </c>
      <c r="K632" s="1" t="str">
        <f>IF(Table1[[#This Row],[stress_score]]&lt;=10, "Normal", IF(Table1[[#This Row],[stress_score]]&lt;=20, "Moderate", IF(Table1[[#This Row],[stress_score]]&lt;=30, "Severe", "Extremely Severe")))</f>
        <v>Normal</v>
      </c>
      <c r="L632">
        <v>-0.9678099</v>
      </c>
      <c r="M632">
        <v>0</v>
      </c>
      <c r="N632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632">
        <v>-1.1088359000000001</v>
      </c>
      <c r="P632">
        <v>0.66666669999999995</v>
      </c>
      <c r="Q632">
        <f>ROUND(Table1[[#This Row],[dass21_raw_score]],0)</f>
        <v>1</v>
      </c>
      <c r="R632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632">
        <v>-1.0300227</v>
      </c>
      <c r="T632">
        <v>6.4887165999999996E-2</v>
      </c>
      <c r="U632">
        <v>6666.6665000000003</v>
      </c>
      <c r="V632" s="1">
        <f>ROUND(Table1[[#This Row],[fmpce]],0)</f>
        <v>6667</v>
      </c>
      <c r="W632">
        <v>90.697760000000002</v>
      </c>
      <c r="X632" s="4">
        <f>Table1[[#This Row],[mpce]]*89</f>
        <v>8072.1006400000006</v>
      </c>
      <c r="Y632" s="2" t="s">
        <v>31</v>
      </c>
      <c r="Z632" s="3">
        <f>VLOOKUP(Y632, rmpce_reference!$B$1:$D$7,3,FALSE) * 89</f>
        <v>8010</v>
      </c>
      <c r="AA632" s="1" t="str">
        <f>IF(Table1[rmpce_inr]&lt;=rmpce_reference!$F$2, "Low Income", IF(Table1[rmpce_inr]&lt;=rmpce_reference!$F$3, "Middle Income", "High Income"))</f>
        <v>High Income</v>
      </c>
    </row>
    <row r="633" spans="1:27" x14ac:dyDescent="0.25">
      <c r="A633">
        <v>3176</v>
      </c>
      <c r="B633" t="s">
        <v>40</v>
      </c>
      <c r="C633" t="s">
        <v>29</v>
      </c>
      <c r="D633">
        <v>40</v>
      </c>
      <c r="E633" t="s">
        <v>25</v>
      </c>
      <c r="F633" t="s">
        <v>26</v>
      </c>
      <c r="G633">
        <v>2</v>
      </c>
      <c r="H633" s="1" t="str">
        <f>IF(Table1[[#This Row],[anxiety_score]]&lt;=10, "Normal", IF(Table1[[#This Row],[anxiety_score]]&lt;=20, "Moderate", IF(Table1[[#This Row],[anxiety_score]]&lt;=30, "Severe", "Extremely Severe")))</f>
        <v>Normal</v>
      </c>
      <c r="I633">
        <v>-0.81237789999999999</v>
      </c>
      <c r="J633">
        <v>0</v>
      </c>
      <c r="K633" s="1" t="str">
        <f>IF(Table1[[#This Row],[stress_score]]&lt;=10, "Normal", IF(Table1[[#This Row],[stress_score]]&lt;=20, "Moderate", IF(Table1[[#This Row],[stress_score]]&lt;=30, "Severe", "Extremely Severe")))</f>
        <v>Normal</v>
      </c>
      <c r="L633">
        <v>-1.1624711999999999</v>
      </c>
      <c r="M633">
        <v>2</v>
      </c>
      <c r="N633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633">
        <v>-0.91619854999999994</v>
      </c>
      <c r="P633">
        <v>1.3333333999999999</v>
      </c>
      <c r="Q633">
        <f>ROUND(Table1[[#This Row],[dass21_raw_score]],0)</f>
        <v>1</v>
      </c>
      <c r="R633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633">
        <v>-0.96368253000000004</v>
      </c>
      <c r="T633">
        <v>0.13122737000000001</v>
      </c>
      <c r="U633">
        <v>7500</v>
      </c>
      <c r="V633" s="1">
        <f>ROUND(Table1[[#This Row],[fmpce]],0)</f>
        <v>7500</v>
      </c>
      <c r="W633">
        <v>102.03498999999999</v>
      </c>
      <c r="X633" s="4">
        <f>Table1[[#This Row],[mpce]]*89</f>
        <v>9081.1141099999986</v>
      </c>
      <c r="Y633" s="2" t="s">
        <v>35</v>
      </c>
      <c r="Z633" s="3">
        <f>VLOOKUP(Y633, rmpce_reference!$B$1:$D$7,3,FALSE) * 89</f>
        <v>9790</v>
      </c>
      <c r="AA633" s="1" t="str">
        <f>IF(Table1[rmpce_inr]&lt;=rmpce_reference!$F$2, "Low Income", IF(Table1[rmpce_inr]&lt;=rmpce_reference!$F$3, "Middle Income", "High Income"))</f>
        <v>High Income</v>
      </c>
    </row>
    <row r="634" spans="1:27" x14ac:dyDescent="0.25">
      <c r="A634">
        <v>3177</v>
      </c>
      <c r="B634" t="s">
        <v>40</v>
      </c>
      <c r="C634" t="s">
        <v>21</v>
      </c>
      <c r="D634">
        <v>45</v>
      </c>
      <c r="E634" t="s">
        <v>25</v>
      </c>
      <c r="F634" t="s">
        <v>26</v>
      </c>
      <c r="G634">
        <v>0</v>
      </c>
      <c r="H634" s="1" t="str">
        <f>IF(Table1[[#This Row],[anxiety_score]]&lt;=10, "Normal", IF(Table1[[#This Row],[anxiety_score]]&lt;=20, "Moderate", IF(Table1[[#This Row],[anxiety_score]]&lt;=30, "Severe", "Extremely Severe")))</f>
        <v>Normal</v>
      </c>
      <c r="I634">
        <v>-1.0134224999999999</v>
      </c>
      <c r="J634">
        <v>2</v>
      </c>
      <c r="K634" s="1" t="str">
        <f>IF(Table1[[#This Row],[stress_score]]&lt;=10, "Normal", IF(Table1[[#This Row],[stress_score]]&lt;=20, "Moderate", IF(Table1[[#This Row],[stress_score]]&lt;=30, "Severe", "Extremely Severe")))</f>
        <v>Normal</v>
      </c>
      <c r="L634">
        <v>-0.9678099</v>
      </c>
      <c r="M634">
        <v>4</v>
      </c>
      <c r="N634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634">
        <v>-0.72356116999999998</v>
      </c>
      <c r="P634">
        <v>2</v>
      </c>
      <c r="Q634">
        <f>ROUND(Table1[[#This Row],[dass21_raw_score]],0)</f>
        <v>2</v>
      </c>
      <c r="R634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634">
        <v>-0.90159785999999997</v>
      </c>
      <c r="T634">
        <v>0.19331205000000001</v>
      </c>
      <c r="U634">
        <v>5000</v>
      </c>
      <c r="V634" s="1">
        <f>ROUND(Table1[[#This Row],[fmpce]],0)</f>
        <v>5000</v>
      </c>
      <c r="W634">
        <v>68.023319999999998</v>
      </c>
      <c r="X634" s="4">
        <f>Table1[[#This Row],[mpce]]*89</f>
        <v>6054.0754799999995</v>
      </c>
      <c r="Y634" s="2" t="s">
        <v>28</v>
      </c>
      <c r="Z634" s="3">
        <f>VLOOKUP(Y634, rmpce_reference!$B$1:$D$7,3,FALSE) * 89</f>
        <v>6230</v>
      </c>
      <c r="AA634" s="1" t="str">
        <f>IF(Table1[rmpce_inr]&lt;=rmpce_reference!$F$2, "Low Income", IF(Table1[rmpce_inr]&lt;=rmpce_reference!$F$3, "Middle Income", "High Income"))</f>
        <v>Middle Income</v>
      </c>
    </row>
    <row r="635" spans="1:27" x14ac:dyDescent="0.25">
      <c r="A635">
        <v>3178</v>
      </c>
      <c r="B635" t="s">
        <v>40</v>
      </c>
      <c r="C635" t="s">
        <v>36</v>
      </c>
      <c r="D635">
        <v>52</v>
      </c>
      <c r="E635" t="s">
        <v>25</v>
      </c>
      <c r="F635" t="s">
        <v>26</v>
      </c>
      <c r="G635">
        <v>2</v>
      </c>
      <c r="H635" s="1" t="str">
        <f>IF(Table1[[#This Row],[anxiety_score]]&lt;=10, "Normal", IF(Table1[[#This Row],[anxiety_score]]&lt;=20, "Moderate", IF(Table1[[#This Row],[anxiety_score]]&lt;=30, "Severe", "Extremely Severe")))</f>
        <v>Normal</v>
      </c>
      <c r="I635">
        <v>-0.81237789999999999</v>
      </c>
      <c r="J635">
        <v>6</v>
      </c>
      <c r="K635" s="1" t="str">
        <f>IF(Table1[[#This Row],[stress_score]]&lt;=10, "Normal", IF(Table1[[#This Row],[stress_score]]&lt;=20, "Moderate", IF(Table1[[#This Row],[stress_score]]&lt;=30, "Severe", "Extremely Severe")))</f>
        <v>Normal</v>
      </c>
      <c r="L635">
        <v>-0.57848745999999995</v>
      </c>
      <c r="M635">
        <v>2</v>
      </c>
      <c r="N635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635">
        <v>-0.91619854999999994</v>
      </c>
      <c r="P635">
        <v>3.3333333000000001</v>
      </c>
      <c r="Q635">
        <f>ROUND(Table1[[#This Row],[dass21_raw_score]],0)</f>
        <v>3</v>
      </c>
      <c r="R635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635">
        <v>-0.76902132999999995</v>
      </c>
      <c r="T635">
        <v>0.32588856999999999</v>
      </c>
      <c r="U635">
        <v>8750</v>
      </c>
      <c r="V635" s="1">
        <f>ROUND(Table1[[#This Row],[fmpce]],0)</f>
        <v>8750</v>
      </c>
      <c r="W635">
        <v>119.04082</v>
      </c>
      <c r="X635" s="4">
        <f>Table1[[#This Row],[mpce]]*89</f>
        <v>10594.63298</v>
      </c>
      <c r="Y635" s="2" t="s">
        <v>35</v>
      </c>
      <c r="Z635" s="3">
        <f>VLOOKUP(Y635, rmpce_reference!$B$1:$D$7,3,FALSE) * 89</f>
        <v>9790</v>
      </c>
      <c r="AA635" s="1" t="str">
        <f>IF(Table1[rmpce_inr]&lt;=rmpce_reference!$F$2, "Low Income", IF(Table1[rmpce_inr]&lt;=rmpce_reference!$F$3, "Middle Income", "High Income"))</f>
        <v>High Income</v>
      </c>
    </row>
    <row r="636" spans="1:27" x14ac:dyDescent="0.25">
      <c r="A636">
        <v>3179</v>
      </c>
      <c r="B636" t="s">
        <v>40</v>
      </c>
      <c r="C636" t="s">
        <v>29</v>
      </c>
      <c r="D636">
        <v>35</v>
      </c>
      <c r="E636" t="s">
        <v>25</v>
      </c>
      <c r="F636" t="s">
        <v>26</v>
      </c>
      <c r="G636">
        <v>0</v>
      </c>
      <c r="H636" s="1" t="str">
        <f>IF(Table1[[#This Row],[anxiety_score]]&lt;=10, "Normal", IF(Table1[[#This Row],[anxiety_score]]&lt;=20, "Moderate", IF(Table1[[#This Row],[anxiety_score]]&lt;=30, "Severe", "Extremely Severe")))</f>
        <v>Normal</v>
      </c>
      <c r="I636">
        <v>-1.0134224999999999</v>
      </c>
      <c r="J636">
        <v>2</v>
      </c>
      <c r="K636" s="1" t="str">
        <f>IF(Table1[[#This Row],[stress_score]]&lt;=10, "Normal", IF(Table1[[#This Row],[stress_score]]&lt;=20, "Moderate", IF(Table1[[#This Row],[stress_score]]&lt;=30, "Severe", "Extremely Severe")))</f>
        <v>Normal</v>
      </c>
      <c r="L636">
        <v>-0.9678099</v>
      </c>
      <c r="M636">
        <v>2</v>
      </c>
      <c r="N636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636">
        <v>-0.91619854999999994</v>
      </c>
      <c r="P636">
        <v>1.3333333999999999</v>
      </c>
      <c r="Q636">
        <f>ROUND(Table1[[#This Row],[dass21_raw_score]],0)</f>
        <v>1</v>
      </c>
      <c r="R636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636">
        <v>-0.96581030000000001</v>
      </c>
      <c r="T636">
        <v>0.12909961</v>
      </c>
      <c r="U636">
        <v>7500</v>
      </c>
      <c r="V636" s="1">
        <f>ROUND(Table1[[#This Row],[fmpce]],0)</f>
        <v>7500</v>
      </c>
      <c r="W636">
        <v>102.03498999999999</v>
      </c>
      <c r="X636" s="4">
        <f>Table1[[#This Row],[mpce]]*89</f>
        <v>9081.1141099999986</v>
      </c>
      <c r="Y636" s="2" t="s">
        <v>35</v>
      </c>
      <c r="Z636" s="3">
        <f>VLOOKUP(Y636, rmpce_reference!$B$1:$D$7,3,FALSE) * 89</f>
        <v>9790</v>
      </c>
      <c r="AA636" s="1" t="str">
        <f>IF(Table1[rmpce_inr]&lt;=rmpce_reference!$F$2, "Low Income", IF(Table1[rmpce_inr]&lt;=rmpce_reference!$F$3, "Middle Income", "High Income"))</f>
        <v>High Income</v>
      </c>
    </row>
    <row r="637" spans="1:27" x14ac:dyDescent="0.25">
      <c r="A637">
        <v>3180</v>
      </c>
      <c r="B637" t="s">
        <v>40</v>
      </c>
      <c r="C637" t="s">
        <v>33</v>
      </c>
      <c r="D637">
        <v>26</v>
      </c>
      <c r="E637" t="s">
        <v>25</v>
      </c>
      <c r="F637" t="s">
        <v>30</v>
      </c>
      <c r="G637">
        <v>4</v>
      </c>
      <c r="H637" s="1" t="str">
        <f>IF(Table1[[#This Row],[anxiety_score]]&lt;=10, "Normal", IF(Table1[[#This Row],[anxiety_score]]&lt;=20, "Moderate", IF(Table1[[#This Row],[anxiety_score]]&lt;=30, "Severe", "Extremely Severe")))</f>
        <v>Normal</v>
      </c>
      <c r="I637">
        <v>-0.61133329999999997</v>
      </c>
      <c r="J637">
        <v>2</v>
      </c>
      <c r="K637" s="1" t="str">
        <f>IF(Table1[[#This Row],[stress_score]]&lt;=10, "Normal", IF(Table1[[#This Row],[stress_score]]&lt;=20, "Moderate", IF(Table1[[#This Row],[stress_score]]&lt;=30, "Severe", "Extremely Severe")))</f>
        <v>Normal</v>
      </c>
      <c r="L637">
        <v>-0.9678099</v>
      </c>
      <c r="M637">
        <v>4</v>
      </c>
      <c r="N637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637">
        <v>-0.72356116999999998</v>
      </c>
      <c r="P637">
        <v>3.3333333000000001</v>
      </c>
      <c r="Q637">
        <f>ROUND(Table1[[#This Row],[dass21_raw_score]],0)</f>
        <v>3</v>
      </c>
      <c r="R637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637">
        <v>-0.76756809999999998</v>
      </c>
      <c r="T637">
        <v>0.32734180000000002</v>
      </c>
      <c r="U637">
        <v>5000</v>
      </c>
      <c r="V637" s="1">
        <f>ROUND(Table1[[#This Row],[fmpce]],0)</f>
        <v>5000</v>
      </c>
      <c r="W637">
        <v>68.023319999999998</v>
      </c>
      <c r="X637" s="4">
        <f>Table1[[#This Row],[mpce]]*89</f>
        <v>6054.0754799999995</v>
      </c>
      <c r="Y637" s="2" t="s">
        <v>28</v>
      </c>
      <c r="Z637" s="3">
        <f>VLOOKUP(Y637, rmpce_reference!$B$1:$D$7,3,FALSE) * 89</f>
        <v>6230</v>
      </c>
      <c r="AA637" s="1" t="str">
        <f>IF(Table1[rmpce_inr]&lt;=rmpce_reference!$F$2, "Low Income", IF(Table1[rmpce_inr]&lt;=rmpce_reference!$F$3, "Middle Income", "High Income"))</f>
        <v>Middle Income</v>
      </c>
    </row>
    <row r="638" spans="1:27" x14ac:dyDescent="0.25">
      <c r="A638">
        <v>3181</v>
      </c>
      <c r="B638" t="s">
        <v>40</v>
      </c>
      <c r="C638" t="s">
        <v>33</v>
      </c>
      <c r="D638">
        <v>27</v>
      </c>
      <c r="E638" t="s">
        <v>22</v>
      </c>
      <c r="F638" t="s">
        <v>30</v>
      </c>
      <c r="G638">
        <v>4</v>
      </c>
      <c r="H638" s="1" t="str">
        <f>IF(Table1[[#This Row],[anxiety_score]]&lt;=10, "Normal", IF(Table1[[#This Row],[anxiety_score]]&lt;=20, "Moderate", IF(Table1[[#This Row],[anxiety_score]]&lt;=30, "Severe", "Extremely Severe")))</f>
        <v>Normal</v>
      </c>
      <c r="I638">
        <v>-0.61133329999999997</v>
      </c>
      <c r="J638">
        <v>8</v>
      </c>
      <c r="K638" s="1" t="str">
        <f>IF(Table1[[#This Row],[stress_score]]&lt;=10, "Normal", IF(Table1[[#This Row],[stress_score]]&lt;=20, "Moderate", IF(Table1[[#This Row],[stress_score]]&lt;=30, "Severe", "Extremely Severe")))</f>
        <v>Normal</v>
      </c>
      <c r="L638">
        <v>-0.38382620000000001</v>
      </c>
      <c r="M638">
        <v>4</v>
      </c>
      <c r="N638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638">
        <v>-0.72356116999999998</v>
      </c>
      <c r="P638">
        <v>5.3333335000000002</v>
      </c>
      <c r="Q638">
        <f>ROUND(Table1[[#This Row],[dass21_raw_score]],0)</f>
        <v>5</v>
      </c>
      <c r="R638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638">
        <v>-0.5729069</v>
      </c>
      <c r="T638">
        <v>0.52200299999999999</v>
      </c>
      <c r="U638">
        <v>8750</v>
      </c>
      <c r="V638" s="1">
        <f>ROUND(Table1[[#This Row],[fmpce]],0)</f>
        <v>8750</v>
      </c>
      <c r="W638">
        <v>119.04082</v>
      </c>
      <c r="X638" s="4">
        <f>Table1[[#This Row],[mpce]]*89</f>
        <v>10594.63298</v>
      </c>
      <c r="Y638" s="2" t="s">
        <v>35</v>
      </c>
      <c r="Z638" s="3">
        <f>VLOOKUP(Y638, rmpce_reference!$B$1:$D$7,3,FALSE) * 89</f>
        <v>9790</v>
      </c>
      <c r="AA638" s="1" t="str">
        <f>IF(Table1[rmpce_inr]&lt;=rmpce_reference!$F$2, "Low Income", IF(Table1[rmpce_inr]&lt;=rmpce_reference!$F$3, "Middle Income", "High Income"))</f>
        <v>High Income</v>
      </c>
    </row>
    <row r="639" spans="1:27" x14ac:dyDescent="0.25">
      <c r="A639">
        <v>3182</v>
      </c>
      <c r="B639" t="s">
        <v>40</v>
      </c>
      <c r="C639" t="s">
        <v>29</v>
      </c>
      <c r="D639">
        <v>40</v>
      </c>
      <c r="E639" t="s">
        <v>25</v>
      </c>
      <c r="F639" t="s">
        <v>26</v>
      </c>
      <c r="G639">
        <v>4</v>
      </c>
      <c r="H639" s="1" t="str">
        <f>IF(Table1[[#This Row],[anxiety_score]]&lt;=10, "Normal", IF(Table1[[#This Row],[anxiety_score]]&lt;=20, "Moderate", IF(Table1[[#This Row],[anxiety_score]]&lt;=30, "Severe", "Extremely Severe")))</f>
        <v>Normal</v>
      </c>
      <c r="I639">
        <v>-0.61133329999999997</v>
      </c>
      <c r="J639">
        <v>4</v>
      </c>
      <c r="K639" s="1" t="str">
        <f>IF(Table1[[#This Row],[stress_score]]&lt;=10, "Normal", IF(Table1[[#This Row],[stress_score]]&lt;=20, "Moderate", IF(Table1[[#This Row],[stress_score]]&lt;=30, "Severe", "Extremely Severe")))</f>
        <v>Normal</v>
      </c>
      <c r="L639">
        <v>-0.77314866000000004</v>
      </c>
      <c r="M639">
        <v>2</v>
      </c>
      <c r="N639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639">
        <v>-0.91619854999999994</v>
      </c>
      <c r="P639">
        <v>3.3333333000000001</v>
      </c>
      <c r="Q639">
        <f>ROUND(Table1[[#This Row],[dass21_raw_score]],0)</f>
        <v>3</v>
      </c>
      <c r="R639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639">
        <v>-0.76689350000000001</v>
      </c>
      <c r="T639">
        <v>0.32801639999999999</v>
      </c>
      <c r="U639">
        <v>3000</v>
      </c>
      <c r="V639" s="1">
        <f>ROUND(Table1[[#This Row],[fmpce]],0)</f>
        <v>3000</v>
      </c>
      <c r="W639">
        <v>40.813994999999998</v>
      </c>
      <c r="X639" s="4">
        <f>Table1[[#This Row],[mpce]]*89</f>
        <v>3632.4455549999998</v>
      </c>
      <c r="Y639" s="2" t="s">
        <v>32</v>
      </c>
      <c r="Z639" s="3">
        <f>VLOOKUP(Y639, rmpce_reference!$B$1:$D$7,3,FALSE) * 89</f>
        <v>4450</v>
      </c>
      <c r="AA639" s="1" t="str">
        <f>IF(Table1[rmpce_inr]&lt;=rmpce_reference!$F$2, "Low Income", IF(Table1[rmpce_inr]&lt;=rmpce_reference!$F$3, "Middle Income", "High Income"))</f>
        <v>Low Income</v>
      </c>
    </row>
    <row r="640" spans="1:27" x14ac:dyDescent="0.25">
      <c r="A640">
        <v>3183</v>
      </c>
      <c r="B640" t="s">
        <v>40</v>
      </c>
      <c r="C640" t="s">
        <v>33</v>
      </c>
      <c r="D640">
        <v>30</v>
      </c>
      <c r="E640" t="s">
        <v>25</v>
      </c>
      <c r="F640" t="s">
        <v>26</v>
      </c>
      <c r="G640">
        <v>4</v>
      </c>
      <c r="H640" s="1" t="str">
        <f>IF(Table1[[#This Row],[anxiety_score]]&lt;=10, "Normal", IF(Table1[[#This Row],[anxiety_score]]&lt;=20, "Moderate", IF(Table1[[#This Row],[anxiety_score]]&lt;=30, "Severe", "Extremely Severe")))</f>
        <v>Normal</v>
      </c>
      <c r="I640">
        <v>-0.61133329999999997</v>
      </c>
      <c r="J640">
        <v>6</v>
      </c>
      <c r="K640" s="1" t="str">
        <f>IF(Table1[[#This Row],[stress_score]]&lt;=10, "Normal", IF(Table1[[#This Row],[stress_score]]&lt;=20, "Moderate", IF(Table1[[#This Row],[stress_score]]&lt;=30, "Severe", "Extremely Severe")))</f>
        <v>Normal</v>
      </c>
      <c r="L640">
        <v>-0.57848745999999995</v>
      </c>
      <c r="M640">
        <v>8</v>
      </c>
      <c r="N640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640">
        <v>-0.33828637</v>
      </c>
      <c r="P640">
        <v>6</v>
      </c>
      <c r="Q640">
        <f>ROUND(Table1[[#This Row],[dass21_raw_score]],0)</f>
        <v>6</v>
      </c>
      <c r="R640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640">
        <v>-0.50936899999999996</v>
      </c>
      <c r="T640">
        <v>0.58554090000000003</v>
      </c>
      <c r="U640">
        <v>5000</v>
      </c>
      <c r="V640" s="1">
        <f>ROUND(Table1[[#This Row],[fmpce]],0)</f>
        <v>5000</v>
      </c>
      <c r="W640">
        <v>68.023319999999998</v>
      </c>
      <c r="X640" s="4">
        <f>Table1[[#This Row],[mpce]]*89</f>
        <v>6054.0754799999995</v>
      </c>
      <c r="Y640" s="2" t="s">
        <v>28</v>
      </c>
      <c r="Z640" s="3">
        <f>VLOOKUP(Y640, rmpce_reference!$B$1:$D$7,3,FALSE) * 89</f>
        <v>6230</v>
      </c>
      <c r="AA640" s="1" t="str">
        <f>IF(Table1[rmpce_inr]&lt;=rmpce_reference!$F$2, "Low Income", IF(Table1[rmpce_inr]&lt;=rmpce_reference!$F$3, "Middle Income", "High Income"))</f>
        <v>Middle Income</v>
      </c>
    </row>
    <row r="641" spans="1:27" x14ac:dyDescent="0.25">
      <c r="A641">
        <v>3184</v>
      </c>
      <c r="B641" t="s">
        <v>40</v>
      </c>
      <c r="C641" t="s">
        <v>29</v>
      </c>
      <c r="D641">
        <v>40</v>
      </c>
      <c r="E641" t="s">
        <v>25</v>
      </c>
      <c r="F641" t="s">
        <v>26</v>
      </c>
      <c r="G641">
        <v>6</v>
      </c>
      <c r="H641" s="1" t="str">
        <f>IF(Table1[[#This Row],[anxiety_score]]&lt;=10, "Normal", IF(Table1[[#This Row],[anxiety_score]]&lt;=20, "Moderate", IF(Table1[[#This Row],[anxiety_score]]&lt;=30, "Severe", "Extremely Severe")))</f>
        <v>Normal</v>
      </c>
      <c r="I641">
        <v>-0.41028870000000001</v>
      </c>
      <c r="J641">
        <v>4</v>
      </c>
      <c r="K641" s="1" t="str">
        <f>IF(Table1[[#This Row],[stress_score]]&lt;=10, "Normal", IF(Table1[[#This Row],[stress_score]]&lt;=20, "Moderate", IF(Table1[[#This Row],[stress_score]]&lt;=30, "Severe", "Extremely Severe")))</f>
        <v>Normal</v>
      </c>
      <c r="L641">
        <v>-0.77314866000000004</v>
      </c>
      <c r="M641">
        <v>6</v>
      </c>
      <c r="N641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641">
        <v>-0.53092379999999995</v>
      </c>
      <c r="P641">
        <v>5.3333335000000002</v>
      </c>
      <c r="Q641">
        <f>ROUND(Table1[[#This Row],[dass21_raw_score]],0)</f>
        <v>5</v>
      </c>
      <c r="R641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641">
        <v>-0.57145369999999995</v>
      </c>
      <c r="T641">
        <v>0.52345620000000004</v>
      </c>
      <c r="U641">
        <v>6666.6665000000003</v>
      </c>
      <c r="V641" s="1">
        <f>ROUND(Table1[[#This Row],[fmpce]],0)</f>
        <v>6667</v>
      </c>
      <c r="W641">
        <v>90.697760000000002</v>
      </c>
      <c r="X641" s="4">
        <f>Table1[[#This Row],[mpce]]*89</f>
        <v>8072.1006400000006</v>
      </c>
      <c r="Y641" s="2" t="s">
        <v>31</v>
      </c>
      <c r="Z641" s="3">
        <f>VLOOKUP(Y641, rmpce_reference!$B$1:$D$7,3,FALSE) * 89</f>
        <v>8010</v>
      </c>
      <c r="AA641" s="1" t="str">
        <f>IF(Table1[rmpce_inr]&lt;=rmpce_reference!$F$2, "Low Income", IF(Table1[rmpce_inr]&lt;=rmpce_reference!$F$3, "Middle Income", "High Income"))</f>
        <v>High Income</v>
      </c>
    </row>
    <row r="642" spans="1:27" x14ac:dyDescent="0.25">
      <c r="A642">
        <v>3185</v>
      </c>
      <c r="B642" t="s">
        <v>40</v>
      </c>
      <c r="C642" t="s">
        <v>29</v>
      </c>
      <c r="D642">
        <v>40</v>
      </c>
      <c r="E642" t="s">
        <v>25</v>
      </c>
      <c r="F642" t="s">
        <v>26</v>
      </c>
      <c r="G642">
        <v>0</v>
      </c>
      <c r="H642" s="1" t="str">
        <f>IF(Table1[[#This Row],[anxiety_score]]&lt;=10, "Normal", IF(Table1[[#This Row],[anxiety_score]]&lt;=20, "Moderate", IF(Table1[[#This Row],[anxiety_score]]&lt;=30, "Severe", "Extremely Severe")))</f>
        <v>Normal</v>
      </c>
      <c r="I642">
        <v>-1.0134224999999999</v>
      </c>
      <c r="J642">
        <v>6</v>
      </c>
      <c r="K642" s="1" t="str">
        <f>IF(Table1[[#This Row],[stress_score]]&lt;=10, "Normal", IF(Table1[[#This Row],[stress_score]]&lt;=20, "Moderate", IF(Table1[[#This Row],[stress_score]]&lt;=30, "Severe", "Extremely Severe")))</f>
        <v>Normal</v>
      </c>
      <c r="L642">
        <v>-0.57848745999999995</v>
      </c>
      <c r="M642">
        <v>2</v>
      </c>
      <c r="N642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642">
        <v>-0.91619854999999994</v>
      </c>
      <c r="P642">
        <v>2.6666666999999999</v>
      </c>
      <c r="Q642">
        <f>ROUND(Table1[[#This Row],[dass21_raw_score]],0)</f>
        <v>3</v>
      </c>
      <c r="R642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642">
        <v>-0.83603614999999998</v>
      </c>
      <c r="T642">
        <v>0.25887376000000001</v>
      </c>
      <c r="U642">
        <v>7500</v>
      </c>
      <c r="V642" s="1">
        <f>ROUND(Table1[[#This Row],[fmpce]],0)</f>
        <v>7500</v>
      </c>
      <c r="W642">
        <v>102.03498999999999</v>
      </c>
      <c r="X642" s="4">
        <f>Table1[[#This Row],[mpce]]*89</f>
        <v>9081.1141099999986</v>
      </c>
      <c r="Y642" s="2" t="s">
        <v>35</v>
      </c>
      <c r="Z642" s="3">
        <f>VLOOKUP(Y642, rmpce_reference!$B$1:$D$7,3,FALSE) * 89</f>
        <v>9790</v>
      </c>
      <c r="AA642" s="1" t="str">
        <f>IF(Table1[rmpce_inr]&lt;=rmpce_reference!$F$2, "Low Income", IF(Table1[rmpce_inr]&lt;=rmpce_reference!$F$3, "Middle Income", "High Income"))</f>
        <v>High Income</v>
      </c>
    </row>
    <row r="643" spans="1:27" x14ac:dyDescent="0.25">
      <c r="A643">
        <v>3186</v>
      </c>
      <c r="B643" t="s">
        <v>40</v>
      </c>
      <c r="C643" t="s">
        <v>29</v>
      </c>
      <c r="D643">
        <v>32</v>
      </c>
      <c r="E643" t="s">
        <v>25</v>
      </c>
      <c r="F643" t="s">
        <v>26</v>
      </c>
      <c r="G643">
        <v>2</v>
      </c>
      <c r="H643" s="1" t="str">
        <f>IF(Table1[[#This Row],[anxiety_score]]&lt;=10, "Normal", IF(Table1[[#This Row],[anxiety_score]]&lt;=20, "Moderate", IF(Table1[[#This Row],[anxiety_score]]&lt;=30, "Severe", "Extremely Severe")))</f>
        <v>Normal</v>
      </c>
      <c r="I643">
        <v>-0.81237789999999999</v>
      </c>
      <c r="J643">
        <v>2</v>
      </c>
      <c r="K643" s="1" t="str">
        <f>IF(Table1[[#This Row],[stress_score]]&lt;=10, "Normal", IF(Table1[[#This Row],[stress_score]]&lt;=20, "Moderate", IF(Table1[[#This Row],[stress_score]]&lt;=30, "Severe", "Extremely Severe")))</f>
        <v>Normal</v>
      </c>
      <c r="L643">
        <v>-0.9678099</v>
      </c>
      <c r="M643">
        <v>2</v>
      </c>
      <c r="N643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643">
        <v>-0.91619854999999994</v>
      </c>
      <c r="P643">
        <v>2</v>
      </c>
      <c r="Q643">
        <f>ROUND(Table1[[#This Row],[dass21_raw_score]],0)</f>
        <v>2</v>
      </c>
      <c r="R643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643">
        <v>-0.89879549999999997</v>
      </c>
      <c r="T643">
        <v>0.19611442000000001</v>
      </c>
      <c r="U643">
        <v>5000</v>
      </c>
      <c r="V643" s="1">
        <f>ROUND(Table1[[#This Row],[fmpce]],0)</f>
        <v>5000</v>
      </c>
      <c r="W643">
        <v>68.023319999999998</v>
      </c>
      <c r="X643" s="4">
        <f>Table1[[#This Row],[mpce]]*89</f>
        <v>6054.0754799999995</v>
      </c>
      <c r="Y643" s="2" t="s">
        <v>28</v>
      </c>
      <c r="Z643" s="3">
        <f>VLOOKUP(Y643, rmpce_reference!$B$1:$D$7,3,FALSE) * 89</f>
        <v>6230</v>
      </c>
      <c r="AA643" s="1" t="str">
        <f>IF(Table1[rmpce_inr]&lt;=rmpce_reference!$F$2, "Low Income", IF(Table1[rmpce_inr]&lt;=rmpce_reference!$F$3, "Middle Income", "High Income"))</f>
        <v>Middle Income</v>
      </c>
    </row>
    <row r="644" spans="1:27" x14ac:dyDescent="0.25">
      <c r="A644">
        <v>3187</v>
      </c>
      <c r="B644" t="s">
        <v>40</v>
      </c>
      <c r="C644" t="s">
        <v>21</v>
      </c>
      <c r="D644">
        <v>42</v>
      </c>
      <c r="E644" t="s">
        <v>25</v>
      </c>
      <c r="F644" t="s">
        <v>30</v>
      </c>
      <c r="G644">
        <v>0</v>
      </c>
      <c r="H644" s="1" t="str">
        <f>IF(Table1[[#This Row],[anxiety_score]]&lt;=10, "Normal", IF(Table1[[#This Row],[anxiety_score]]&lt;=20, "Moderate", IF(Table1[[#This Row],[anxiety_score]]&lt;=30, "Severe", "Extremely Severe")))</f>
        <v>Normal</v>
      </c>
      <c r="I644">
        <v>-1.0134224999999999</v>
      </c>
      <c r="J644">
        <v>0</v>
      </c>
      <c r="K644" s="1" t="str">
        <f>IF(Table1[[#This Row],[stress_score]]&lt;=10, "Normal", IF(Table1[[#This Row],[stress_score]]&lt;=20, "Moderate", IF(Table1[[#This Row],[stress_score]]&lt;=30, "Severe", "Extremely Severe")))</f>
        <v>Normal</v>
      </c>
      <c r="L644">
        <v>-1.1624711999999999</v>
      </c>
      <c r="M644">
        <v>2</v>
      </c>
      <c r="N644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644">
        <v>-0.91619854999999994</v>
      </c>
      <c r="P644">
        <v>0.66666669999999995</v>
      </c>
      <c r="Q644">
        <f>ROUND(Table1[[#This Row],[dass21_raw_score]],0)</f>
        <v>1</v>
      </c>
      <c r="R644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644">
        <v>-1.0306972999999999</v>
      </c>
      <c r="T644">
        <v>6.4212560000000002E-2</v>
      </c>
      <c r="U644">
        <v>10000</v>
      </c>
      <c r="V644" s="1">
        <f>ROUND(Table1[[#This Row],[fmpce]],0)</f>
        <v>10000</v>
      </c>
      <c r="W644">
        <v>136.04665</v>
      </c>
      <c r="X644" s="4">
        <f>Table1[[#This Row],[mpce]]*89</f>
        <v>12108.15185</v>
      </c>
      <c r="Y644" s="2" t="s">
        <v>35</v>
      </c>
      <c r="Z644" s="3">
        <f>VLOOKUP(Y644, rmpce_reference!$B$1:$D$7,3,FALSE) * 89</f>
        <v>9790</v>
      </c>
      <c r="AA644" s="1" t="str">
        <f>IF(Table1[rmpce_inr]&lt;=rmpce_reference!$F$2, "Low Income", IF(Table1[rmpce_inr]&lt;=rmpce_reference!$F$3, "Middle Income", "High Income"))</f>
        <v>High Income</v>
      </c>
    </row>
    <row r="645" spans="1:27" x14ac:dyDescent="0.25">
      <c r="A645">
        <v>3188</v>
      </c>
      <c r="B645" t="s">
        <v>40</v>
      </c>
      <c r="C645" t="s">
        <v>29</v>
      </c>
      <c r="D645">
        <v>37</v>
      </c>
      <c r="E645" t="s">
        <v>25</v>
      </c>
      <c r="F645" t="s">
        <v>26</v>
      </c>
      <c r="G645">
        <v>0</v>
      </c>
      <c r="H645" s="1" t="str">
        <f>IF(Table1[[#This Row],[anxiety_score]]&lt;=10, "Normal", IF(Table1[[#This Row],[anxiety_score]]&lt;=20, "Moderate", IF(Table1[[#This Row],[anxiety_score]]&lt;=30, "Severe", "Extremely Severe")))</f>
        <v>Normal</v>
      </c>
      <c r="I645">
        <v>-1.0134224999999999</v>
      </c>
      <c r="J645">
        <v>0</v>
      </c>
      <c r="K645" s="1" t="str">
        <f>IF(Table1[[#This Row],[stress_score]]&lt;=10, "Normal", IF(Table1[[#This Row],[stress_score]]&lt;=20, "Moderate", IF(Table1[[#This Row],[stress_score]]&lt;=30, "Severe", "Extremely Severe")))</f>
        <v>Normal</v>
      </c>
      <c r="L645">
        <v>-1.1624711999999999</v>
      </c>
      <c r="M645">
        <v>2</v>
      </c>
      <c r="N645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645">
        <v>-0.91619854999999994</v>
      </c>
      <c r="P645">
        <v>0.66666669999999995</v>
      </c>
      <c r="Q645">
        <f>ROUND(Table1[[#This Row],[dass21_raw_score]],0)</f>
        <v>1</v>
      </c>
      <c r="R645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645">
        <v>-1.0306972999999999</v>
      </c>
      <c r="T645">
        <v>6.4212560000000002E-2</v>
      </c>
      <c r="U645">
        <v>5000</v>
      </c>
      <c r="V645" s="1">
        <f>ROUND(Table1[[#This Row],[fmpce]],0)</f>
        <v>5000</v>
      </c>
      <c r="W645">
        <v>68.023319999999998</v>
      </c>
      <c r="X645" s="4">
        <f>Table1[[#This Row],[mpce]]*89</f>
        <v>6054.0754799999995</v>
      </c>
      <c r="Y645" s="2" t="s">
        <v>28</v>
      </c>
      <c r="Z645" s="3">
        <f>VLOOKUP(Y645, rmpce_reference!$B$1:$D$7,3,FALSE) * 89</f>
        <v>6230</v>
      </c>
      <c r="AA645" s="1" t="str">
        <f>IF(Table1[rmpce_inr]&lt;=rmpce_reference!$F$2, "Low Income", IF(Table1[rmpce_inr]&lt;=rmpce_reference!$F$3, "Middle Income", "High Income"))</f>
        <v>Middle Income</v>
      </c>
    </row>
    <row r="646" spans="1:27" x14ac:dyDescent="0.25">
      <c r="A646">
        <v>3189</v>
      </c>
      <c r="B646" t="s">
        <v>40</v>
      </c>
      <c r="C646" t="s">
        <v>29</v>
      </c>
      <c r="D646">
        <v>35</v>
      </c>
      <c r="E646" t="s">
        <v>25</v>
      </c>
      <c r="F646" t="s">
        <v>26</v>
      </c>
      <c r="G646">
        <v>0</v>
      </c>
      <c r="H646" s="1" t="str">
        <f>IF(Table1[[#This Row],[anxiety_score]]&lt;=10, "Normal", IF(Table1[[#This Row],[anxiety_score]]&lt;=20, "Moderate", IF(Table1[[#This Row],[anxiety_score]]&lt;=30, "Severe", "Extremely Severe")))</f>
        <v>Normal</v>
      </c>
      <c r="I646">
        <v>-1.0134224999999999</v>
      </c>
      <c r="J646">
        <v>0</v>
      </c>
      <c r="K646" s="1" t="str">
        <f>IF(Table1[[#This Row],[stress_score]]&lt;=10, "Normal", IF(Table1[[#This Row],[stress_score]]&lt;=20, "Moderate", IF(Table1[[#This Row],[stress_score]]&lt;=30, "Severe", "Extremely Severe")))</f>
        <v>Normal</v>
      </c>
      <c r="L646">
        <v>-1.1624711999999999</v>
      </c>
      <c r="M646">
        <v>4</v>
      </c>
      <c r="N646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646">
        <v>-0.72356116999999998</v>
      </c>
      <c r="P646">
        <v>1.3333333999999999</v>
      </c>
      <c r="Q646">
        <f>ROUND(Table1[[#This Row],[dass21_raw_score]],0)</f>
        <v>1</v>
      </c>
      <c r="R646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646">
        <v>-0.96648495999999995</v>
      </c>
      <c r="T646">
        <v>0.12842493999999999</v>
      </c>
      <c r="U646">
        <v>6666.6665000000003</v>
      </c>
      <c r="V646" s="1">
        <f>ROUND(Table1[[#This Row],[fmpce]],0)</f>
        <v>6667</v>
      </c>
      <c r="W646">
        <v>90.697760000000002</v>
      </c>
      <c r="X646" s="4">
        <f>Table1[[#This Row],[mpce]]*89</f>
        <v>8072.1006400000006</v>
      </c>
      <c r="Y646" s="2" t="s">
        <v>31</v>
      </c>
      <c r="Z646" s="3">
        <f>VLOOKUP(Y646, rmpce_reference!$B$1:$D$7,3,FALSE) * 89</f>
        <v>8010</v>
      </c>
      <c r="AA646" s="1" t="str">
        <f>IF(Table1[rmpce_inr]&lt;=rmpce_reference!$F$2, "Low Income", IF(Table1[rmpce_inr]&lt;=rmpce_reference!$F$3, "Middle Income", "High Income"))</f>
        <v>High Income</v>
      </c>
    </row>
    <row r="647" spans="1:27" x14ac:dyDescent="0.25">
      <c r="A647">
        <v>3190</v>
      </c>
      <c r="B647" t="s">
        <v>40</v>
      </c>
      <c r="C647" t="s">
        <v>33</v>
      </c>
      <c r="D647">
        <v>30</v>
      </c>
      <c r="E647" t="s">
        <v>25</v>
      </c>
      <c r="F647" t="s">
        <v>26</v>
      </c>
      <c r="G647">
        <v>0</v>
      </c>
      <c r="H647" s="1" t="str">
        <f>IF(Table1[[#This Row],[anxiety_score]]&lt;=10, "Normal", IF(Table1[[#This Row],[anxiety_score]]&lt;=20, "Moderate", IF(Table1[[#This Row],[anxiety_score]]&lt;=30, "Severe", "Extremely Severe")))</f>
        <v>Normal</v>
      </c>
      <c r="I647">
        <v>-1.0134224999999999</v>
      </c>
      <c r="J647">
        <v>0</v>
      </c>
      <c r="K647" s="1" t="str">
        <f>IF(Table1[[#This Row],[stress_score]]&lt;=10, "Normal", IF(Table1[[#This Row],[stress_score]]&lt;=20, "Moderate", IF(Table1[[#This Row],[stress_score]]&lt;=30, "Severe", "Extremely Severe")))</f>
        <v>Normal</v>
      </c>
      <c r="L647">
        <v>-1.1624711999999999</v>
      </c>
      <c r="M647">
        <v>2</v>
      </c>
      <c r="N647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647">
        <v>-0.91619854999999994</v>
      </c>
      <c r="P647">
        <v>0.66666669999999995</v>
      </c>
      <c r="Q647">
        <f>ROUND(Table1[[#This Row],[dass21_raw_score]],0)</f>
        <v>1</v>
      </c>
      <c r="R647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647">
        <v>-1.0306972999999999</v>
      </c>
      <c r="T647">
        <v>6.4212560000000002E-2</v>
      </c>
      <c r="U647">
        <v>7500</v>
      </c>
      <c r="V647" s="1">
        <f>ROUND(Table1[[#This Row],[fmpce]],0)</f>
        <v>7500</v>
      </c>
      <c r="W647">
        <v>102.03498999999999</v>
      </c>
      <c r="X647" s="4">
        <f>Table1[[#This Row],[mpce]]*89</f>
        <v>9081.1141099999986</v>
      </c>
      <c r="Y647" s="2" t="s">
        <v>35</v>
      </c>
      <c r="Z647" s="3">
        <f>VLOOKUP(Y647, rmpce_reference!$B$1:$D$7,3,FALSE) * 89</f>
        <v>9790</v>
      </c>
      <c r="AA647" s="1" t="str">
        <f>IF(Table1[rmpce_inr]&lt;=rmpce_reference!$F$2, "Low Income", IF(Table1[rmpce_inr]&lt;=rmpce_reference!$F$3, "Middle Income", "High Income"))</f>
        <v>High Income</v>
      </c>
    </row>
    <row r="648" spans="1:27" x14ac:dyDescent="0.25">
      <c r="A648">
        <v>3191</v>
      </c>
      <c r="B648" t="s">
        <v>40</v>
      </c>
      <c r="C648" t="s">
        <v>29</v>
      </c>
      <c r="D648">
        <v>35</v>
      </c>
      <c r="E648" t="s">
        <v>25</v>
      </c>
      <c r="F648" t="s">
        <v>26</v>
      </c>
      <c r="G648">
        <v>0</v>
      </c>
      <c r="H648" s="1" t="str">
        <f>IF(Table1[[#This Row],[anxiety_score]]&lt;=10, "Normal", IF(Table1[[#This Row],[anxiety_score]]&lt;=20, "Moderate", IF(Table1[[#This Row],[anxiety_score]]&lt;=30, "Severe", "Extremely Severe")))</f>
        <v>Normal</v>
      </c>
      <c r="I648">
        <v>-1.0134224999999999</v>
      </c>
      <c r="J648">
        <v>4</v>
      </c>
      <c r="K648" s="1" t="str">
        <f>IF(Table1[[#This Row],[stress_score]]&lt;=10, "Normal", IF(Table1[[#This Row],[stress_score]]&lt;=20, "Moderate", IF(Table1[[#This Row],[stress_score]]&lt;=30, "Severe", "Extremely Severe")))</f>
        <v>Normal</v>
      </c>
      <c r="L648">
        <v>-0.77314866000000004</v>
      </c>
      <c r="M648">
        <v>2</v>
      </c>
      <c r="N648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648">
        <v>-0.91619854999999994</v>
      </c>
      <c r="P648">
        <v>2</v>
      </c>
      <c r="Q648">
        <f>ROUND(Table1[[#This Row],[dass21_raw_score]],0)</f>
        <v>2</v>
      </c>
      <c r="R648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648">
        <v>-0.90092324999999995</v>
      </c>
      <c r="T648">
        <v>0.19398665000000001</v>
      </c>
      <c r="U648">
        <v>11666.666999999999</v>
      </c>
      <c r="V648" s="1">
        <f>ROUND(Table1[[#This Row],[fmpce]],0)</f>
        <v>11667</v>
      </c>
      <c r="W648">
        <v>158.72110000000001</v>
      </c>
      <c r="X648" s="4">
        <f>Table1[[#This Row],[mpce]]*89</f>
        <v>14126.177900000001</v>
      </c>
      <c r="Y648" s="2" t="s">
        <v>35</v>
      </c>
      <c r="Z648" s="3">
        <f>VLOOKUP(Y648, rmpce_reference!$B$1:$D$7,3,FALSE) * 89</f>
        <v>9790</v>
      </c>
      <c r="AA648" s="1" t="str">
        <f>IF(Table1[rmpce_inr]&lt;=rmpce_reference!$F$2, "Low Income", IF(Table1[rmpce_inr]&lt;=rmpce_reference!$F$3, "Middle Income", "High Income"))</f>
        <v>High Income</v>
      </c>
    </row>
    <row r="649" spans="1:27" x14ac:dyDescent="0.25">
      <c r="A649">
        <v>3192</v>
      </c>
      <c r="B649" t="s">
        <v>40</v>
      </c>
      <c r="C649" t="s">
        <v>29</v>
      </c>
      <c r="D649">
        <v>40</v>
      </c>
      <c r="E649" t="s">
        <v>25</v>
      </c>
      <c r="F649" t="s">
        <v>26</v>
      </c>
      <c r="G649">
        <v>0</v>
      </c>
      <c r="H649" s="1" t="str">
        <f>IF(Table1[[#This Row],[anxiety_score]]&lt;=10, "Normal", IF(Table1[[#This Row],[anxiety_score]]&lt;=20, "Moderate", IF(Table1[[#This Row],[anxiety_score]]&lt;=30, "Severe", "Extremely Severe")))</f>
        <v>Normal</v>
      </c>
      <c r="I649">
        <v>-1.0134224999999999</v>
      </c>
      <c r="J649">
        <v>0</v>
      </c>
      <c r="K649" s="1" t="str">
        <f>IF(Table1[[#This Row],[stress_score]]&lt;=10, "Normal", IF(Table1[[#This Row],[stress_score]]&lt;=20, "Moderate", IF(Table1[[#This Row],[stress_score]]&lt;=30, "Severe", "Extremely Severe")))</f>
        <v>Normal</v>
      </c>
      <c r="L649">
        <v>-1.1624711999999999</v>
      </c>
      <c r="M649">
        <v>4</v>
      </c>
      <c r="N649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649">
        <v>-0.72356116999999998</v>
      </c>
      <c r="P649">
        <v>1.3333333999999999</v>
      </c>
      <c r="Q649">
        <f>ROUND(Table1[[#This Row],[dass21_raw_score]],0)</f>
        <v>1</v>
      </c>
      <c r="R649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649">
        <v>-0.96648495999999995</v>
      </c>
      <c r="T649">
        <v>0.12842493999999999</v>
      </c>
      <c r="U649">
        <v>7500</v>
      </c>
      <c r="V649" s="1">
        <f>ROUND(Table1[[#This Row],[fmpce]],0)</f>
        <v>7500</v>
      </c>
      <c r="W649">
        <v>102.03498999999999</v>
      </c>
      <c r="X649" s="4">
        <f>Table1[[#This Row],[mpce]]*89</f>
        <v>9081.1141099999986</v>
      </c>
      <c r="Y649" s="2" t="s">
        <v>35</v>
      </c>
      <c r="Z649" s="3">
        <f>VLOOKUP(Y649, rmpce_reference!$B$1:$D$7,3,FALSE) * 89</f>
        <v>9790</v>
      </c>
      <c r="AA649" s="1" t="str">
        <f>IF(Table1[rmpce_inr]&lt;=rmpce_reference!$F$2, "Low Income", IF(Table1[rmpce_inr]&lt;=rmpce_reference!$F$3, "Middle Income", "High Income"))</f>
        <v>High Income</v>
      </c>
    </row>
    <row r="650" spans="1:27" x14ac:dyDescent="0.25">
      <c r="A650">
        <v>3193</v>
      </c>
      <c r="B650" t="s">
        <v>40</v>
      </c>
      <c r="C650" t="s">
        <v>29</v>
      </c>
      <c r="D650">
        <v>40</v>
      </c>
      <c r="E650" t="s">
        <v>25</v>
      </c>
      <c r="F650" t="s">
        <v>30</v>
      </c>
      <c r="G650">
        <v>0</v>
      </c>
      <c r="H650" s="1" t="str">
        <f>IF(Table1[[#This Row],[anxiety_score]]&lt;=10, "Normal", IF(Table1[[#This Row],[anxiety_score]]&lt;=20, "Moderate", IF(Table1[[#This Row],[anxiety_score]]&lt;=30, "Severe", "Extremely Severe")))</f>
        <v>Normal</v>
      </c>
      <c r="I650">
        <v>-1.0134224999999999</v>
      </c>
      <c r="J650">
        <v>2</v>
      </c>
      <c r="K650" s="1" t="str">
        <f>IF(Table1[[#This Row],[stress_score]]&lt;=10, "Normal", IF(Table1[[#This Row],[stress_score]]&lt;=20, "Moderate", IF(Table1[[#This Row],[stress_score]]&lt;=30, "Severe", "Extremely Severe")))</f>
        <v>Normal</v>
      </c>
      <c r="L650">
        <v>-0.9678099</v>
      </c>
      <c r="M650">
        <v>0</v>
      </c>
      <c r="N650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650">
        <v>-1.1088359000000001</v>
      </c>
      <c r="P650">
        <v>0.66666669999999995</v>
      </c>
      <c r="Q650">
        <f>ROUND(Table1[[#This Row],[dass21_raw_score]],0)</f>
        <v>1</v>
      </c>
      <c r="R650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650">
        <v>-1.0300227</v>
      </c>
      <c r="T650">
        <v>6.4887165999999996E-2</v>
      </c>
      <c r="U650">
        <v>8333.3330000000005</v>
      </c>
      <c r="V650" s="1">
        <f>ROUND(Table1[[#This Row],[fmpce]],0)</f>
        <v>8333</v>
      </c>
      <c r="W650">
        <v>113.37220000000001</v>
      </c>
      <c r="X650" s="4">
        <f>Table1[[#This Row],[mpce]]*89</f>
        <v>10090.1258</v>
      </c>
      <c r="Y650" s="2" t="s">
        <v>35</v>
      </c>
      <c r="Z650" s="3">
        <f>VLOOKUP(Y650, rmpce_reference!$B$1:$D$7,3,FALSE) * 89</f>
        <v>9790</v>
      </c>
      <c r="AA650" s="1" t="str">
        <f>IF(Table1[rmpce_inr]&lt;=rmpce_reference!$F$2, "Low Income", IF(Table1[rmpce_inr]&lt;=rmpce_reference!$F$3, "Middle Income", "High Income"))</f>
        <v>High Income</v>
      </c>
    </row>
    <row r="651" spans="1:27" x14ac:dyDescent="0.25">
      <c r="A651">
        <v>3194</v>
      </c>
      <c r="B651" t="s">
        <v>40</v>
      </c>
      <c r="C651" t="s">
        <v>29</v>
      </c>
      <c r="D651">
        <v>36</v>
      </c>
      <c r="E651" t="s">
        <v>25</v>
      </c>
      <c r="F651" t="s">
        <v>30</v>
      </c>
      <c r="G651">
        <v>2</v>
      </c>
      <c r="H651" s="1" t="str">
        <f>IF(Table1[[#This Row],[anxiety_score]]&lt;=10, "Normal", IF(Table1[[#This Row],[anxiety_score]]&lt;=20, "Moderate", IF(Table1[[#This Row],[anxiety_score]]&lt;=30, "Severe", "Extremely Severe")))</f>
        <v>Normal</v>
      </c>
      <c r="I651">
        <v>-0.81237789999999999</v>
      </c>
      <c r="J651">
        <v>2</v>
      </c>
      <c r="K651" s="1" t="str">
        <f>IF(Table1[[#This Row],[stress_score]]&lt;=10, "Normal", IF(Table1[[#This Row],[stress_score]]&lt;=20, "Moderate", IF(Table1[[#This Row],[stress_score]]&lt;=30, "Severe", "Extremely Severe")))</f>
        <v>Normal</v>
      </c>
      <c r="L651">
        <v>-0.9678099</v>
      </c>
      <c r="M651">
        <v>2</v>
      </c>
      <c r="N651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651">
        <v>-0.91619854999999994</v>
      </c>
      <c r="P651">
        <v>2</v>
      </c>
      <c r="Q651">
        <f>ROUND(Table1[[#This Row],[dass21_raw_score]],0)</f>
        <v>2</v>
      </c>
      <c r="R651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651">
        <v>-0.89879549999999997</v>
      </c>
      <c r="T651">
        <v>0.19611442000000001</v>
      </c>
      <c r="U651">
        <v>10000</v>
      </c>
      <c r="V651" s="1">
        <f>ROUND(Table1[[#This Row],[fmpce]],0)</f>
        <v>10000</v>
      </c>
      <c r="W651">
        <v>136.04665</v>
      </c>
      <c r="X651" s="4">
        <f>Table1[[#This Row],[mpce]]*89</f>
        <v>12108.15185</v>
      </c>
      <c r="Y651" s="2" t="s">
        <v>35</v>
      </c>
      <c r="Z651" s="3">
        <f>VLOOKUP(Y651, rmpce_reference!$B$1:$D$7,3,FALSE) * 89</f>
        <v>9790</v>
      </c>
      <c r="AA651" s="1" t="str">
        <f>IF(Table1[rmpce_inr]&lt;=rmpce_reference!$F$2, "Low Income", IF(Table1[rmpce_inr]&lt;=rmpce_reference!$F$3, "Middle Income", "High Income"))</f>
        <v>High Income</v>
      </c>
    </row>
    <row r="652" spans="1:27" x14ac:dyDescent="0.25">
      <c r="A652">
        <v>3195</v>
      </c>
      <c r="B652" t="s">
        <v>40</v>
      </c>
      <c r="C652" t="s">
        <v>29</v>
      </c>
      <c r="D652">
        <v>32</v>
      </c>
      <c r="E652" t="s">
        <v>25</v>
      </c>
      <c r="F652" t="s">
        <v>26</v>
      </c>
      <c r="G652">
        <v>0</v>
      </c>
      <c r="H652" s="1" t="str">
        <f>IF(Table1[[#This Row],[anxiety_score]]&lt;=10, "Normal", IF(Table1[[#This Row],[anxiety_score]]&lt;=20, "Moderate", IF(Table1[[#This Row],[anxiety_score]]&lt;=30, "Severe", "Extremely Severe")))</f>
        <v>Normal</v>
      </c>
      <c r="I652">
        <v>-1.0134224999999999</v>
      </c>
      <c r="J652">
        <v>0</v>
      </c>
      <c r="K652" s="1" t="str">
        <f>IF(Table1[[#This Row],[stress_score]]&lt;=10, "Normal", IF(Table1[[#This Row],[stress_score]]&lt;=20, "Moderate", IF(Table1[[#This Row],[stress_score]]&lt;=30, "Severe", "Extremely Severe")))</f>
        <v>Normal</v>
      </c>
      <c r="L652">
        <v>-1.1624711999999999</v>
      </c>
      <c r="M652">
        <v>2</v>
      </c>
      <c r="N652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652">
        <v>-0.91619854999999994</v>
      </c>
      <c r="P652">
        <v>0.66666669999999995</v>
      </c>
      <c r="Q652">
        <f>ROUND(Table1[[#This Row],[dass21_raw_score]],0)</f>
        <v>1</v>
      </c>
      <c r="R652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652">
        <v>-1.0306972999999999</v>
      </c>
      <c r="T652">
        <v>6.4212560000000002E-2</v>
      </c>
      <c r="U652">
        <v>7500</v>
      </c>
      <c r="V652" s="1">
        <f>ROUND(Table1[[#This Row],[fmpce]],0)</f>
        <v>7500</v>
      </c>
      <c r="W652">
        <v>102.03498999999999</v>
      </c>
      <c r="X652" s="4">
        <f>Table1[[#This Row],[mpce]]*89</f>
        <v>9081.1141099999986</v>
      </c>
      <c r="Y652" s="2" t="s">
        <v>35</v>
      </c>
      <c r="Z652" s="3">
        <f>VLOOKUP(Y652, rmpce_reference!$B$1:$D$7,3,FALSE) * 89</f>
        <v>9790</v>
      </c>
      <c r="AA652" s="1" t="str">
        <f>IF(Table1[rmpce_inr]&lt;=rmpce_reference!$F$2, "Low Income", IF(Table1[rmpce_inr]&lt;=rmpce_reference!$F$3, "Middle Income", "High Income"))</f>
        <v>High Income</v>
      </c>
    </row>
    <row r="653" spans="1:27" x14ac:dyDescent="0.25">
      <c r="A653">
        <v>3196</v>
      </c>
      <c r="B653" t="s">
        <v>40</v>
      </c>
      <c r="C653" t="s">
        <v>29</v>
      </c>
      <c r="D653">
        <v>35</v>
      </c>
      <c r="E653" t="s">
        <v>25</v>
      </c>
      <c r="F653" t="s">
        <v>26</v>
      </c>
      <c r="G653">
        <v>0</v>
      </c>
      <c r="H653" s="1" t="str">
        <f>IF(Table1[[#This Row],[anxiety_score]]&lt;=10, "Normal", IF(Table1[[#This Row],[anxiety_score]]&lt;=20, "Moderate", IF(Table1[[#This Row],[anxiety_score]]&lt;=30, "Severe", "Extremely Severe")))</f>
        <v>Normal</v>
      </c>
      <c r="I653">
        <v>-1.0134224999999999</v>
      </c>
      <c r="J653">
        <v>2</v>
      </c>
      <c r="K653" s="1" t="str">
        <f>IF(Table1[[#This Row],[stress_score]]&lt;=10, "Normal", IF(Table1[[#This Row],[stress_score]]&lt;=20, "Moderate", IF(Table1[[#This Row],[stress_score]]&lt;=30, "Severe", "Extremely Severe")))</f>
        <v>Normal</v>
      </c>
      <c r="L653">
        <v>-0.9678099</v>
      </c>
      <c r="M653">
        <v>2</v>
      </c>
      <c r="N653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653">
        <v>-0.91619854999999994</v>
      </c>
      <c r="P653">
        <v>1.3333333999999999</v>
      </c>
      <c r="Q653">
        <f>ROUND(Table1[[#This Row],[dass21_raw_score]],0)</f>
        <v>1</v>
      </c>
      <c r="R653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653">
        <v>-0.96581030000000001</v>
      </c>
      <c r="T653">
        <v>0.12909961</v>
      </c>
      <c r="U653">
        <v>5000</v>
      </c>
      <c r="V653" s="1">
        <f>ROUND(Table1[[#This Row],[fmpce]],0)</f>
        <v>5000</v>
      </c>
      <c r="W653">
        <v>68.023319999999998</v>
      </c>
      <c r="X653" s="4">
        <f>Table1[[#This Row],[mpce]]*89</f>
        <v>6054.0754799999995</v>
      </c>
      <c r="Y653" s="2" t="s">
        <v>28</v>
      </c>
      <c r="Z653" s="3">
        <f>VLOOKUP(Y653, rmpce_reference!$B$1:$D$7,3,FALSE) * 89</f>
        <v>6230</v>
      </c>
      <c r="AA653" s="1" t="str">
        <f>IF(Table1[rmpce_inr]&lt;=rmpce_reference!$F$2, "Low Income", IF(Table1[rmpce_inr]&lt;=rmpce_reference!$F$3, "Middle Income", "High Income"))</f>
        <v>Middle Income</v>
      </c>
    </row>
    <row r="654" spans="1:27" x14ac:dyDescent="0.25">
      <c r="A654">
        <v>3197</v>
      </c>
      <c r="B654" t="s">
        <v>40</v>
      </c>
      <c r="C654" t="s">
        <v>29</v>
      </c>
      <c r="D654">
        <v>38</v>
      </c>
      <c r="E654" t="s">
        <v>25</v>
      </c>
      <c r="F654" t="s">
        <v>26</v>
      </c>
      <c r="G654">
        <v>2</v>
      </c>
      <c r="H654" s="1" t="str">
        <f>IF(Table1[[#This Row],[anxiety_score]]&lt;=10, "Normal", IF(Table1[[#This Row],[anxiety_score]]&lt;=20, "Moderate", IF(Table1[[#This Row],[anxiety_score]]&lt;=30, "Severe", "Extremely Severe")))</f>
        <v>Normal</v>
      </c>
      <c r="I654">
        <v>-0.81237789999999999</v>
      </c>
      <c r="J654">
        <v>0</v>
      </c>
      <c r="K654" s="1" t="str">
        <f>IF(Table1[[#This Row],[stress_score]]&lt;=10, "Normal", IF(Table1[[#This Row],[stress_score]]&lt;=20, "Moderate", IF(Table1[[#This Row],[stress_score]]&lt;=30, "Severe", "Extremely Severe")))</f>
        <v>Normal</v>
      </c>
      <c r="L654">
        <v>-1.1624711999999999</v>
      </c>
      <c r="M654">
        <v>4</v>
      </c>
      <c r="N654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654">
        <v>-0.72356116999999998</v>
      </c>
      <c r="P654">
        <v>2</v>
      </c>
      <c r="Q654">
        <f>ROUND(Table1[[#This Row],[dass21_raw_score]],0)</f>
        <v>2</v>
      </c>
      <c r="R654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654">
        <v>-0.89947010000000005</v>
      </c>
      <c r="T654">
        <v>0.19543981999999999</v>
      </c>
      <c r="U654">
        <v>8000</v>
      </c>
      <c r="V654" s="1">
        <f>ROUND(Table1[[#This Row],[fmpce]],0)</f>
        <v>8000</v>
      </c>
      <c r="W654">
        <v>108.83732000000001</v>
      </c>
      <c r="X654" s="4">
        <f>Table1[[#This Row],[mpce]]*89</f>
        <v>9686.5214800000012</v>
      </c>
      <c r="Y654" s="2" t="s">
        <v>35</v>
      </c>
      <c r="Z654" s="3">
        <f>VLOOKUP(Y654, rmpce_reference!$B$1:$D$7,3,FALSE) * 89</f>
        <v>9790</v>
      </c>
      <c r="AA654" s="1" t="str">
        <f>IF(Table1[rmpce_inr]&lt;=rmpce_reference!$F$2, "Low Income", IF(Table1[rmpce_inr]&lt;=rmpce_reference!$F$3, "Middle Income", "High Income"))</f>
        <v>High Income</v>
      </c>
    </row>
    <row r="655" spans="1:27" x14ac:dyDescent="0.25">
      <c r="A655">
        <v>3198</v>
      </c>
      <c r="B655" t="s">
        <v>40</v>
      </c>
      <c r="C655" t="s">
        <v>36</v>
      </c>
      <c r="D655">
        <v>52</v>
      </c>
      <c r="E655" t="s">
        <v>25</v>
      </c>
      <c r="F655" t="s">
        <v>26</v>
      </c>
      <c r="G655">
        <v>2</v>
      </c>
      <c r="H655" s="1" t="str">
        <f>IF(Table1[[#This Row],[anxiety_score]]&lt;=10, "Normal", IF(Table1[[#This Row],[anxiety_score]]&lt;=20, "Moderate", IF(Table1[[#This Row],[anxiety_score]]&lt;=30, "Severe", "Extremely Severe")))</f>
        <v>Normal</v>
      </c>
      <c r="I655">
        <v>-0.81237789999999999</v>
      </c>
      <c r="J655">
        <v>4</v>
      </c>
      <c r="K655" s="1" t="str">
        <f>IF(Table1[[#This Row],[stress_score]]&lt;=10, "Normal", IF(Table1[[#This Row],[stress_score]]&lt;=20, "Moderate", IF(Table1[[#This Row],[stress_score]]&lt;=30, "Severe", "Extremely Severe")))</f>
        <v>Normal</v>
      </c>
      <c r="L655">
        <v>-0.77314866000000004</v>
      </c>
      <c r="M655">
        <v>4</v>
      </c>
      <c r="N655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655">
        <v>-0.72356116999999998</v>
      </c>
      <c r="P655">
        <v>3.3333333000000001</v>
      </c>
      <c r="Q655">
        <f>ROUND(Table1[[#This Row],[dass21_raw_score]],0)</f>
        <v>3</v>
      </c>
      <c r="R655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655">
        <v>-0.76969593999999997</v>
      </c>
      <c r="T655">
        <v>0.32521397000000002</v>
      </c>
      <c r="U655">
        <v>6666.6665000000003</v>
      </c>
      <c r="V655" s="1">
        <f>ROUND(Table1[[#This Row],[fmpce]],0)</f>
        <v>6667</v>
      </c>
      <c r="W655">
        <v>90.697760000000002</v>
      </c>
      <c r="X655" s="4">
        <f>Table1[[#This Row],[mpce]]*89</f>
        <v>8072.1006400000006</v>
      </c>
      <c r="Y655" s="2" t="s">
        <v>31</v>
      </c>
      <c r="Z655" s="3">
        <f>VLOOKUP(Y655, rmpce_reference!$B$1:$D$7,3,FALSE) * 89</f>
        <v>8010</v>
      </c>
      <c r="AA655" s="1" t="str">
        <f>IF(Table1[rmpce_inr]&lt;=rmpce_reference!$F$2, "Low Income", IF(Table1[rmpce_inr]&lt;=rmpce_reference!$F$3, "Middle Income", "High Income"))</f>
        <v>High Income</v>
      </c>
    </row>
    <row r="656" spans="1:27" x14ac:dyDescent="0.25">
      <c r="A656">
        <v>3199</v>
      </c>
      <c r="B656" t="s">
        <v>40</v>
      </c>
      <c r="C656" t="s">
        <v>29</v>
      </c>
      <c r="D656">
        <v>33</v>
      </c>
      <c r="E656" t="s">
        <v>25</v>
      </c>
      <c r="F656" t="s">
        <v>26</v>
      </c>
      <c r="G656">
        <v>0</v>
      </c>
      <c r="H656" s="1" t="str">
        <f>IF(Table1[[#This Row],[anxiety_score]]&lt;=10, "Normal", IF(Table1[[#This Row],[anxiety_score]]&lt;=20, "Moderate", IF(Table1[[#This Row],[anxiety_score]]&lt;=30, "Severe", "Extremely Severe")))</f>
        <v>Normal</v>
      </c>
      <c r="I656">
        <v>-1.0134224999999999</v>
      </c>
      <c r="J656">
        <v>4</v>
      </c>
      <c r="K656" s="1" t="str">
        <f>IF(Table1[[#This Row],[stress_score]]&lt;=10, "Normal", IF(Table1[[#This Row],[stress_score]]&lt;=20, "Moderate", IF(Table1[[#This Row],[stress_score]]&lt;=30, "Severe", "Extremely Severe")))</f>
        <v>Normal</v>
      </c>
      <c r="L656">
        <v>-0.77314866000000004</v>
      </c>
      <c r="M656">
        <v>4</v>
      </c>
      <c r="N656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656">
        <v>-0.72356116999999998</v>
      </c>
      <c r="P656">
        <v>2.6666666999999999</v>
      </c>
      <c r="Q656">
        <f>ROUND(Table1[[#This Row],[dass21_raw_score]],0)</f>
        <v>3</v>
      </c>
      <c r="R656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656">
        <v>-0.83671074999999995</v>
      </c>
      <c r="T656">
        <v>0.25819915999999998</v>
      </c>
      <c r="U656">
        <v>7500</v>
      </c>
      <c r="V656" s="1">
        <f>ROUND(Table1[[#This Row],[fmpce]],0)</f>
        <v>7500</v>
      </c>
      <c r="W656">
        <v>102.03498999999999</v>
      </c>
      <c r="X656" s="4">
        <f>Table1[[#This Row],[mpce]]*89</f>
        <v>9081.1141099999986</v>
      </c>
      <c r="Y656" s="2" t="s">
        <v>35</v>
      </c>
      <c r="Z656" s="3">
        <f>VLOOKUP(Y656, rmpce_reference!$B$1:$D$7,3,FALSE) * 89</f>
        <v>9790</v>
      </c>
      <c r="AA656" s="1" t="str">
        <f>IF(Table1[rmpce_inr]&lt;=rmpce_reference!$F$2, "Low Income", IF(Table1[rmpce_inr]&lt;=rmpce_reference!$F$3, "Middle Income", "High Income"))</f>
        <v>High Income</v>
      </c>
    </row>
    <row r="657" spans="1:27" x14ac:dyDescent="0.25">
      <c r="A657">
        <v>3200</v>
      </c>
      <c r="B657" t="s">
        <v>40</v>
      </c>
      <c r="C657" t="s">
        <v>29</v>
      </c>
      <c r="D657">
        <v>40</v>
      </c>
      <c r="E657" t="s">
        <v>25</v>
      </c>
      <c r="F657" t="s">
        <v>26</v>
      </c>
      <c r="G657">
        <v>2</v>
      </c>
      <c r="H657" s="1" t="str">
        <f>IF(Table1[[#This Row],[anxiety_score]]&lt;=10, "Normal", IF(Table1[[#This Row],[anxiety_score]]&lt;=20, "Moderate", IF(Table1[[#This Row],[anxiety_score]]&lt;=30, "Severe", "Extremely Severe")))</f>
        <v>Normal</v>
      </c>
      <c r="I657">
        <v>-0.81237789999999999</v>
      </c>
      <c r="J657">
        <v>6</v>
      </c>
      <c r="K657" s="1" t="str">
        <f>IF(Table1[[#This Row],[stress_score]]&lt;=10, "Normal", IF(Table1[[#This Row],[stress_score]]&lt;=20, "Moderate", IF(Table1[[#This Row],[stress_score]]&lt;=30, "Severe", "Extremely Severe")))</f>
        <v>Normal</v>
      </c>
      <c r="L657">
        <v>-0.57848745999999995</v>
      </c>
      <c r="M657">
        <v>2</v>
      </c>
      <c r="N657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657">
        <v>-0.91619854999999994</v>
      </c>
      <c r="P657">
        <v>3.3333333000000001</v>
      </c>
      <c r="Q657">
        <f>ROUND(Table1[[#This Row],[dass21_raw_score]],0)</f>
        <v>3</v>
      </c>
      <c r="R657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657">
        <v>-0.76902132999999995</v>
      </c>
      <c r="T657">
        <v>0.32588856999999999</v>
      </c>
      <c r="U657">
        <v>4000</v>
      </c>
      <c r="V657" s="1">
        <f>ROUND(Table1[[#This Row],[fmpce]],0)</f>
        <v>4000</v>
      </c>
      <c r="W657">
        <v>54.418660000000003</v>
      </c>
      <c r="X657" s="4">
        <f>Table1[[#This Row],[mpce]]*89</f>
        <v>4843.2607400000006</v>
      </c>
      <c r="Y657" s="2" t="s">
        <v>32</v>
      </c>
      <c r="Z657" s="3">
        <f>VLOOKUP(Y657, rmpce_reference!$B$1:$D$7,3,FALSE) * 89</f>
        <v>4450</v>
      </c>
      <c r="AA657" s="1" t="str">
        <f>IF(Table1[rmpce_inr]&lt;=rmpce_reference!$F$2, "Low Income", IF(Table1[rmpce_inr]&lt;=rmpce_reference!$F$3, "Middle Income", "High Income"))</f>
        <v>Low Income</v>
      </c>
    </row>
    <row r="658" spans="1:27" x14ac:dyDescent="0.25">
      <c r="A658">
        <v>3201</v>
      </c>
      <c r="B658" t="s">
        <v>40</v>
      </c>
      <c r="C658" t="s">
        <v>29</v>
      </c>
      <c r="D658">
        <v>40</v>
      </c>
      <c r="E658" t="s">
        <v>25</v>
      </c>
      <c r="F658" t="s">
        <v>26</v>
      </c>
      <c r="G658">
        <v>2</v>
      </c>
      <c r="H658" s="1" t="str">
        <f>IF(Table1[[#This Row],[anxiety_score]]&lt;=10, "Normal", IF(Table1[[#This Row],[anxiety_score]]&lt;=20, "Moderate", IF(Table1[[#This Row],[anxiety_score]]&lt;=30, "Severe", "Extremely Severe")))</f>
        <v>Normal</v>
      </c>
      <c r="I658">
        <v>-0.81237789999999999</v>
      </c>
      <c r="J658">
        <v>2</v>
      </c>
      <c r="K658" s="1" t="str">
        <f>IF(Table1[[#This Row],[stress_score]]&lt;=10, "Normal", IF(Table1[[#This Row],[stress_score]]&lt;=20, "Moderate", IF(Table1[[#This Row],[stress_score]]&lt;=30, "Severe", "Extremely Severe")))</f>
        <v>Normal</v>
      </c>
      <c r="L658">
        <v>-0.9678099</v>
      </c>
      <c r="M658">
        <v>2</v>
      </c>
      <c r="N658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658">
        <v>-0.91619854999999994</v>
      </c>
      <c r="P658">
        <v>2</v>
      </c>
      <c r="Q658">
        <f>ROUND(Table1[[#This Row],[dass21_raw_score]],0)</f>
        <v>2</v>
      </c>
      <c r="R658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658">
        <v>-0.89879549999999997</v>
      </c>
      <c r="T658">
        <v>0.19611442000000001</v>
      </c>
      <c r="U658">
        <v>8000</v>
      </c>
      <c r="V658" s="1">
        <f>ROUND(Table1[[#This Row],[fmpce]],0)</f>
        <v>8000</v>
      </c>
      <c r="W658">
        <v>108.83732000000001</v>
      </c>
      <c r="X658" s="4">
        <f>Table1[[#This Row],[mpce]]*89</f>
        <v>9686.5214800000012</v>
      </c>
      <c r="Y658" s="2" t="s">
        <v>35</v>
      </c>
      <c r="Z658" s="3">
        <f>VLOOKUP(Y658, rmpce_reference!$B$1:$D$7,3,FALSE) * 89</f>
        <v>9790</v>
      </c>
      <c r="AA658" s="1" t="str">
        <f>IF(Table1[rmpce_inr]&lt;=rmpce_reference!$F$2, "Low Income", IF(Table1[rmpce_inr]&lt;=rmpce_reference!$F$3, "Middle Income", "High Income"))</f>
        <v>High Income</v>
      </c>
    </row>
    <row r="659" spans="1:27" x14ac:dyDescent="0.25">
      <c r="A659">
        <v>3202</v>
      </c>
      <c r="B659" t="s">
        <v>40</v>
      </c>
      <c r="C659" t="s">
        <v>21</v>
      </c>
      <c r="D659">
        <v>42</v>
      </c>
      <c r="E659" t="s">
        <v>25</v>
      </c>
      <c r="F659" t="s">
        <v>26</v>
      </c>
      <c r="G659">
        <v>4</v>
      </c>
      <c r="H659" s="1" t="str">
        <f>IF(Table1[[#This Row],[anxiety_score]]&lt;=10, "Normal", IF(Table1[[#This Row],[anxiety_score]]&lt;=20, "Moderate", IF(Table1[[#This Row],[anxiety_score]]&lt;=30, "Severe", "Extremely Severe")))</f>
        <v>Normal</v>
      </c>
      <c r="I659">
        <v>-0.61133329999999997</v>
      </c>
      <c r="J659">
        <v>4</v>
      </c>
      <c r="K659" s="1" t="str">
        <f>IF(Table1[[#This Row],[stress_score]]&lt;=10, "Normal", IF(Table1[[#This Row],[stress_score]]&lt;=20, "Moderate", IF(Table1[[#This Row],[stress_score]]&lt;=30, "Severe", "Extremely Severe")))</f>
        <v>Normal</v>
      </c>
      <c r="L659">
        <v>-0.77314866000000004</v>
      </c>
      <c r="M659">
        <v>4</v>
      </c>
      <c r="N659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659">
        <v>-0.72356116999999998</v>
      </c>
      <c r="P659">
        <v>4</v>
      </c>
      <c r="Q659">
        <f>ROUND(Table1[[#This Row],[dass21_raw_score]],0)</f>
        <v>4</v>
      </c>
      <c r="R659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659">
        <v>-0.70268105999999997</v>
      </c>
      <c r="T659">
        <v>0.39222884000000002</v>
      </c>
      <c r="U659">
        <v>7500</v>
      </c>
      <c r="V659" s="1">
        <f>ROUND(Table1[[#This Row],[fmpce]],0)</f>
        <v>7500</v>
      </c>
      <c r="W659">
        <v>102.03498999999999</v>
      </c>
      <c r="X659" s="4">
        <f>Table1[[#This Row],[mpce]]*89</f>
        <v>9081.1141099999986</v>
      </c>
      <c r="Y659" s="2" t="s">
        <v>35</v>
      </c>
      <c r="Z659" s="3">
        <f>VLOOKUP(Y659, rmpce_reference!$B$1:$D$7,3,FALSE) * 89</f>
        <v>9790</v>
      </c>
      <c r="AA659" s="1" t="str">
        <f>IF(Table1[rmpce_inr]&lt;=rmpce_reference!$F$2, "Low Income", IF(Table1[rmpce_inr]&lt;=rmpce_reference!$F$3, "Middle Income", "High Income"))</f>
        <v>High Income</v>
      </c>
    </row>
    <row r="660" spans="1:27" x14ac:dyDescent="0.25">
      <c r="A660">
        <v>3203</v>
      </c>
      <c r="B660" t="s">
        <v>40</v>
      </c>
      <c r="C660" t="s">
        <v>33</v>
      </c>
      <c r="D660">
        <v>30</v>
      </c>
      <c r="E660" t="s">
        <v>25</v>
      </c>
      <c r="F660" t="s">
        <v>30</v>
      </c>
      <c r="G660">
        <v>0</v>
      </c>
      <c r="H660" s="1" t="str">
        <f>IF(Table1[[#This Row],[anxiety_score]]&lt;=10, "Normal", IF(Table1[[#This Row],[anxiety_score]]&lt;=20, "Moderate", IF(Table1[[#This Row],[anxiety_score]]&lt;=30, "Severe", "Extremely Severe")))</f>
        <v>Normal</v>
      </c>
      <c r="I660">
        <v>-1.0134224999999999</v>
      </c>
      <c r="J660">
        <v>2</v>
      </c>
      <c r="K660" s="1" t="str">
        <f>IF(Table1[[#This Row],[stress_score]]&lt;=10, "Normal", IF(Table1[[#This Row],[stress_score]]&lt;=20, "Moderate", IF(Table1[[#This Row],[stress_score]]&lt;=30, "Severe", "Extremely Severe")))</f>
        <v>Normal</v>
      </c>
      <c r="L660">
        <v>-0.9678099</v>
      </c>
      <c r="M660">
        <v>2</v>
      </c>
      <c r="N660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660">
        <v>-0.91619854999999994</v>
      </c>
      <c r="P660">
        <v>1.3333333999999999</v>
      </c>
      <c r="Q660">
        <f>ROUND(Table1[[#This Row],[dass21_raw_score]],0)</f>
        <v>1</v>
      </c>
      <c r="R660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660">
        <v>-0.96581030000000001</v>
      </c>
      <c r="T660">
        <v>0.12909961</v>
      </c>
      <c r="U660">
        <v>7500</v>
      </c>
      <c r="V660" s="1">
        <f>ROUND(Table1[[#This Row],[fmpce]],0)</f>
        <v>7500</v>
      </c>
      <c r="W660">
        <v>102.03498999999999</v>
      </c>
      <c r="X660" s="4">
        <f>Table1[[#This Row],[mpce]]*89</f>
        <v>9081.1141099999986</v>
      </c>
      <c r="Y660" s="2" t="s">
        <v>35</v>
      </c>
      <c r="Z660" s="3">
        <f>VLOOKUP(Y660, rmpce_reference!$B$1:$D$7,3,FALSE) * 89</f>
        <v>9790</v>
      </c>
      <c r="AA660" s="1" t="str">
        <f>IF(Table1[rmpce_inr]&lt;=rmpce_reference!$F$2, "Low Income", IF(Table1[rmpce_inr]&lt;=rmpce_reference!$F$3, "Middle Income", "High Income"))</f>
        <v>High Income</v>
      </c>
    </row>
    <row r="661" spans="1:27" x14ac:dyDescent="0.25">
      <c r="A661">
        <v>3204</v>
      </c>
      <c r="B661" t="s">
        <v>40</v>
      </c>
      <c r="C661" t="s">
        <v>29</v>
      </c>
      <c r="D661">
        <v>38</v>
      </c>
      <c r="E661" t="s">
        <v>25</v>
      </c>
      <c r="F661" t="s">
        <v>26</v>
      </c>
      <c r="G661">
        <v>0</v>
      </c>
      <c r="H661" s="1" t="str">
        <f>IF(Table1[[#This Row],[anxiety_score]]&lt;=10, "Normal", IF(Table1[[#This Row],[anxiety_score]]&lt;=20, "Moderate", IF(Table1[[#This Row],[anxiety_score]]&lt;=30, "Severe", "Extremely Severe")))</f>
        <v>Normal</v>
      </c>
      <c r="I661">
        <v>-1.0134224999999999</v>
      </c>
      <c r="J661">
        <v>0</v>
      </c>
      <c r="K661" s="1" t="str">
        <f>IF(Table1[[#This Row],[stress_score]]&lt;=10, "Normal", IF(Table1[[#This Row],[stress_score]]&lt;=20, "Moderate", IF(Table1[[#This Row],[stress_score]]&lt;=30, "Severe", "Extremely Severe")))</f>
        <v>Normal</v>
      </c>
      <c r="L661">
        <v>-1.1624711999999999</v>
      </c>
      <c r="M661">
        <v>4</v>
      </c>
      <c r="N661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661">
        <v>-0.72356116999999998</v>
      </c>
      <c r="P661">
        <v>1.3333333999999999</v>
      </c>
      <c r="Q661">
        <f>ROUND(Table1[[#This Row],[dass21_raw_score]],0)</f>
        <v>1</v>
      </c>
      <c r="R661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661">
        <v>-0.96648495999999995</v>
      </c>
      <c r="T661">
        <v>0.12842493999999999</v>
      </c>
      <c r="U661">
        <v>10000</v>
      </c>
      <c r="V661" s="1">
        <f>ROUND(Table1[[#This Row],[fmpce]],0)</f>
        <v>10000</v>
      </c>
      <c r="W661">
        <v>136.04665</v>
      </c>
      <c r="X661" s="4">
        <f>Table1[[#This Row],[mpce]]*89</f>
        <v>12108.15185</v>
      </c>
      <c r="Y661" s="2" t="s">
        <v>35</v>
      </c>
      <c r="Z661" s="3">
        <f>VLOOKUP(Y661, rmpce_reference!$B$1:$D$7,3,FALSE) * 89</f>
        <v>9790</v>
      </c>
      <c r="AA661" s="1" t="str">
        <f>IF(Table1[rmpce_inr]&lt;=rmpce_reference!$F$2, "Low Income", IF(Table1[rmpce_inr]&lt;=rmpce_reference!$F$3, "Middle Income", "High Income"))</f>
        <v>High Income</v>
      </c>
    </row>
    <row r="662" spans="1:27" x14ac:dyDescent="0.25">
      <c r="A662">
        <v>3205</v>
      </c>
      <c r="B662" t="s">
        <v>40</v>
      </c>
      <c r="C662" t="s">
        <v>29</v>
      </c>
      <c r="D662">
        <v>40</v>
      </c>
      <c r="E662" t="s">
        <v>22</v>
      </c>
      <c r="F662" t="s">
        <v>30</v>
      </c>
      <c r="G662">
        <v>0</v>
      </c>
      <c r="H662" s="1" t="str">
        <f>IF(Table1[[#This Row],[anxiety_score]]&lt;=10, "Normal", IF(Table1[[#This Row],[anxiety_score]]&lt;=20, "Moderate", IF(Table1[[#This Row],[anxiety_score]]&lt;=30, "Severe", "Extremely Severe")))</f>
        <v>Normal</v>
      </c>
      <c r="I662">
        <v>-1.0134224999999999</v>
      </c>
      <c r="J662">
        <v>0</v>
      </c>
      <c r="K662" s="1" t="str">
        <f>IF(Table1[[#This Row],[stress_score]]&lt;=10, "Normal", IF(Table1[[#This Row],[stress_score]]&lt;=20, "Moderate", IF(Table1[[#This Row],[stress_score]]&lt;=30, "Severe", "Extremely Severe")))</f>
        <v>Normal</v>
      </c>
      <c r="L662">
        <v>-1.1624711999999999</v>
      </c>
      <c r="M662">
        <v>12</v>
      </c>
      <c r="N662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662">
        <v>4.6988415999999998E-2</v>
      </c>
      <c r="P662">
        <v>4</v>
      </c>
      <c r="Q662">
        <f>ROUND(Table1[[#This Row],[dass21_raw_score]],0)</f>
        <v>4</v>
      </c>
      <c r="R662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662">
        <v>-0.70963509999999996</v>
      </c>
      <c r="T662">
        <v>0.38527483000000001</v>
      </c>
      <c r="U662">
        <v>5000</v>
      </c>
      <c r="V662" s="1">
        <f>ROUND(Table1[[#This Row],[fmpce]],0)</f>
        <v>5000</v>
      </c>
      <c r="W662">
        <v>68.023319999999998</v>
      </c>
      <c r="X662" s="4">
        <f>Table1[[#This Row],[mpce]]*89</f>
        <v>6054.0754799999995</v>
      </c>
      <c r="Y662" s="2" t="s">
        <v>28</v>
      </c>
      <c r="Z662" s="3">
        <f>VLOOKUP(Y662, rmpce_reference!$B$1:$D$7,3,FALSE) * 89</f>
        <v>6230</v>
      </c>
      <c r="AA662" s="1" t="str">
        <f>IF(Table1[rmpce_inr]&lt;=rmpce_reference!$F$2, "Low Income", IF(Table1[rmpce_inr]&lt;=rmpce_reference!$F$3, "Middle Income", "High Income"))</f>
        <v>Middle Income</v>
      </c>
    </row>
    <row r="663" spans="1:27" x14ac:dyDescent="0.25">
      <c r="A663">
        <v>4001</v>
      </c>
      <c r="B663" t="s">
        <v>42</v>
      </c>
      <c r="C663" t="s">
        <v>21</v>
      </c>
      <c r="D663">
        <v>41</v>
      </c>
      <c r="E663" t="s">
        <v>25</v>
      </c>
      <c r="F663" t="s">
        <v>26</v>
      </c>
      <c r="G663">
        <v>28</v>
      </c>
      <c r="H663" s="1" t="str">
        <f>IF(Table1[[#This Row],[anxiety_score]]&lt;=10, "Normal", IF(Table1[[#This Row],[anxiety_score]]&lt;=20, "Moderate", IF(Table1[[#This Row],[anxiety_score]]&lt;=30, "Severe", "Extremely Severe")))</f>
        <v>Severe</v>
      </c>
      <c r="I663">
        <v>1.801202</v>
      </c>
      <c r="J663">
        <v>30</v>
      </c>
      <c r="K663" s="1" t="str">
        <f>IF(Table1[[#This Row],[stress_score]]&lt;=10, "Normal", IF(Table1[[#This Row],[stress_score]]&lt;=20, "Moderate", IF(Table1[[#This Row],[stress_score]]&lt;=30, "Severe", "Extremely Severe")))</f>
        <v>Severe</v>
      </c>
      <c r="L663">
        <v>1.7574476000000001</v>
      </c>
      <c r="M663">
        <v>18</v>
      </c>
      <c r="N663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663">
        <v>0.62490060000000003</v>
      </c>
      <c r="P663">
        <v>25.333334000000001</v>
      </c>
      <c r="Q663">
        <f>ROUND(Table1[[#This Row],[dass21_raw_score]],0)</f>
        <v>25</v>
      </c>
      <c r="R663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663">
        <v>1.3945167000000001</v>
      </c>
      <c r="T663">
        <v>2.4894265999999998</v>
      </c>
      <c r="U663">
        <v>3000</v>
      </c>
      <c r="V663" s="1">
        <f>ROUND(Table1[[#This Row],[fmpce]],0)</f>
        <v>3000</v>
      </c>
      <c r="W663">
        <v>40.813994999999998</v>
      </c>
      <c r="X663" s="4">
        <f>Table1[[#This Row],[mpce]]*89</f>
        <v>3632.4455549999998</v>
      </c>
      <c r="Y663" s="2" t="s">
        <v>32</v>
      </c>
      <c r="Z663" s="3">
        <f>VLOOKUP(Y663, rmpce_reference!$B$1:$D$7,3,FALSE) * 89</f>
        <v>4450</v>
      </c>
      <c r="AA663" s="1" t="str">
        <f>IF(Table1[rmpce_inr]&lt;=rmpce_reference!$F$2, "Low Income", IF(Table1[rmpce_inr]&lt;=rmpce_reference!$F$3, "Middle Income", "High Income"))</f>
        <v>Low Income</v>
      </c>
    </row>
    <row r="664" spans="1:27" x14ac:dyDescent="0.25">
      <c r="A664">
        <v>4002</v>
      </c>
      <c r="B664" t="s">
        <v>42</v>
      </c>
      <c r="C664" t="s">
        <v>29</v>
      </c>
      <c r="D664">
        <v>35</v>
      </c>
      <c r="E664" t="s">
        <v>22</v>
      </c>
      <c r="F664" t="s">
        <v>30</v>
      </c>
      <c r="G664">
        <v>28</v>
      </c>
      <c r="H664" s="1" t="str">
        <f>IF(Table1[[#This Row],[anxiety_score]]&lt;=10, "Normal", IF(Table1[[#This Row],[anxiety_score]]&lt;=20, "Moderate", IF(Table1[[#This Row],[anxiety_score]]&lt;=30, "Severe", "Extremely Severe")))</f>
        <v>Severe</v>
      </c>
      <c r="I664">
        <v>1.801202</v>
      </c>
      <c r="J664">
        <v>38</v>
      </c>
      <c r="K664" s="1" t="str">
        <f>IF(Table1[[#This Row],[stress_score]]&lt;=10, "Normal", IF(Table1[[#This Row],[stress_score]]&lt;=20, "Moderate", IF(Table1[[#This Row],[stress_score]]&lt;=30, "Severe", "Extremely Severe")))</f>
        <v>Extremely Severe</v>
      </c>
      <c r="L664">
        <v>2.5360925000000001</v>
      </c>
      <c r="M664">
        <v>22</v>
      </c>
      <c r="N664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664">
        <v>1.0101753</v>
      </c>
      <c r="P664">
        <v>29.333334000000001</v>
      </c>
      <c r="Q664">
        <f>ROUND(Table1[[#This Row],[dass21_raw_score]],0)</f>
        <v>29</v>
      </c>
      <c r="R664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664">
        <v>1.7824899999999999</v>
      </c>
      <c r="T664">
        <v>2.8774000000000002</v>
      </c>
      <c r="U664">
        <v>1428.5714</v>
      </c>
      <c r="V664" s="1">
        <f>ROUND(Table1[[#This Row],[fmpce]],0)</f>
        <v>1429</v>
      </c>
      <c r="W664">
        <v>19.435236</v>
      </c>
      <c r="X664" s="4">
        <f>Table1[[#This Row],[mpce]]*89</f>
        <v>1729.7360039999999</v>
      </c>
      <c r="Y664" s="2" t="s">
        <v>24</v>
      </c>
      <c r="Z664" s="3">
        <f>VLOOKUP(Y664, rmpce_reference!$B$1:$D$7,3,FALSE) * 89</f>
        <v>2225</v>
      </c>
      <c r="AA664" s="1" t="str">
        <f>IF(Table1[rmpce_inr]&lt;=rmpce_reference!$F$2, "Low Income", IF(Table1[rmpce_inr]&lt;=rmpce_reference!$F$3, "Middle Income", "High Income"))</f>
        <v>Low Income</v>
      </c>
    </row>
    <row r="665" spans="1:27" x14ac:dyDescent="0.25">
      <c r="A665">
        <v>4003</v>
      </c>
      <c r="B665" t="s">
        <v>42</v>
      </c>
      <c r="C665" t="s">
        <v>36</v>
      </c>
      <c r="D665">
        <v>59</v>
      </c>
      <c r="E665" t="s">
        <v>22</v>
      </c>
      <c r="F665" t="s">
        <v>41</v>
      </c>
      <c r="G665">
        <v>10</v>
      </c>
      <c r="H665" s="1" t="str">
        <f>IF(Table1[[#This Row],[anxiety_score]]&lt;=10, "Normal", IF(Table1[[#This Row],[anxiety_score]]&lt;=20, "Moderate", IF(Table1[[#This Row],[anxiety_score]]&lt;=30, "Severe", "Extremely Severe")))</f>
        <v>Normal</v>
      </c>
      <c r="I665">
        <v>-8.1994660000000007E-3</v>
      </c>
      <c r="J665">
        <v>16</v>
      </c>
      <c r="K665" s="1" t="str">
        <f>IF(Table1[[#This Row],[stress_score]]&lt;=10, "Normal", IF(Table1[[#This Row],[stress_score]]&lt;=20, "Moderate", IF(Table1[[#This Row],[stress_score]]&lt;=30, "Severe", "Extremely Severe")))</f>
        <v>Moderate</v>
      </c>
      <c r="L665">
        <v>0.39481880000000003</v>
      </c>
      <c r="M665">
        <v>8</v>
      </c>
      <c r="N665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665">
        <v>-0.33828637</v>
      </c>
      <c r="P665">
        <v>11.333333</v>
      </c>
      <c r="Q665">
        <f>ROUND(Table1[[#This Row],[dass21_raw_score]],0)</f>
        <v>11</v>
      </c>
      <c r="R665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665">
        <v>1.6110992000000001E-2</v>
      </c>
      <c r="T665">
        <v>1.1110209</v>
      </c>
      <c r="U665">
        <v>10000</v>
      </c>
      <c r="V665" s="1">
        <f>ROUND(Table1[[#This Row],[fmpce]],0)</f>
        <v>10000</v>
      </c>
      <c r="W665">
        <v>136.04665</v>
      </c>
      <c r="X665" s="4">
        <f>Table1[[#This Row],[mpce]]*89</f>
        <v>12108.15185</v>
      </c>
      <c r="Y665" s="2" t="s">
        <v>35</v>
      </c>
      <c r="Z665" s="3">
        <f>VLOOKUP(Y665, rmpce_reference!$B$1:$D$7,3,FALSE) * 89</f>
        <v>9790</v>
      </c>
      <c r="AA665" s="1" t="str">
        <f>IF(Table1[rmpce_inr]&lt;=rmpce_reference!$F$2, "Low Income", IF(Table1[rmpce_inr]&lt;=rmpce_reference!$F$3, "Middle Income", "High Income"))</f>
        <v>High Income</v>
      </c>
    </row>
    <row r="666" spans="1:27" x14ac:dyDescent="0.25">
      <c r="A666">
        <v>4004</v>
      </c>
      <c r="B666" t="s">
        <v>42</v>
      </c>
      <c r="C666" t="s">
        <v>29</v>
      </c>
      <c r="D666">
        <v>32</v>
      </c>
      <c r="E666" t="s">
        <v>22</v>
      </c>
      <c r="F666" t="s">
        <v>30</v>
      </c>
      <c r="G666">
        <v>4</v>
      </c>
      <c r="H666" s="1" t="str">
        <f>IF(Table1[[#This Row],[anxiety_score]]&lt;=10, "Normal", IF(Table1[[#This Row],[anxiety_score]]&lt;=20, "Moderate", IF(Table1[[#This Row],[anxiety_score]]&lt;=30, "Severe", "Extremely Severe")))</f>
        <v>Normal</v>
      </c>
      <c r="I666">
        <v>-0.61133329999999997</v>
      </c>
      <c r="J666">
        <v>6</v>
      </c>
      <c r="K666" s="1" t="str">
        <f>IF(Table1[[#This Row],[stress_score]]&lt;=10, "Normal", IF(Table1[[#This Row],[stress_score]]&lt;=20, "Moderate", IF(Table1[[#This Row],[stress_score]]&lt;=30, "Severe", "Extremely Severe")))</f>
        <v>Normal</v>
      </c>
      <c r="L666">
        <v>-0.57848745999999995</v>
      </c>
      <c r="M666">
        <v>0</v>
      </c>
      <c r="N666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666">
        <v>-1.1088359000000001</v>
      </c>
      <c r="P666">
        <v>3.3333333000000001</v>
      </c>
      <c r="Q666">
        <f>ROUND(Table1[[#This Row],[dass21_raw_score]],0)</f>
        <v>3</v>
      </c>
      <c r="R666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666">
        <v>-0.76621890000000004</v>
      </c>
      <c r="T666">
        <v>0.32869100000000001</v>
      </c>
      <c r="U666">
        <v>5000</v>
      </c>
      <c r="V666" s="1">
        <f>ROUND(Table1[[#This Row],[fmpce]],0)</f>
        <v>5000</v>
      </c>
      <c r="W666">
        <v>68.023319999999998</v>
      </c>
      <c r="X666" s="4">
        <f>Table1[[#This Row],[mpce]]*89</f>
        <v>6054.0754799999995</v>
      </c>
      <c r="Y666" s="2" t="s">
        <v>28</v>
      </c>
      <c r="Z666" s="3">
        <f>VLOOKUP(Y666, rmpce_reference!$B$1:$D$7,3,FALSE) * 89</f>
        <v>6230</v>
      </c>
      <c r="AA666" s="1" t="str">
        <f>IF(Table1[rmpce_inr]&lt;=rmpce_reference!$F$2, "Low Income", IF(Table1[rmpce_inr]&lt;=rmpce_reference!$F$3, "Middle Income", "High Income"))</f>
        <v>Middle Income</v>
      </c>
    </row>
    <row r="667" spans="1:27" x14ac:dyDescent="0.25">
      <c r="A667">
        <v>4005</v>
      </c>
      <c r="B667" t="s">
        <v>42</v>
      </c>
      <c r="C667" t="s">
        <v>21</v>
      </c>
      <c r="D667">
        <v>45</v>
      </c>
      <c r="E667" t="s">
        <v>25</v>
      </c>
      <c r="F667" t="s">
        <v>26</v>
      </c>
      <c r="G667">
        <v>30</v>
      </c>
      <c r="H667" s="1" t="str">
        <f>IF(Table1[[#This Row],[anxiety_score]]&lt;=10, "Normal", IF(Table1[[#This Row],[anxiety_score]]&lt;=20, "Moderate", IF(Table1[[#This Row],[anxiety_score]]&lt;=30, "Severe", "Extremely Severe")))</f>
        <v>Severe</v>
      </c>
      <c r="I667">
        <v>2.0022465999999999</v>
      </c>
      <c r="J667">
        <v>30</v>
      </c>
      <c r="K667" s="1" t="str">
        <f>IF(Table1[[#This Row],[stress_score]]&lt;=10, "Normal", IF(Table1[[#This Row],[stress_score]]&lt;=20, "Moderate", IF(Table1[[#This Row],[stress_score]]&lt;=30, "Severe", "Extremely Severe")))</f>
        <v>Severe</v>
      </c>
      <c r="L667">
        <v>1.7574476000000001</v>
      </c>
      <c r="M667">
        <v>22</v>
      </c>
      <c r="N667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667">
        <v>1.0101753</v>
      </c>
      <c r="P667">
        <v>27.333334000000001</v>
      </c>
      <c r="Q667">
        <f>ROUND(Table1[[#This Row],[dass21_raw_score]],0)</f>
        <v>27</v>
      </c>
      <c r="R667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667">
        <v>1.5899565</v>
      </c>
      <c r="T667">
        <v>2.6848664000000002</v>
      </c>
      <c r="U667">
        <v>2000</v>
      </c>
      <c r="V667" s="1">
        <f>ROUND(Table1[[#This Row],[fmpce]],0)</f>
        <v>2000</v>
      </c>
      <c r="W667">
        <v>27.209330000000001</v>
      </c>
      <c r="X667" s="4">
        <f>Table1[[#This Row],[mpce]]*89</f>
        <v>2421.6303700000003</v>
      </c>
      <c r="Y667" s="2" t="s">
        <v>34</v>
      </c>
      <c r="Z667" s="3">
        <f>VLOOKUP(Y667, rmpce_reference!$B$1:$D$7,3,FALSE) * 89</f>
        <v>2848</v>
      </c>
      <c r="AA667" s="1" t="str">
        <f>IF(Table1[rmpce_inr]&lt;=rmpce_reference!$F$2, "Low Income", IF(Table1[rmpce_inr]&lt;=rmpce_reference!$F$3, "Middle Income", "High Income"))</f>
        <v>Low Income</v>
      </c>
    </row>
    <row r="668" spans="1:27" x14ac:dyDescent="0.25">
      <c r="A668">
        <v>4006</v>
      </c>
      <c r="B668" t="s">
        <v>42</v>
      </c>
      <c r="C668" t="s">
        <v>21</v>
      </c>
      <c r="D668">
        <v>42</v>
      </c>
      <c r="E668" t="s">
        <v>22</v>
      </c>
      <c r="F668" t="s">
        <v>30</v>
      </c>
      <c r="G668">
        <v>18</v>
      </c>
      <c r="H668" s="1" t="str">
        <f>IF(Table1[[#This Row],[anxiety_score]]&lt;=10, "Normal", IF(Table1[[#This Row],[anxiety_score]]&lt;=20, "Moderate", IF(Table1[[#This Row],[anxiety_score]]&lt;=30, "Severe", "Extremely Severe")))</f>
        <v>Moderate</v>
      </c>
      <c r="I668">
        <v>0.79597896000000001</v>
      </c>
      <c r="J668">
        <v>14</v>
      </c>
      <c r="K668" s="1" t="str">
        <f>IF(Table1[[#This Row],[stress_score]]&lt;=10, "Normal", IF(Table1[[#This Row],[stress_score]]&lt;=20, "Moderate", IF(Table1[[#This Row],[stress_score]]&lt;=30, "Severe", "Extremely Severe")))</f>
        <v>Moderate</v>
      </c>
      <c r="L668">
        <v>0.20015757000000001</v>
      </c>
      <c r="M668">
        <v>16</v>
      </c>
      <c r="N668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668">
        <v>0.43226320000000001</v>
      </c>
      <c r="P668">
        <v>16</v>
      </c>
      <c r="Q668">
        <f>ROUND(Table1[[#This Row],[dass21_raw_score]],0)</f>
        <v>16</v>
      </c>
      <c r="R668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668">
        <v>0.47613323000000002</v>
      </c>
      <c r="T668">
        <v>1.5710431</v>
      </c>
      <c r="U668">
        <v>3750</v>
      </c>
      <c r="V668" s="1">
        <f>ROUND(Table1[[#This Row],[fmpce]],0)</f>
        <v>3750</v>
      </c>
      <c r="W668">
        <v>51.017493999999999</v>
      </c>
      <c r="X668" s="4">
        <f>Table1[[#This Row],[mpce]]*89</f>
        <v>4540.5569660000001</v>
      </c>
      <c r="Y668" s="2" t="s">
        <v>32</v>
      </c>
      <c r="Z668" s="3">
        <f>VLOOKUP(Y668, rmpce_reference!$B$1:$D$7,3,FALSE) * 89</f>
        <v>4450</v>
      </c>
      <c r="AA668" s="1" t="str">
        <f>IF(Table1[rmpce_inr]&lt;=rmpce_reference!$F$2, "Low Income", IF(Table1[rmpce_inr]&lt;=rmpce_reference!$F$3, "Middle Income", "High Income"))</f>
        <v>Low Income</v>
      </c>
    </row>
    <row r="669" spans="1:27" x14ac:dyDescent="0.25">
      <c r="A669">
        <v>4007</v>
      </c>
      <c r="B669" t="s">
        <v>42</v>
      </c>
      <c r="C669" t="s">
        <v>29</v>
      </c>
      <c r="D669">
        <v>35</v>
      </c>
      <c r="E669" t="s">
        <v>22</v>
      </c>
      <c r="F669" t="s">
        <v>23</v>
      </c>
      <c r="G669">
        <v>6</v>
      </c>
      <c r="H669" s="1" t="str">
        <f>IF(Table1[[#This Row],[anxiety_score]]&lt;=10, "Normal", IF(Table1[[#This Row],[anxiety_score]]&lt;=20, "Moderate", IF(Table1[[#This Row],[anxiety_score]]&lt;=30, "Severe", "Extremely Severe")))</f>
        <v>Normal</v>
      </c>
      <c r="I669">
        <v>-0.41028870000000001</v>
      </c>
      <c r="J669">
        <v>8</v>
      </c>
      <c r="K669" s="1" t="str">
        <f>IF(Table1[[#This Row],[stress_score]]&lt;=10, "Normal", IF(Table1[[#This Row],[stress_score]]&lt;=20, "Moderate", IF(Table1[[#This Row],[stress_score]]&lt;=30, "Severe", "Extremely Severe")))</f>
        <v>Normal</v>
      </c>
      <c r="L669">
        <v>-0.38382620000000001</v>
      </c>
      <c r="M669">
        <v>4</v>
      </c>
      <c r="N669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669">
        <v>-0.72356116999999998</v>
      </c>
      <c r="P669">
        <v>6</v>
      </c>
      <c r="Q669">
        <f>ROUND(Table1[[#This Row],[dass21_raw_score]],0)</f>
        <v>6</v>
      </c>
      <c r="R669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669">
        <v>-0.50589203999999999</v>
      </c>
      <c r="T669">
        <v>0.58901787000000005</v>
      </c>
      <c r="U669">
        <v>3333.3332999999998</v>
      </c>
      <c r="V669" s="1">
        <f>ROUND(Table1[[#This Row],[fmpce]],0)</f>
        <v>3333</v>
      </c>
      <c r="W669">
        <v>45.348880000000001</v>
      </c>
      <c r="X669" s="4">
        <f>Table1[[#This Row],[mpce]]*89</f>
        <v>4036.0503200000003</v>
      </c>
      <c r="Y669" s="2" t="s">
        <v>32</v>
      </c>
      <c r="Z669" s="3">
        <f>VLOOKUP(Y669, rmpce_reference!$B$1:$D$7,3,FALSE) * 89</f>
        <v>4450</v>
      </c>
      <c r="AA669" s="1" t="str">
        <f>IF(Table1[rmpce_inr]&lt;=rmpce_reference!$F$2, "Low Income", IF(Table1[rmpce_inr]&lt;=rmpce_reference!$F$3, "Middle Income", "High Income"))</f>
        <v>Low Income</v>
      </c>
    </row>
    <row r="670" spans="1:27" x14ac:dyDescent="0.25">
      <c r="A670">
        <v>4008</v>
      </c>
      <c r="B670" t="s">
        <v>42</v>
      </c>
      <c r="C670" t="s">
        <v>29</v>
      </c>
      <c r="D670">
        <v>39</v>
      </c>
      <c r="E670" t="s">
        <v>22</v>
      </c>
      <c r="F670" t="s">
        <v>30</v>
      </c>
      <c r="G670">
        <v>0</v>
      </c>
      <c r="H670" s="1" t="str">
        <f>IF(Table1[[#This Row],[anxiety_score]]&lt;=10, "Normal", IF(Table1[[#This Row],[anxiety_score]]&lt;=20, "Moderate", IF(Table1[[#This Row],[anxiety_score]]&lt;=30, "Severe", "Extremely Severe")))</f>
        <v>Normal</v>
      </c>
      <c r="I670">
        <v>-1.0134224999999999</v>
      </c>
      <c r="J670">
        <v>0</v>
      </c>
      <c r="K670" s="1" t="str">
        <f>IF(Table1[[#This Row],[stress_score]]&lt;=10, "Normal", IF(Table1[[#This Row],[stress_score]]&lt;=20, "Moderate", IF(Table1[[#This Row],[stress_score]]&lt;=30, "Severe", "Extremely Severe")))</f>
        <v>Normal</v>
      </c>
      <c r="L670">
        <v>-1.1624711999999999</v>
      </c>
      <c r="M670">
        <v>0</v>
      </c>
      <c r="N670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670">
        <v>-1.1088359000000001</v>
      </c>
      <c r="P670">
        <v>0</v>
      </c>
      <c r="Q670">
        <f>ROUND(Table1[[#This Row],[dass21_raw_score]],0)</f>
        <v>0</v>
      </c>
      <c r="R670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670">
        <v>-1.0949099</v>
      </c>
      <c r="T670">
        <v>0</v>
      </c>
      <c r="U670">
        <v>3333.3332999999998</v>
      </c>
      <c r="V670" s="1">
        <f>ROUND(Table1[[#This Row],[fmpce]],0)</f>
        <v>3333</v>
      </c>
      <c r="W670">
        <v>45.348880000000001</v>
      </c>
      <c r="X670" s="4">
        <f>Table1[[#This Row],[mpce]]*89</f>
        <v>4036.0503200000003</v>
      </c>
      <c r="Y670" s="2" t="s">
        <v>32</v>
      </c>
      <c r="Z670" s="3">
        <f>VLOOKUP(Y670, rmpce_reference!$B$1:$D$7,3,FALSE) * 89</f>
        <v>4450</v>
      </c>
      <c r="AA670" s="1" t="str">
        <f>IF(Table1[rmpce_inr]&lt;=rmpce_reference!$F$2, "Low Income", IF(Table1[rmpce_inr]&lt;=rmpce_reference!$F$3, "Middle Income", "High Income"))</f>
        <v>Low Income</v>
      </c>
    </row>
    <row r="671" spans="1:27" x14ac:dyDescent="0.25">
      <c r="A671">
        <v>4009</v>
      </c>
      <c r="B671" t="s">
        <v>42</v>
      </c>
      <c r="C671" t="s">
        <v>29</v>
      </c>
      <c r="D671">
        <v>38</v>
      </c>
      <c r="E671" t="s">
        <v>22</v>
      </c>
      <c r="F671" t="s">
        <v>30</v>
      </c>
      <c r="G671">
        <v>0</v>
      </c>
      <c r="H671" s="1" t="str">
        <f>IF(Table1[[#This Row],[anxiety_score]]&lt;=10, "Normal", IF(Table1[[#This Row],[anxiety_score]]&lt;=20, "Moderate", IF(Table1[[#This Row],[anxiety_score]]&lt;=30, "Severe", "Extremely Severe")))</f>
        <v>Normal</v>
      </c>
      <c r="I671">
        <v>-1.0134224999999999</v>
      </c>
      <c r="J671">
        <v>0</v>
      </c>
      <c r="K671" s="1" t="str">
        <f>IF(Table1[[#This Row],[stress_score]]&lt;=10, "Normal", IF(Table1[[#This Row],[stress_score]]&lt;=20, "Moderate", IF(Table1[[#This Row],[stress_score]]&lt;=30, "Severe", "Extremely Severe")))</f>
        <v>Normal</v>
      </c>
      <c r="L671">
        <v>-1.1624711999999999</v>
      </c>
      <c r="M671">
        <v>0</v>
      </c>
      <c r="N671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671">
        <v>-1.1088359000000001</v>
      </c>
      <c r="P671">
        <v>0</v>
      </c>
      <c r="Q671">
        <f>ROUND(Table1[[#This Row],[dass21_raw_score]],0)</f>
        <v>0</v>
      </c>
      <c r="R671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671">
        <v>-1.0949099</v>
      </c>
      <c r="T671">
        <v>0</v>
      </c>
      <c r="U671">
        <v>5000</v>
      </c>
      <c r="V671" s="1">
        <f>ROUND(Table1[[#This Row],[fmpce]],0)</f>
        <v>5000</v>
      </c>
      <c r="W671">
        <v>68.023319999999998</v>
      </c>
      <c r="X671" s="4">
        <f>Table1[[#This Row],[mpce]]*89</f>
        <v>6054.0754799999995</v>
      </c>
      <c r="Y671" s="2" t="s">
        <v>28</v>
      </c>
      <c r="Z671" s="3">
        <f>VLOOKUP(Y671, rmpce_reference!$B$1:$D$7,3,FALSE) * 89</f>
        <v>6230</v>
      </c>
      <c r="AA671" s="1" t="str">
        <f>IF(Table1[rmpce_inr]&lt;=rmpce_reference!$F$2, "Low Income", IF(Table1[rmpce_inr]&lt;=rmpce_reference!$F$3, "Middle Income", "High Income"))</f>
        <v>Middle Income</v>
      </c>
    </row>
    <row r="672" spans="1:27" x14ac:dyDescent="0.25">
      <c r="A672">
        <v>4010</v>
      </c>
      <c r="B672" t="s">
        <v>42</v>
      </c>
      <c r="C672" t="s">
        <v>29</v>
      </c>
      <c r="D672">
        <v>37</v>
      </c>
      <c r="E672" t="s">
        <v>22</v>
      </c>
      <c r="F672" t="s">
        <v>30</v>
      </c>
      <c r="G672">
        <v>4</v>
      </c>
      <c r="H672" s="1" t="str">
        <f>IF(Table1[[#This Row],[anxiety_score]]&lt;=10, "Normal", IF(Table1[[#This Row],[anxiety_score]]&lt;=20, "Moderate", IF(Table1[[#This Row],[anxiety_score]]&lt;=30, "Severe", "Extremely Severe")))</f>
        <v>Normal</v>
      </c>
      <c r="I672">
        <v>-0.61133329999999997</v>
      </c>
      <c r="J672">
        <v>2</v>
      </c>
      <c r="K672" s="1" t="str">
        <f>IF(Table1[[#This Row],[stress_score]]&lt;=10, "Normal", IF(Table1[[#This Row],[stress_score]]&lt;=20, "Moderate", IF(Table1[[#This Row],[stress_score]]&lt;=30, "Severe", "Extremely Severe")))</f>
        <v>Normal</v>
      </c>
      <c r="L672">
        <v>-0.9678099</v>
      </c>
      <c r="M672">
        <v>2</v>
      </c>
      <c r="N672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672">
        <v>-0.91619854999999994</v>
      </c>
      <c r="P672">
        <v>2.6666666999999999</v>
      </c>
      <c r="Q672">
        <f>ROUND(Table1[[#This Row],[dass21_raw_score]],0)</f>
        <v>3</v>
      </c>
      <c r="R672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672">
        <v>-0.83178059999999998</v>
      </c>
      <c r="T672">
        <v>0.26312930000000001</v>
      </c>
      <c r="U672">
        <v>7500</v>
      </c>
      <c r="V672" s="1">
        <f>ROUND(Table1[[#This Row],[fmpce]],0)</f>
        <v>7500</v>
      </c>
      <c r="W672">
        <v>102.03498999999999</v>
      </c>
      <c r="X672" s="4">
        <f>Table1[[#This Row],[mpce]]*89</f>
        <v>9081.1141099999986</v>
      </c>
      <c r="Y672" s="2" t="s">
        <v>35</v>
      </c>
      <c r="Z672" s="3">
        <f>VLOOKUP(Y672, rmpce_reference!$B$1:$D$7,3,FALSE) * 89</f>
        <v>9790</v>
      </c>
      <c r="AA672" s="1" t="str">
        <f>IF(Table1[rmpce_inr]&lt;=rmpce_reference!$F$2, "Low Income", IF(Table1[rmpce_inr]&lt;=rmpce_reference!$F$3, "Middle Income", "High Income"))</f>
        <v>High Income</v>
      </c>
    </row>
    <row r="673" spans="1:27" x14ac:dyDescent="0.25">
      <c r="A673">
        <v>4011</v>
      </c>
      <c r="B673" t="s">
        <v>42</v>
      </c>
      <c r="C673" t="s">
        <v>29</v>
      </c>
      <c r="D673">
        <v>38</v>
      </c>
      <c r="E673" t="s">
        <v>22</v>
      </c>
      <c r="F673" t="s">
        <v>30</v>
      </c>
      <c r="G673">
        <v>6</v>
      </c>
      <c r="H673" s="1" t="str">
        <f>IF(Table1[[#This Row],[anxiety_score]]&lt;=10, "Normal", IF(Table1[[#This Row],[anxiety_score]]&lt;=20, "Moderate", IF(Table1[[#This Row],[anxiety_score]]&lt;=30, "Severe", "Extremely Severe")))</f>
        <v>Normal</v>
      </c>
      <c r="I673">
        <v>-0.41028870000000001</v>
      </c>
      <c r="J673">
        <v>0</v>
      </c>
      <c r="K673" s="1" t="str">
        <f>IF(Table1[[#This Row],[stress_score]]&lt;=10, "Normal", IF(Table1[[#This Row],[stress_score]]&lt;=20, "Moderate", IF(Table1[[#This Row],[stress_score]]&lt;=30, "Severe", "Extremely Severe")))</f>
        <v>Normal</v>
      </c>
      <c r="L673">
        <v>-1.1624711999999999</v>
      </c>
      <c r="M673">
        <v>0</v>
      </c>
      <c r="N673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673">
        <v>-1.1088359000000001</v>
      </c>
      <c r="P673">
        <v>2</v>
      </c>
      <c r="Q673">
        <f>ROUND(Table1[[#This Row],[dass21_raw_score]],0)</f>
        <v>2</v>
      </c>
      <c r="R673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673">
        <v>-0.89386529999999997</v>
      </c>
      <c r="T673">
        <v>0.20104462000000001</v>
      </c>
      <c r="U673">
        <v>7500</v>
      </c>
      <c r="V673" s="1">
        <f>ROUND(Table1[[#This Row],[fmpce]],0)</f>
        <v>7500</v>
      </c>
      <c r="W673">
        <v>102.03498999999999</v>
      </c>
      <c r="X673" s="4">
        <f>Table1[[#This Row],[mpce]]*89</f>
        <v>9081.1141099999986</v>
      </c>
      <c r="Y673" s="2" t="s">
        <v>35</v>
      </c>
      <c r="Z673" s="3">
        <f>VLOOKUP(Y673, rmpce_reference!$B$1:$D$7,3,FALSE) * 89</f>
        <v>9790</v>
      </c>
      <c r="AA673" s="1" t="str">
        <f>IF(Table1[rmpce_inr]&lt;=rmpce_reference!$F$2, "Low Income", IF(Table1[rmpce_inr]&lt;=rmpce_reference!$F$3, "Middle Income", "High Income"))</f>
        <v>High Income</v>
      </c>
    </row>
    <row r="674" spans="1:27" x14ac:dyDescent="0.25">
      <c r="A674">
        <v>4012</v>
      </c>
      <c r="B674" t="s">
        <v>42</v>
      </c>
      <c r="C674" t="s">
        <v>21</v>
      </c>
      <c r="D674">
        <v>49</v>
      </c>
      <c r="E674" t="s">
        <v>22</v>
      </c>
      <c r="F674" t="s">
        <v>30</v>
      </c>
      <c r="G674">
        <v>6</v>
      </c>
      <c r="H674" s="1" t="str">
        <f>IF(Table1[[#This Row],[anxiety_score]]&lt;=10, "Normal", IF(Table1[[#This Row],[anxiety_score]]&lt;=20, "Moderate", IF(Table1[[#This Row],[anxiety_score]]&lt;=30, "Severe", "Extremely Severe")))</f>
        <v>Normal</v>
      </c>
      <c r="I674">
        <v>-0.41028870000000001</v>
      </c>
      <c r="J674">
        <v>6</v>
      </c>
      <c r="K674" s="1" t="str">
        <f>IF(Table1[[#This Row],[stress_score]]&lt;=10, "Normal", IF(Table1[[#This Row],[stress_score]]&lt;=20, "Moderate", IF(Table1[[#This Row],[stress_score]]&lt;=30, "Severe", "Extremely Severe")))</f>
        <v>Normal</v>
      </c>
      <c r="L674">
        <v>-0.57848745999999995</v>
      </c>
      <c r="M674">
        <v>0</v>
      </c>
      <c r="N674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674">
        <v>-1.1088359000000001</v>
      </c>
      <c r="P674">
        <v>4</v>
      </c>
      <c r="Q674">
        <f>ROUND(Table1[[#This Row],[dass21_raw_score]],0)</f>
        <v>4</v>
      </c>
      <c r="R674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674">
        <v>-0.69920400000000005</v>
      </c>
      <c r="T674">
        <v>0.39570588000000001</v>
      </c>
      <c r="U674">
        <v>3500</v>
      </c>
      <c r="V674" s="1">
        <f>ROUND(Table1[[#This Row],[fmpce]],0)</f>
        <v>3500</v>
      </c>
      <c r="W674">
        <v>47.616325000000003</v>
      </c>
      <c r="X674" s="4">
        <f>Table1[[#This Row],[mpce]]*89</f>
        <v>4237.8529250000001</v>
      </c>
      <c r="Y674" s="2" t="s">
        <v>32</v>
      </c>
      <c r="Z674" s="3">
        <f>VLOOKUP(Y674, rmpce_reference!$B$1:$D$7,3,FALSE) * 89</f>
        <v>4450</v>
      </c>
      <c r="AA674" s="1" t="str">
        <f>IF(Table1[rmpce_inr]&lt;=rmpce_reference!$F$2, "Low Income", IF(Table1[rmpce_inr]&lt;=rmpce_reference!$F$3, "Middle Income", "High Income"))</f>
        <v>Low Income</v>
      </c>
    </row>
    <row r="675" spans="1:27" x14ac:dyDescent="0.25">
      <c r="A675">
        <v>4013</v>
      </c>
      <c r="B675" t="s">
        <v>42</v>
      </c>
      <c r="C675" t="s">
        <v>29</v>
      </c>
      <c r="D675">
        <v>38</v>
      </c>
      <c r="E675" t="s">
        <v>22</v>
      </c>
      <c r="F675" t="s">
        <v>30</v>
      </c>
      <c r="G675">
        <v>2</v>
      </c>
      <c r="H675" s="1" t="str">
        <f>IF(Table1[[#This Row],[anxiety_score]]&lt;=10, "Normal", IF(Table1[[#This Row],[anxiety_score]]&lt;=20, "Moderate", IF(Table1[[#This Row],[anxiety_score]]&lt;=30, "Severe", "Extremely Severe")))</f>
        <v>Normal</v>
      </c>
      <c r="I675">
        <v>-0.81237789999999999</v>
      </c>
      <c r="J675">
        <v>0</v>
      </c>
      <c r="K675" s="1" t="str">
        <f>IF(Table1[[#This Row],[stress_score]]&lt;=10, "Normal", IF(Table1[[#This Row],[stress_score]]&lt;=20, "Moderate", IF(Table1[[#This Row],[stress_score]]&lt;=30, "Severe", "Extremely Severe")))</f>
        <v>Normal</v>
      </c>
      <c r="L675">
        <v>-1.1624711999999999</v>
      </c>
      <c r="M675">
        <v>0</v>
      </c>
      <c r="N675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675">
        <v>-1.1088359000000001</v>
      </c>
      <c r="P675">
        <v>0.66666669999999995</v>
      </c>
      <c r="Q675">
        <f>ROUND(Table1[[#This Row],[dass21_raw_score]],0)</f>
        <v>1</v>
      </c>
      <c r="R675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675">
        <v>-1.027895</v>
      </c>
      <c r="T675">
        <v>6.701493E-2</v>
      </c>
      <c r="U675">
        <v>4000</v>
      </c>
      <c r="V675" s="1">
        <f>ROUND(Table1[[#This Row],[fmpce]],0)</f>
        <v>4000</v>
      </c>
      <c r="W675">
        <v>54.418660000000003</v>
      </c>
      <c r="X675" s="4">
        <f>Table1[[#This Row],[mpce]]*89</f>
        <v>4843.2607400000006</v>
      </c>
      <c r="Y675" s="2" t="s">
        <v>32</v>
      </c>
      <c r="Z675" s="3">
        <f>VLOOKUP(Y675, rmpce_reference!$B$1:$D$7,3,FALSE) * 89</f>
        <v>4450</v>
      </c>
      <c r="AA675" s="1" t="str">
        <f>IF(Table1[rmpce_inr]&lt;=rmpce_reference!$F$2, "Low Income", IF(Table1[rmpce_inr]&lt;=rmpce_reference!$F$3, "Middle Income", "High Income"))</f>
        <v>Low Income</v>
      </c>
    </row>
    <row r="676" spans="1:27" x14ac:dyDescent="0.25">
      <c r="A676">
        <v>4014</v>
      </c>
      <c r="B676" t="s">
        <v>42</v>
      </c>
      <c r="C676" t="s">
        <v>21</v>
      </c>
      <c r="D676">
        <v>44</v>
      </c>
      <c r="E676" t="s">
        <v>22</v>
      </c>
      <c r="F676" t="s">
        <v>30</v>
      </c>
      <c r="G676">
        <v>2</v>
      </c>
      <c r="H676" s="1" t="str">
        <f>IF(Table1[[#This Row],[anxiety_score]]&lt;=10, "Normal", IF(Table1[[#This Row],[anxiety_score]]&lt;=20, "Moderate", IF(Table1[[#This Row],[anxiety_score]]&lt;=30, "Severe", "Extremely Severe")))</f>
        <v>Normal</v>
      </c>
      <c r="I676">
        <v>-0.81237789999999999</v>
      </c>
      <c r="J676">
        <v>0</v>
      </c>
      <c r="K676" s="1" t="str">
        <f>IF(Table1[[#This Row],[stress_score]]&lt;=10, "Normal", IF(Table1[[#This Row],[stress_score]]&lt;=20, "Moderate", IF(Table1[[#This Row],[stress_score]]&lt;=30, "Severe", "Extremely Severe")))</f>
        <v>Normal</v>
      </c>
      <c r="L676">
        <v>-1.1624711999999999</v>
      </c>
      <c r="M676">
        <v>0</v>
      </c>
      <c r="N676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676">
        <v>-1.1088359000000001</v>
      </c>
      <c r="P676">
        <v>0.66666669999999995</v>
      </c>
      <c r="Q676">
        <f>ROUND(Table1[[#This Row],[dass21_raw_score]],0)</f>
        <v>1</v>
      </c>
      <c r="R676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676">
        <v>-1.027895</v>
      </c>
      <c r="T676">
        <v>6.701493E-2</v>
      </c>
      <c r="U676">
        <v>3333.3332999999998</v>
      </c>
      <c r="V676" s="1">
        <f>ROUND(Table1[[#This Row],[fmpce]],0)</f>
        <v>3333</v>
      </c>
      <c r="W676">
        <v>45.348880000000001</v>
      </c>
      <c r="X676" s="4">
        <f>Table1[[#This Row],[mpce]]*89</f>
        <v>4036.0503200000003</v>
      </c>
      <c r="Y676" s="2" t="s">
        <v>32</v>
      </c>
      <c r="Z676" s="3">
        <f>VLOOKUP(Y676, rmpce_reference!$B$1:$D$7,3,FALSE) * 89</f>
        <v>4450</v>
      </c>
      <c r="AA676" s="1" t="str">
        <f>IF(Table1[rmpce_inr]&lt;=rmpce_reference!$F$2, "Low Income", IF(Table1[rmpce_inr]&lt;=rmpce_reference!$F$3, "Middle Income", "High Income"))</f>
        <v>Low Income</v>
      </c>
    </row>
    <row r="677" spans="1:27" x14ac:dyDescent="0.25">
      <c r="A677">
        <v>4015</v>
      </c>
      <c r="B677" t="s">
        <v>42</v>
      </c>
      <c r="C677" t="s">
        <v>29</v>
      </c>
      <c r="D677">
        <v>36</v>
      </c>
      <c r="E677" t="s">
        <v>22</v>
      </c>
      <c r="F677" t="s">
        <v>30</v>
      </c>
      <c r="G677">
        <v>4</v>
      </c>
      <c r="H677" s="1" t="str">
        <f>IF(Table1[[#This Row],[anxiety_score]]&lt;=10, "Normal", IF(Table1[[#This Row],[anxiety_score]]&lt;=20, "Moderate", IF(Table1[[#This Row],[anxiety_score]]&lt;=30, "Severe", "Extremely Severe")))</f>
        <v>Normal</v>
      </c>
      <c r="I677">
        <v>-0.61133329999999997</v>
      </c>
      <c r="J677">
        <v>8</v>
      </c>
      <c r="K677" s="1" t="str">
        <f>IF(Table1[[#This Row],[stress_score]]&lt;=10, "Normal", IF(Table1[[#This Row],[stress_score]]&lt;=20, "Moderate", IF(Table1[[#This Row],[stress_score]]&lt;=30, "Severe", "Extremely Severe")))</f>
        <v>Normal</v>
      </c>
      <c r="L677">
        <v>-0.38382620000000001</v>
      </c>
      <c r="M677">
        <v>0</v>
      </c>
      <c r="N677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677">
        <v>-1.1088359000000001</v>
      </c>
      <c r="P677">
        <v>4</v>
      </c>
      <c r="Q677">
        <f>ROUND(Table1[[#This Row],[dass21_raw_score]],0)</f>
        <v>4</v>
      </c>
      <c r="R677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677">
        <v>-0.70133179999999995</v>
      </c>
      <c r="T677">
        <v>0.39357809999999999</v>
      </c>
      <c r="U677">
        <v>4000</v>
      </c>
      <c r="V677" s="1">
        <f>ROUND(Table1[[#This Row],[fmpce]],0)</f>
        <v>4000</v>
      </c>
      <c r="W677">
        <v>54.418660000000003</v>
      </c>
      <c r="X677" s="4">
        <f>Table1[[#This Row],[mpce]]*89</f>
        <v>4843.2607400000006</v>
      </c>
      <c r="Y677" s="2" t="s">
        <v>32</v>
      </c>
      <c r="Z677" s="3">
        <f>VLOOKUP(Y677, rmpce_reference!$B$1:$D$7,3,FALSE) * 89</f>
        <v>4450</v>
      </c>
      <c r="AA677" s="1" t="str">
        <f>IF(Table1[rmpce_inr]&lt;=rmpce_reference!$F$2, "Low Income", IF(Table1[rmpce_inr]&lt;=rmpce_reference!$F$3, "Middle Income", "High Income"))</f>
        <v>Low Income</v>
      </c>
    </row>
    <row r="678" spans="1:27" x14ac:dyDescent="0.25">
      <c r="A678">
        <v>4016</v>
      </c>
      <c r="B678" t="s">
        <v>42</v>
      </c>
      <c r="C678" t="s">
        <v>21</v>
      </c>
      <c r="D678">
        <v>43</v>
      </c>
      <c r="E678" t="s">
        <v>22</v>
      </c>
      <c r="F678" t="s">
        <v>30</v>
      </c>
      <c r="G678">
        <v>0</v>
      </c>
      <c r="H678" s="1" t="str">
        <f>IF(Table1[[#This Row],[anxiety_score]]&lt;=10, "Normal", IF(Table1[[#This Row],[anxiety_score]]&lt;=20, "Moderate", IF(Table1[[#This Row],[anxiety_score]]&lt;=30, "Severe", "Extremely Severe")))</f>
        <v>Normal</v>
      </c>
      <c r="I678">
        <v>-1.0134224999999999</v>
      </c>
      <c r="J678">
        <v>0</v>
      </c>
      <c r="K678" s="1" t="str">
        <f>IF(Table1[[#This Row],[stress_score]]&lt;=10, "Normal", IF(Table1[[#This Row],[stress_score]]&lt;=20, "Moderate", IF(Table1[[#This Row],[stress_score]]&lt;=30, "Severe", "Extremely Severe")))</f>
        <v>Normal</v>
      </c>
      <c r="L678">
        <v>-1.1624711999999999</v>
      </c>
      <c r="M678">
        <v>0</v>
      </c>
      <c r="N678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678">
        <v>-1.1088359000000001</v>
      </c>
      <c r="P678">
        <v>0</v>
      </c>
      <c r="Q678">
        <f>ROUND(Table1[[#This Row],[dass21_raw_score]],0)</f>
        <v>0</v>
      </c>
      <c r="R678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678">
        <v>-1.0949099</v>
      </c>
      <c r="T678">
        <v>0</v>
      </c>
      <c r="U678">
        <v>3750</v>
      </c>
      <c r="V678" s="1">
        <f>ROUND(Table1[[#This Row],[fmpce]],0)</f>
        <v>3750</v>
      </c>
      <c r="W678">
        <v>51.017493999999999</v>
      </c>
      <c r="X678" s="4">
        <f>Table1[[#This Row],[mpce]]*89</f>
        <v>4540.5569660000001</v>
      </c>
      <c r="Y678" s="2" t="s">
        <v>32</v>
      </c>
      <c r="Z678" s="3">
        <f>VLOOKUP(Y678, rmpce_reference!$B$1:$D$7,3,FALSE) * 89</f>
        <v>4450</v>
      </c>
      <c r="AA678" s="1" t="str">
        <f>IF(Table1[rmpce_inr]&lt;=rmpce_reference!$F$2, "Low Income", IF(Table1[rmpce_inr]&lt;=rmpce_reference!$F$3, "Middle Income", "High Income"))</f>
        <v>Low Income</v>
      </c>
    </row>
    <row r="679" spans="1:27" x14ac:dyDescent="0.25">
      <c r="A679">
        <v>4017</v>
      </c>
      <c r="B679" t="s">
        <v>42</v>
      </c>
      <c r="C679" t="s">
        <v>33</v>
      </c>
      <c r="D679">
        <v>28</v>
      </c>
      <c r="E679" t="s">
        <v>22</v>
      </c>
      <c r="F679" t="s">
        <v>30</v>
      </c>
      <c r="G679">
        <v>2</v>
      </c>
      <c r="H679" s="1" t="str">
        <f>IF(Table1[[#This Row],[anxiety_score]]&lt;=10, "Normal", IF(Table1[[#This Row],[anxiety_score]]&lt;=20, "Moderate", IF(Table1[[#This Row],[anxiety_score]]&lt;=30, "Severe", "Extremely Severe")))</f>
        <v>Normal</v>
      </c>
      <c r="I679">
        <v>-0.81237789999999999</v>
      </c>
      <c r="J679">
        <v>2</v>
      </c>
      <c r="K679" s="1" t="str">
        <f>IF(Table1[[#This Row],[stress_score]]&lt;=10, "Normal", IF(Table1[[#This Row],[stress_score]]&lt;=20, "Moderate", IF(Table1[[#This Row],[stress_score]]&lt;=30, "Severe", "Extremely Severe")))</f>
        <v>Normal</v>
      </c>
      <c r="L679">
        <v>-0.9678099</v>
      </c>
      <c r="M679">
        <v>0</v>
      </c>
      <c r="N679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679">
        <v>-1.1088359000000001</v>
      </c>
      <c r="P679">
        <v>1.3333333999999999</v>
      </c>
      <c r="Q679">
        <f>ROUND(Table1[[#This Row],[dass21_raw_score]],0)</f>
        <v>1</v>
      </c>
      <c r="R679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679">
        <v>-0.96300790000000003</v>
      </c>
      <c r="T679">
        <v>0.13190198</v>
      </c>
      <c r="U679">
        <v>3750</v>
      </c>
      <c r="V679" s="1">
        <f>ROUND(Table1[[#This Row],[fmpce]],0)</f>
        <v>3750</v>
      </c>
      <c r="W679">
        <v>51.017493999999999</v>
      </c>
      <c r="X679" s="4">
        <f>Table1[[#This Row],[mpce]]*89</f>
        <v>4540.5569660000001</v>
      </c>
      <c r="Y679" s="2" t="s">
        <v>32</v>
      </c>
      <c r="Z679" s="3">
        <f>VLOOKUP(Y679, rmpce_reference!$B$1:$D$7,3,FALSE) * 89</f>
        <v>4450</v>
      </c>
      <c r="AA679" s="1" t="str">
        <f>IF(Table1[rmpce_inr]&lt;=rmpce_reference!$F$2, "Low Income", IF(Table1[rmpce_inr]&lt;=rmpce_reference!$F$3, "Middle Income", "High Income"))</f>
        <v>Low Income</v>
      </c>
    </row>
    <row r="680" spans="1:27" x14ac:dyDescent="0.25">
      <c r="A680">
        <v>4018</v>
      </c>
      <c r="B680" t="s">
        <v>42</v>
      </c>
      <c r="C680" t="s">
        <v>21</v>
      </c>
      <c r="D680">
        <v>46</v>
      </c>
      <c r="E680" t="s">
        <v>25</v>
      </c>
      <c r="F680" t="s">
        <v>30</v>
      </c>
      <c r="G680">
        <v>8</v>
      </c>
      <c r="H680" s="1" t="str">
        <f>IF(Table1[[#This Row],[anxiety_score]]&lt;=10, "Normal", IF(Table1[[#This Row],[anxiety_score]]&lt;=20, "Moderate", IF(Table1[[#This Row],[anxiety_score]]&lt;=30, "Severe", "Extremely Severe")))</f>
        <v>Normal</v>
      </c>
      <c r="I680">
        <v>-0.20924408999999999</v>
      </c>
      <c r="J680">
        <v>20</v>
      </c>
      <c r="K680" s="1" t="str">
        <f>IF(Table1[[#This Row],[stress_score]]&lt;=10, "Normal", IF(Table1[[#This Row],[stress_score]]&lt;=20, "Moderate", IF(Table1[[#This Row],[stress_score]]&lt;=30, "Severe", "Extremely Severe")))</f>
        <v>Moderate</v>
      </c>
      <c r="L680">
        <v>0.78414130000000004</v>
      </c>
      <c r="M680">
        <v>22</v>
      </c>
      <c r="N680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680">
        <v>1.0101753</v>
      </c>
      <c r="P680">
        <v>16.666665999999999</v>
      </c>
      <c r="Q680">
        <f>ROUND(Table1[[#This Row],[dass21_raw_score]],0)</f>
        <v>17</v>
      </c>
      <c r="R680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680">
        <v>0.52835750000000004</v>
      </c>
      <c r="T680">
        <v>1.6232674</v>
      </c>
      <c r="U680">
        <v>6250</v>
      </c>
      <c r="V680" s="1">
        <f>ROUND(Table1[[#This Row],[fmpce]],0)</f>
        <v>6250</v>
      </c>
      <c r="W680">
        <v>85.029150000000001</v>
      </c>
      <c r="X680" s="4">
        <f>Table1[[#This Row],[mpce]]*89</f>
        <v>7567.5943500000003</v>
      </c>
      <c r="Y680" s="2" t="s">
        <v>31</v>
      </c>
      <c r="Z680" s="3">
        <f>VLOOKUP(Y680, rmpce_reference!$B$1:$D$7,3,FALSE) * 89</f>
        <v>8010</v>
      </c>
      <c r="AA680" s="1" t="str">
        <f>IF(Table1[rmpce_inr]&lt;=rmpce_reference!$F$2, "Low Income", IF(Table1[rmpce_inr]&lt;=rmpce_reference!$F$3, "Middle Income", "High Income"))</f>
        <v>High Income</v>
      </c>
    </row>
    <row r="681" spans="1:27" x14ac:dyDescent="0.25">
      <c r="A681">
        <v>4019</v>
      </c>
      <c r="B681" t="s">
        <v>42</v>
      </c>
      <c r="C681" t="s">
        <v>29</v>
      </c>
      <c r="D681">
        <v>40</v>
      </c>
      <c r="E681" t="s">
        <v>25</v>
      </c>
      <c r="F681" t="s">
        <v>26</v>
      </c>
      <c r="G681">
        <v>6</v>
      </c>
      <c r="H681" s="1" t="str">
        <f>IF(Table1[[#This Row],[anxiety_score]]&lt;=10, "Normal", IF(Table1[[#This Row],[anxiety_score]]&lt;=20, "Moderate", IF(Table1[[#This Row],[anxiety_score]]&lt;=30, "Severe", "Extremely Severe")))</f>
        <v>Normal</v>
      </c>
      <c r="I681">
        <v>-0.41028870000000001</v>
      </c>
      <c r="J681">
        <v>8</v>
      </c>
      <c r="K681" s="1" t="str">
        <f>IF(Table1[[#This Row],[stress_score]]&lt;=10, "Normal", IF(Table1[[#This Row],[stress_score]]&lt;=20, "Moderate", IF(Table1[[#This Row],[stress_score]]&lt;=30, "Severe", "Extremely Severe")))</f>
        <v>Normal</v>
      </c>
      <c r="L681">
        <v>-0.38382620000000001</v>
      </c>
      <c r="M681">
        <v>14</v>
      </c>
      <c r="N681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681">
        <v>0.23962580999999999</v>
      </c>
      <c r="P681">
        <v>9.3333329999999997</v>
      </c>
      <c r="Q681">
        <f>ROUND(Table1[[#This Row],[dass21_raw_score]],0)</f>
        <v>9</v>
      </c>
      <c r="R681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681">
        <v>-0.18482970000000001</v>
      </c>
      <c r="T681">
        <v>0.91008020000000001</v>
      </c>
      <c r="U681">
        <v>5000</v>
      </c>
      <c r="V681" s="1">
        <f>ROUND(Table1[[#This Row],[fmpce]],0)</f>
        <v>5000</v>
      </c>
      <c r="W681">
        <v>68.023319999999998</v>
      </c>
      <c r="X681" s="4">
        <f>Table1[[#This Row],[mpce]]*89</f>
        <v>6054.0754799999995</v>
      </c>
      <c r="Y681" s="2" t="s">
        <v>28</v>
      </c>
      <c r="Z681" s="3">
        <f>VLOOKUP(Y681, rmpce_reference!$B$1:$D$7,3,FALSE) * 89</f>
        <v>6230</v>
      </c>
      <c r="AA681" s="1" t="str">
        <f>IF(Table1[rmpce_inr]&lt;=rmpce_reference!$F$2, "Low Income", IF(Table1[rmpce_inr]&lt;=rmpce_reference!$F$3, "Middle Income", "High Income"))</f>
        <v>Middle Income</v>
      </c>
    </row>
    <row r="682" spans="1:27" x14ac:dyDescent="0.25">
      <c r="A682">
        <v>4020</v>
      </c>
      <c r="B682" t="s">
        <v>42</v>
      </c>
      <c r="C682" t="s">
        <v>33</v>
      </c>
      <c r="D682">
        <v>30</v>
      </c>
      <c r="E682" t="s">
        <v>25</v>
      </c>
      <c r="F682" t="s">
        <v>30</v>
      </c>
      <c r="G682">
        <v>8</v>
      </c>
      <c r="H682" s="1" t="str">
        <f>IF(Table1[[#This Row],[anxiety_score]]&lt;=10, "Normal", IF(Table1[[#This Row],[anxiety_score]]&lt;=20, "Moderate", IF(Table1[[#This Row],[anxiety_score]]&lt;=30, "Severe", "Extremely Severe")))</f>
        <v>Normal</v>
      </c>
      <c r="I682">
        <v>-0.20924408999999999</v>
      </c>
      <c r="J682">
        <v>14</v>
      </c>
      <c r="K682" s="1" t="str">
        <f>IF(Table1[[#This Row],[stress_score]]&lt;=10, "Normal", IF(Table1[[#This Row],[stress_score]]&lt;=20, "Moderate", IF(Table1[[#This Row],[stress_score]]&lt;=30, "Severe", "Extremely Severe")))</f>
        <v>Moderate</v>
      </c>
      <c r="L682">
        <v>0.20015757000000001</v>
      </c>
      <c r="M682">
        <v>8</v>
      </c>
      <c r="N682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682">
        <v>-0.33828637</v>
      </c>
      <c r="P682">
        <v>10</v>
      </c>
      <c r="Q682">
        <f>ROUND(Table1[[#This Row],[dass21_raw_score]],0)</f>
        <v>10</v>
      </c>
      <c r="R682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682">
        <v>-0.11579096</v>
      </c>
      <c r="T682">
        <v>0.97911893999999999</v>
      </c>
      <c r="U682">
        <v>5000</v>
      </c>
      <c r="V682" s="1">
        <f>ROUND(Table1[[#This Row],[fmpce]],0)</f>
        <v>5000</v>
      </c>
      <c r="W682">
        <v>68.023319999999998</v>
      </c>
      <c r="X682" s="4">
        <f>Table1[[#This Row],[mpce]]*89</f>
        <v>6054.0754799999995</v>
      </c>
      <c r="Y682" s="2" t="s">
        <v>28</v>
      </c>
      <c r="Z682" s="3">
        <f>VLOOKUP(Y682, rmpce_reference!$B$1:$D$7,3,FALSE) * 89</f>
        <v>6230</v>
      </c>
      <c r="AA682" s="1" t="str">
        <f>IF(Table1[rmpce_inr]&lt;=rmpce_reference!$F$2, "Low Income", IF(Table1[rmpce_inr]&lt;=rmpce_reference!$F$3, "Middle Income", "High Income"))</f>
        <v>Middle Income</v>
      </c>
    </row>
    <row r="683" spans="1:27" x14ac:dyDescent="0.25">
      <c r="A683">
        <v>4021</v>
      </c>
      <c r="B683" t="s">
        <v>42</v>
      </c>
      <c r="C683" t="s">
        <v>33</v>
      </c>
      <c r="D683">
        <v>25</v>
      </c>
      <c r="E683" t="s">
        <v>25</v>
      </c>
      <c r="F683" t="s">
        <v>26</v>
      </c>
      <c r="G683">
        <v>6</v>
      </c>
      <c r="H683" s="1" t="str">
        <f>IF(Table1[[#This Row],[anxiety_score]]&lt;=10, "Normal", IF(Table1[[#This Row],[anxiety_score]]&lt;=20, "Moderate", IF(Table1[[#This Row],[anxiety_score]]&lt;=30, "Severe", "Extremely Severe")))</f>
        <v>Normal</v>
      </c>
      <c r="I683">
        <v>-0.41028870000000001</v>
      </c>
      <c r="J683">
        <v>10</v>
      </c>
      <c r="K683" s="1" t="str">
        <f>IF(Table1[[#This Row],[stress_score]]&lt;=10, "Normal", IF(Table1[[#This Row],[stress_score]]&lt;=20, "Moderate", IF(Table1[[#This Row],[stress_score]]&lt;=30, "Severe", "Extremely Severe")))</f>
        <v>Normal</v>
      </c>
      <c r="L683">
        <v>-0.18916494</v>
      </c>
      <c r="M683">
        <v>10</v>
      </c>
      <c r="N683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683">
        <v>-0.14564899000000001</v>
      </c>
      <c r="P683">
        <v>8.6666670000000003</v>
      </c>
      <c r="Q683">
        <f>ROUND(Table1[[#This Row],[dass21_raw_score]],0)</f>
        <v>9</v>
      </c>
      <c r="R683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683">
        <v>-0.24836753</v>
      </c>
      <c r="T683">
        <v>0.84654236000000005</v>
      </c>
      <c r="U683">
        <v>6250</v>
      </c>
      <c r="V683" s="1">
        <f>ROUND(Table1[[#This Row],[fmpce]],0)</f>
        <v>6250</v>
      </c>
      <c r="W683">
        <v>85.029150000000001</v>
      </c>
      <c r="X683" s="4">
        <f>Table1[[#This Row],[mpce]]*89</f>
        <v>7567.5943500000003</v>
      </c>
      <c r="Y683" s="2" t="s">
        <v>31</v>
      </c>
      <c r="Z683" s="3">
        <f>VLOOKUP(Y683, rmpce_reference!$B$1:$D$7,3,FALSE) * 89</f>
        <v>8010</v>
      </c>
      <c r="AA683" s="1" t="str">
        <f>IF(Table1[rmpce_inr]&lt;=rmpce_reference!$F$2, "Low Income", IF(Table1[rmpce_inr]&lt;=rmpce_reference!$F$3, "Middle Income", "High Income"))</f>
        <v>High Income</v>
      </c>
    </row>
    <row r="684" spans="1:27" x14ac:dyDescent="0.25">
      <c r="A684">
        <v>4022</v>
      </c>
      <c r="B684" t="s">
        <v>42</v>
      </c>
      <c r="C684" t="s">
        <v>29</v>
      </c>
      <c r="D684">
        <v>31</v>
      </c>
      <c r="E684" t="s">
        <v>25</v>
      </c>
      <c r="F684" t="s">
        <v>26</v>
      </c>
      <c r="G684">
        <v>16</v>
      </c>
      <c r="H684" s="1" t="str">
        <f>IF(Table1[[#This Row],[anxiety_score]]&lt;=10, "Normal", IF(Table1[[#This Row],[anxiety_score]]&lt;=20, "Moderate", IF(Table1[[#This Row],[anxiety_score]]&lt;=30, "Severe", "Extremely Severe")))</f>
        <v>Moderate</v>
      </c>
      <c r="I684">
        <v>0.59493434000000001</v>
      </c>
      <c r="J684">
        <v>16</v>
      </c>
      <c r="K684" s="1" t="str">
        <f>IF(Table1[[#This Row],[stress_score]]&lt;=10, "Normal", IF(Table1[[#This Row],[stress_score]]&lt;=20, "Moderate", IF(Table1[[#This Row],[stress_score]]&lt;=30, "Severe", "Extremely Severe")))</f>
        <v>Moderate</v>
      </c>
      <c r="L684">
        <v>0.39481880000000003</v>
      </c>
      <c r="M684">
        <v>14</v>
      </c>
      <c r="N684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684">
        <v>0.23962580999999999</v>
      </c>
      <c r="P684">
        <v>15.333333</v>
      </c>
      <c r="Q684">
        <f>ROUND(Table1[[#This Row],[dass21_raw_score]],0)</f>
        <v>15</v>
      </c>
      <c r="R684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684">
        <v>0.40979300000000002</v>
      </c>
      <c r="T684">
        <v>1.5047029000000001</v>
      </c>
      <c r="U684">
        <v>2500</v>
      </c>
      <c r="V684" s="1">
        <f>ROUND(Table1[[#This Row],[fmpce]],0)</f>
        <v>2500</v>
      </c>
      <c r="W684">
        <v>34.011659999999999</v>
      </c>
      <c r="X684" s="4">
        <f>Table1[[#This Row],[mpce]]*89</f>
        <v>3027.0377399999998</v>
      </c>
      <c r="Y684" s="2" t="s">
        <v>34</v>
      </c>
      <c r="Z684" s="3">
        <f>VLOOKUP(Y684, rmpce_reference!$B$1:$D$7,3,FALSE) * 89</f>
        <v>2848</v>
      </c>
      <c r="AA684" s="1" t="str">
        <f>IF(Table1[rmpce_inr]&lt;=rmpce_reference!$F$2, "Low Income", IF(Table1[rmpce_inr]&lt;=rmpce_reference!$F$3, "Middle Income", "High Income"))</f>
        <v>Low Income</v>
      </c>
    </row>
    <row r="685" spans="1:27" x14ac:dyDescent="0.25">
      <c r="A685">
        <v>4023</v>
      </c>
      <c r="B685" t="s">
        <v>42</v>
      </c>
      <c r="C685" t="s">
        <v>29</v>
      </c>
      <c r="D685">
        <v>31</v>
      </c>
      <c r="E685" t="s">
        <v>22</v>
      </c>
      <c r="F685" t="s">
        <v>30</v>
      </c>
      <c r="G685">
        <v>8</v>
      </c>
      <c r="H685" s="1" t="str">
        <f>IF(Table1[[#This Row],[anxiety_score]]&lt;=10, "Normal", IF(Table1[[#This Row],[anxiety_score]]&lt;=20, "Moderate", IF(Table1[[#This Row],[anxiety_score]]&lt;=30, "Severe", "Extremely Severe")))</f>
        <v>Normal</v>
      </c>
      <c r="I685">
        <v>-0.20924408999999999</v>
      </c>
      <c r="J685">
        <v>10</v>
      </c>
      <c r="K685" s="1" t="str">
        <f>IF(Table1[[#This Row],[stress_score]]&lt;=10, "Normal", IF(Table1[[#This Row],[stress_score]]&lt;=20, "Moderate", IF(Table1[[#This Row],[stress_score]]&lt;=30, "Severe", "Extremely Severe")))</f>
        <v>Normal</v>
      </c>
      <c r="L685">
        <v>-0.18916494</v>
      </c>
      <c r="M685">
        <v>6</v>
      </c>
      <c r="N685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685">
        <v>-0.53092379999999995</v>
      </c>
      <c r="P685">
        <v>8</v>
      </c>
      <c r="Q685">
        <f>ROUND(Table1[[#This Row],[dass21_raw_score]],0)</f>
        <v>8</v>
      </c>
      <c r="R685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685">
        <v>-0.30977761999999998</v>
      </c>
      <c r="T685">
        <v>0.78513230000000001</v>
      </c>
      <c r="U685">
        <v>10000</v>
      </c>
      <c r="V685" s="1">
        <f>ROUND(Table1[[#This Row],[fmpce]],0)</f>
        <v>10000</v>
      </c>
      <c r="W685">
        <v>136.04665</v>
      </c>
      <c r="X685" s="4">
        <f>Table1[[#This Row],[mpce]]*89</f>
        <v>12108.15185</v>
      </c>
      <c r="Y685" s="2" t="s">
        <v>35</v>
      </c>
      <c r="Z685" s="3">
        <f>VLOOKUP(Y685, rmpce_reference!$B$1:$D$7,3,FALSE) * 89</f>
        <v>9790</v>
      </c>
      <c r="AA685" s="1" t="str">
        <f>IF(Table1[rmpce_inr]&lt;=rmpce_reference!$F$2, "Low Income", IF(Table1[rmpce_inr]&lt;=rmpce_reference!$F$3, "Middle Income", "High Income"))</f>
        <v>High Income</v>
      </c>
    </row>
    <row r="686" spans="1:27" x14ac:dyDescent="0.25">
      <c r="A686">
        <v>4024</v>
      </c>
      <c r="B686" t="s">
        <v>42</v>
      </c>
      <c r="C686" t="s">
        <v>33</v>
      </c>
      <c r="D686">
        <v>30</v>
      </c>
      <c r="E686" t="s">
        <v>25</v>
      </c>
      <c r="F686" t="s">
        <v>23</v>
      </c>
      <c r="G686">
        <v>6</v>
      </c>
      <c r="H686" s="1" t="str">
        <f>IF(Table1[[#This Row],[anxiety_score]]&lt;=10, "Normal", IF(Table1[[#This Row],[anxiety_score]]&lt;=20, "Moderate", IF(Table1[[#This Row],[anxiety_score]]&lt;=30, "Severe", "Extremely Severe")))</f>
        <v>Normal</v>
      </c>
      <c r="I686">
        <v>-0.41028870000000001</v>
      </c>
      <c r="J686">
        <v>22</v>
      </c>
      <c r="K686" s="1" t="str">
        <f>IF(Table1[[#This Row],[stress_score]]&lt;=10, "Normal", IF(Table1[[#This Row],[stress_score]]&lt;=20, "Moderate", IF(Table1[[#This Row],[stress_score]]&lt;=30, "Severe", "Extremely Severe")))</f>
        <v>Severe</v>
      </c>
      <c r="L686">
        <v>0.97880255999999999</v>
      </c>
      <c r="M686">
        <v>16</v>
      </c>
      <c r="N686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686">
        <v>0.43226320000000001</v>
      </c>
      <c r="P686">
        <v>14.666667</v>
      </c>
      <c r="Q686">
        <f>ROUND(Table1[[#This Row],[dass21_raw_score]],0)</f>
        <v>15</v>
      </c>
      <c r="R686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686">
        <v>0.33359235999999998</v>
      </c>
      <c r="T686">
        <v>1.4285022999999999</v>
      </c>
      <c r="U686">
        <v>5000</v>
      </c>
      <c r="V686" s="1">
        <f>ROUND(Table1[[#This Row],[fmpce]],0)</f>
        <v>5000</v>
      </c>
      <c r="W686">
        <v>68.023319999999998</v>
      </c>
      <c r="X686" s="4">
        <f>Table1[[#This Row],[mpce]]*89</f>
        <v>6054.0754799999995</v>
      </c>
      <c r="Y686" s="2" t="s">
        <v>28</v>
      </c>
      <c r="Z686" s="3">
        <f>VLOOKUP(Y686, rmpce_reference!$B$1:$D$7,3,FALSE) * 89</f>
        <v>6230</v>
      </c>
      <c r="AA686" s="1" t="str">
        <f>IF(Table1[rmpce_inr]&lt;=rmpce_reference!$F$2, "Low Income", IF(Table1[rmpce_inr]&lt;=rmpce_reference!$F$3, "Middle Income", "High Income"))</f>
        <v>Middle Income</v>
      </c>
    </row>
    <row r="687" spans="1:27" x14ac:dyDescent="0.25">
      <c r="A687">
        <v>4025</v>
      </c>
      <c r="B687" t="s">
        <v>42</v>
      </c>
      <c r="C687" t="s">
        <v>21</v>
      </c>
      <c r="D687">
        <v>43</v>
      </c>
      <c r="E687" t="s">
        <v>25</v>
      </c>
      <c r="F687" t="s">
        <v>30</v>
      </c>
      <c r="G687">
        <v>12</v>
      </c>
      <c r="H687" s="1" t="str">
        <f>IF(Table1[[#This Row],[anxiety_score]]&lt;=10, "Normal", IF(Table1[[#This Row],[anxiety_score]]&lt;=20, "Moderate", IF(Table1[[#This Row],[anxiety_score]]&lt;=30, "Severe", "Extremely Severe")))</f>
        <v>Moderate</v>
      </c>
      <c r="I687">
        <v>0.19284514999999999</v>
      </c>
      <c r="J687">
        <v>18</v>
      </c>
      <c r="K687" s="1" t="str">
        <f>IF(Table1[[#This Row],[stress_score]]&lt;=10, "Normal", IF(Table1[[#This Row],[stress_score]]&lt;=20, "Moderate", IF(Table1[[#This Row],[stress_score]]&lt;=30, "Severe", "Extremely Severe")))</f>
        <v>Moderate</v>
      </c>
      <c r="L687">
        <v>0.58948003999999998</v>
      </c>
      <c r="M687">
        <v>8</v>
      </c>
      <c r="N687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687">
        <v>-0.33828637</v>
      </c>
      <c r="P687">
        <v>12.666667</v>
      </c>
      <c r="Q687">
        <f>ROUND(Table1[[#This Row],[dass21_raw_score]],0)</f>
        <v>13</v>
      </c>
      <c r="R687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687">
        <v>0.14801294000000001</v>
      </c>
      <c r="T687">
        <v>1.2429228000000001</v>
      </c>
      <c r="U687">
        <v>6250</v>
      </c>
      <c r="V687" s="1">
        <f>ROUND(Table1[[#This Row],[fmpce]],0)</f>
        <v>6250</v>
      </c>
      <c r="W687">
        <v>85.029150000000001</v>
      </c>
      <c r="X687" s="4">
        <f>Table1[[#This Row],[mpce]]*89</f>
        <v>7567.5943500000003</v>
      </c>
      <c r="Y687" s="2" t="s">
        <v>31</v>
      </c>
      <c r="Z687" s="3">
        <f>VLOOKUP(Y687, rmpce_reference!$B$1:$D$7,3,FALSE) * 89</f>
        <v>8010</v>
      </c>
      <c r="AA687" s="1" t="str">
        <f>IF(Table1[rmpce_inr]&lt;=rmpce_reference!$F$2, "Low Income", IF(Table1[rmpce_inr]&lt;=rmpce_reference!$F$3, "Middle Income", "High Income"))</f>
        <v>High Income</v>
      </c>
    </row>
    <row r="688" spans="1:27" x14ac:dyDescent="0.25">
      <c r="A688">
        <v>4026</v>
      </c>
      <c r="B688" t="s">
        <v>42</v>
      </c>
      <c r="C688" t="s">
        <v>33</v>
      </c>
      <c r="D688">
        <v>25</v>
      </c>
      <c r="E688" t="s">
        <v>25</v>
      </c>
      <c r="F688" t="s">
        <v>23</v>
      </c>
      <c r="G688">
        <v>8</v>
      </c>
      <c r="H688" s="1" t="str">
        <f>IF(Table1[[#This Row],[anxiety_score]]&lt;=10, "Normal", IF(Table1[[#This Row],[anxiety_score]]&lt;=20, "Moderate", IF(Table1[[#This Row],[anxiety_score]]&lt;=30, "Severe", "Extremely Severe")))</f>
        <v>Normal</v>
      </c>
      <c r="I688">
        <v>-0.20924408999999999</v>
      </c>
      <c r="J688">
        <v>10</v>
      </c>
      <c r="K688" s="1" t="str">
        <f>IF(Table1[[#This Row],[stress_score]]&lt;=10, "Normal", IF(Table1[[#This Row],[stress_score]]&lt;=20, "Moderate", IF(Table1[[#This Row],[stress_score]]&lt;=30, "Severe", "Extremely Severe")))</f>
        <v>Normal</v>
      </c>
      <c r="L688">
        <v>-0.18916494</v>
      </c>
      <c r="M688">
        <v>12</v>
      </c>
      <c r="N688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688">
        <v>4.6988415999999998E-2</v>
      </c>
      <c r="P688">
        <v>10</v>
      </c>
      <c r="Q688">
        <f>ROUND(Table1[[#This Row],[dass21_raw_score]],0)</f>
        <v>10</v>
      </c>
      <c r="R688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688">
        <v>-0.1171402</v>
      </c>
      <c r="T688">
        <v>0.97776973</v>
      </c>
      <c r="U688">
        <v>3333.3332999999998</v>
      </c>
      <c r="V688" s="1">
        <f>ROUND(Table1[[#This Row],[fmpce]],0)</f>
        <v>3333</v>
      </c>
      <c r="W688">
        <v>45.348880000000001</v>
      </c>
      <c r="X688" s="4">
        <f>Table1[[#This Row],[mpce]]*89</f>
        <v>4036.0503200000003</v>
      </c>
      <c r="Y688" s="2" t="s">
        <v>32</v>
      </c>
      <c r="Z688" s="3">
        <f>VLOOKUP(Y688, rmpce_reference!$B$1:$D$7,3,FALSE) * 89</f>
        <v>4450</v>
      </c>
      <c r="AA688" s="1" t="str">
        <f>IF(Table1[rmpce_inr]&lt;=rmpce_reference!$F$2, "Low Income", IF(Table1[rmpce_inr]&lt;=rmpce_reference!$F$3, "Middle Income", "High Income"))</f>
        <v>Low Income</v>
      </c>
    </row>
    <row r="689" spans="1:27" x14ac:dyDescent="0.25">
      <c r="A689">
        <v>4027</v>
      </c>
      <c r="B689" t="s">
        <v>42</v>
      </c>
      <c r="C689" t="s">
        <v>29</v>
      </c>
      <c r="D689">
        <v>31</v>
      </c>
      <c r="E689" t="s">
        <v>25</v>
      </c>
      <c r="F689" t="s">
        <v>26</v>
      </c>
      <c r="G689">
        <v>10</v>
      </c>
      <c r="H689" s="1" t="str">
        <f>IF(Table1[[#This Row],[anxiety_score]]&lt;=10, "Normal", IF(Table1[[#This Row],[anxiety_score]]&lt;=20, "Moderate", IF(Table1[[#This Row],[anxiety_score]]&lt;=30, "Severe", "Extremely Severe")))</f>
        <v>Normal</v>
      </c>
      <c r="I689">
        <v>-8.1994660000000007E-3</v>
      </c>
      <c r="J689">
        <v>14</v>
      </c>
      <c r="K689" s="1" t="str">
        <f>IF(Table1[[#This Row],[stress_score]]&lt;=10, "Normal", IF(Table1[[#This Row],[stress_score]]&lt;=20, "Moderate", IF(Table1[[#This Row],[stress_score]]&lt;=30, "Severe", "Extremely Severe")))</f>
        <v>Moderate</v>
      </c>
      <c r="L689">
        <v>0.20015757000000001</v>
      </c>
      <c r="M689">
        <v>10</v>
      </c>
      <c r="N689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689">
        <v>-0.14564899000000001</v>
      </c>
      <c r="P689">
        <v>11.333333</v>
      </c>
      <c r="Q689">
        <f>ROUND(Table1[[#This Row],[dass21_raw_score]],0)</f>
        <v>11</v>
      </c>
      <c r="R689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689">
        <v>1.5436372E-2</v>
      </c>
      <c r="T689">
        <v>1.1103463</v>
      </c>
      <c r="U689">
        <v>5000</v>
      </c>
      <c r="V689" s="1">
        <f>ROUND(Table1[[#This Row],[fmpce]],0)</f>
        <v>5000</v>
      </c>
      <c r="W689">
        <v>68.023319999999998</v>
      </c>
      <c r="X689" s="4">
        <f>Table1[[#This Row],[mpce]]*89</f>
        <v>6054.0754799999995</v>
      </c>
      <c r="Y689" s="2" t="s">
        <v>28</v>
      </c>
      <c r="Z689" s="3">
        <f>VLOOKUP(Y689, rmpce_reference!$B$1:$D$7,3,FALSE) * 89</f>
        <v>6230</v>
      </c>
      <c r="AA689" s="1" t="str">
        <f>IF(Table1[rmpce_inr]&lt;=rmpce_reference!$F$2, "Low Income", IF(Table1[rmpce_inr]&lt;=rmpce_reference!$F$3, "Middle Income", "High Income"))</f>
        <v>Middle Income</v>
      </c>
    </row>
    <row r="690" spans="1:27" x14ac:dyDescent="0.25">
      <c r="A690">
        <v>4028</v>
      </c>
      <c r="B690" t="s">
        <v>42</v>
      </c>
      <c r="C690" t="s">
        <v>33</v>
      </c>
      <c r="D690">
        <v>26</v>
      </c>
      <c r="E690" t="s">
        <v>25</v>
      </c>
      <c r="F690" t="s">
        <v>30</v>
      </c>
      <c r="G690">
        <v>10</v>
      </c>
      <c r="H690" s="1" t="str">
        <f>IF(Table1[[#This Row],[anxiety_score]]&lt;=10, "Normal", IF(Table1[[#This Row],[anxiety_score]]&lt;=20, "Moderate", IF(Table1[[#This Row],[anxiety_score]]&lt;=30, "Severe", "Extremely Severe")))</f>
        <v>Normal</v>
      </c>
      <c r="I690">
        <v>-8.1994660000000007E-3</v>
      </c>
      <c r="J690">
        <v>20</v>
      </c>
      <c r="K690" s="1" t="str">
        <f>IF(Table1[[#This Row],[stress_score]]&lt;=10, "Normal", IF(Table1[[#This Row],[stress_score]]&lt;=20, "Moderate", IF(Table1[[#This Row],[stress_score]]&lt;=30, "Severe", "Extremely Severe")))</f>
        <v>Moderate</v>
      </c>
      <c r="L690">
        <v>0.78414130000000004</v>
      </c>
      <c r="M690">
        <v>26</v>
      </c>
      <c r="N690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690">
        <v>1.3954502</v>
      </c>
      <c r="P690">
        <v>18.666665999999999</v>
      </c>
      <c r="Q690">
        <f>ROUND(Table1[[#This Row],[dass21_raw_score]],0)</f>
        <v>19</v>
      </c>
      <c r="R690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690">
        <v>0.72379740000000004</v>
      </c>
      <c r="T690">
        <v>1.8187072</v>
      </c>
      <c r="U690">
        <v>7500</v>
      </c>
      <c r="V690" s="1">
        <f>ROUND(Table1[[#This Row],[fmpce]],0)</f>
        <v>7500</v>
      </c>
      <c r="W690">
        <v>102.03498999999999</v>
      </c>
      <c r="X690" s="4">
        <f>Table1[[#This Row],[mpce]]*89</f>
        <v>9081.1141099999986</v>
      </c>
      <c r="Y690" s="2" t="s">
        <v>35</v>
      </c>
      <c r="Z690" s="3">
        <f>VLOOKUP(Y690, rmpce_reference!$B$1:$D$7,3,FALSE) * 89</f>
        <v>9790</v>
      </c>
      <c r="AA690" s="1" t="str">
        <f>IF(Table1[rmpce_inr]&lt;=rmpce_reference!$F$2, "Low Income", IF(Table1[rmpce_inr]&lt;=rmpce_reference!$F$3, "Middle Income", "High Income"))</f>
        <v>High Income</v>
      </c>
    </row>
    <row r="691" spans="1:27" x14ac:dyDescent="0.25">
      <c r="A691">
        <v>4029</v>
      </c>
      <c r="B691" t="s">
        <v>42</v>
      </c>
      <c r="C691" t="s">
        <v>29</v>
      </c>
      <c r="D691">
        <v>32</v>
      </c>
      <c r="E691" t="s">
        <v>25</v>
      </c>
      <c r="F691" t="s">
        <v>23</v>
      </c>
      <c r="G691">
        <v>24</v>
      </c>
      <c r="H691" s="1" t="str">
        <f>IF(Table1[[#This Row],[anxiety_score]]&lt;=10, "Normal", IF(Table1[[#This Row],[anxiety_score]]&lt;=20, "Moderate", IF(Table1[[#This Row],[anxiety_score]]&lt;=30, "Severe", "Extremely Severe")))</f>
        <v>Severe</v>
      </c>
      <c r="I691">
        <v>1.3991127999999999</v>
      </c>
      <c r="J691">
        <v>16</v>
      </c>
      <c r="K691" s="1" t="str">
        <f>IF(Table1[[#This Row],[stress_score]]&lt;=10, "Normal", IF(Table1[[#This Row],[stress_score]]&lt;=20, "Moderate", IF(Table1[[#This Row],[stress_score]]&lt;=30, "Severe", "Extremely Severe")))</f>
        <v>Moderate</v>
      </c>
      <c r="L691">
        <v>0.39481880000000003</v>
      </c>
      <c r="M691">
        <v>26</v>
      </c>
      <c r="N691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691">
        <v>1.3954502</v>
      </c>
      <c r="P691">
        <v>22</v>
      </c>
      <c r="Q691">
        <f>ROUND(Table1[[#This Row],[dass21_raw_score]],0)</f>
        <v>22</v>
      </c>
      <c r="R691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691">
        <v>1.0631273000000001</v>
      </c>
      <c r="T691">
        <v>2.1580371999999999</v>
      </c>
      <c r="U691">
        <v>20000</v>
      </c>
      <c r="V691" s="1">
        <f>ROUND(Table1[[#This Row],[fmpce]],0)</f>
        <v>20000</v>
      </c>
      <c r="W691">
        <v>272.0933</v>
      </c>
      <c r="X691" s="4">
        <f>Table1[[#This Row],[mpce]]*89</f>
        <v>24216.3037</v>
      </c>
      <c r="Y691" s="2" t="s">
        <v>35</v>
      </c>
      <c r="Z691" s="3">
        <f>VLOOKUP(Y691, rmpce_reference!$B$1:$D$7,3,FALSE) * 89</f>
        <v>9790</v>
      </c>
      <c r="AA691" s="1" t="str">
        <f>IF(Table1[rmpce_inr]&lt;=rmpce_reference!$F$2, "Low Income", IF(Table1[rmpce_inr]&lt;=rmpce_reference!$F$3, "Middle Income", "High Income"))</f>
        <v>High Income</v>
      </c>
    </row>
    <row r="692" spans="1:27" x14ac:dyDescent="0.25">
      <c r="A692">
        <v>4030</v>
      </c>
      <c r="B692" t="s">
        <v>42</v>
      </c>
      <c r="C692" t="s">
        <v>33</v>
      </c>
      <c r="D692">
        <v>25</v>
      </c>
      <c r="E692" t="s">
        <v>25</v>
      </c>
      <c r="F692" t="s">
        <v>26</v>
      </c>
      <c r="G692">
        <v>24</v>
      </c>
      <c r="H692" s="1" t="str">
        <f>IF(Table1[[#This Row],[anxiety_score]]&lt;=10, "Normal", IF(Table1[[#This Row],[anxiety_score]]&lt;=20, "Moderate", IF(Table1[[#This Row],[anxiety_score]]&lt;=30, "Severe", "Extremely Severe")))</f>
        <v>Severe</v>
      </c>
      <c r="I692">
        <v>1.3991127999999999</v>
      </c>
      <c r="J692">
        <v>22</v>
      </c>
      <c r="K692" s="1" t="str">
        <f>IF(Table1[[#This Row],[stress_score]]&lt;=10, "Normal", IF(Table1[[#This Row],[stress_score]]&lt;=20, "Moderate", IF(Table1[[#This Row],[stress_score]]&lt;=30, "Severe", "Extremely Severe")))</f>
        <v>Severe</v>
      </c>
      <c r="L692">
        <v>0.97880255999999999</v>
      </c>
      <c r="M692">
        <v>14</v>
      </c>
      <c r="N692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692">
        <v>0.23962580999999999</v>
      </c>
      <c r="P692">
        <v>20</v>
      </c>
      <c r="Q692">
        <f>ROUND(Table1[[#This Row],[dass21_raw_score]],0)</f>
        <v>20</v>
      </c>
      <c r="R692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692">
        <v>0.87251369999999995</v>
      </c>
      <c r="T692">
        <v>1.9674237000000001</v>
      </c>
      <c r="U692">
        <v>3750</v>
      </c>
      <c r="V692" s="1">
        <f>ROUND(Table1[[#This Row],[fmpce]],0)</f>
        <v>3750</v>
      </c>
      <c r="W692">
        <v>51.017493999999999</v>
      </c>
      <c r="X692" s="4">
        <f>Table1[[#This Row],[mpce]]*89</f>
        <v>4540.5569660000001</v>
      </c>
      <c r="Y692" s="2" t="s">
        <v>32</v>
      </c>
      <c r="Z692" s="3">
        <f>VLOOKUP(Y692, rmpce_reference!$B$1:$D$7,3,FALSE) * 89</f>
        <v>4450</v>
      </c>
      <c r="AA692" s="1" t="str">
        <f>IF(Table1[rmpce_inr]&lt;=rmpce_reference!$F$2, "Low Income", IF(Table1[rmpce_inr]&lt;=rmpce_reference!$F$3, "Middle Income", "High Income"))</f>
        <v>Low Income</v>
      </c>
    </row>
    <row r="693" spans="1:27" x14ac:dyDescent="0.25">
      <c r="A693">
        <v>4031</v>
      </c>
      <c r="B693" t="s">
        <v>42</v>
      </c>
      <c r="C693" t="s">
        <v>29</v>
      </c>
      <c r="D693">
        <v>35</v>
      </c>
      <c r="E693" t="s">
        <v>22</v>
      </c>
      <c r="F693" t="s">
        <v>23</v>
      </c>
      <c r="G693">
        <v>24</v>
      </c>
      <c r="H693" s="1" t="str">
        <f>IF(Table1[[#This Row],[anxiety_score]]&lt;=10, "Normal", IF(Table1[[#This Row],[anxiety_score]]&lt;=20, "Moderate", IF(Table1[[#This Row],[anxiety_score]]&lt;=30, "Severe", "Extremely Severe")))</f>
        <v>Severe</v>
      </c>
      <c r="I693">
        <v>1.3991127999999999</v>
      </c>
      <c r="J693">
        <v>14</v>
      </c>
      <c r="K693" s="1" t="str">
        <f>IF(Table1[[#This Row],[stress_score]]&lt;=10, "Normal", IF(Table1[[#This Row],[stress_score]]&lt;=20, "Moderate", IF(Table1[[#This Row],[stress_score]]&lt;=30, "Severe", "Extremely Severe")))</f>
        <v>Moderate</v>
      </c>
      <c r="L693">
        <v>0.20015757000000001</v>
      </c>
      <c r="M693">
        <v>20</v>
      </c>
      <c r="N693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693">
        <v>0.81753799999999999</v>
      </c>
      <c r="P693">
        <v>19.333334000000001</v>
      </c>
      <c r="Q693">
        <f>ROUND(Table1[[#This Row],[dass21_raw_score]],0)</f>
        <v>19</v>
      </c>
      <c r="R693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693">
        <v>0.80560279999999995</v>
      </c>
      <c r="T693">
        <v>1.9005126999999999</v>
      </c>
      <c r="U693">
        <v>3750</v>
      </c>
      <c r="V693" s="1">
        <f>ROUND(Table1[[#This Row],[fmpce]],0)</f>
        <v>3750</v>
      </c>
      <c r="W693">
        <v>51.017493999999999</v>
      </c>
      <c r="X693" s="4">
        <f>Table1[[#This Row],[mpce]]*89</f>
        <v>4540.5569660000001</v>
      </c>
      <c r="Y693" s="2" t="s">
        <v>32</v>
      </c>
      <c r="Z693" s="3">
        <f>VLOOKUP(Y693, rmpce_reference!$B$1:$D$7,3,FALSE) * 89</f>
        <v>4450</v>
      </c>
      <c r="AA693" s="1" t="str">
        <f>IF(Table1[rmpce_inr]&lt;=rmpce_reference!$F$2, "Low Income", IF(Table1[rmpce_inr]&lt;=rmpce_reference!$F$3, "Middle Income", "High Income"))</f>
        <v>Low Income</v>
      </c>
    </row>
    <row r="694" spans="1:27" x14ac:dyDescent="0.25">
      <c r="A694">
        <v>4032</v>
      </c>
      <c r="B694" t="s">
        <v>42</v>
      </c>
      <c r="C694" t="s">
        <v>29</v>
      </c>
      <c r="D694">
        <v>35</v>
      </c>
      <c r="E694" t="s">
        <v>22</v>
      </c>
      <c r="F694" t="s">
        <v>38</v>
      </c>
      <c r="G694">
        <v>24</v>
      </c>
      <c r="H694" s="1" t="str">
        <f>IF(Table1[[#This Row],[anxiety_score]]&lt;=10, "Normal", IF(Table1[[#This Row],[anxiety_score]]&lt;=20, "Moderate", IF(Table1[[#This Row],[anxiety_score]]&lt;=30, "Severe", "Extremely Severe")))</f>
        <v>Severe</v>
      </c>
      <c r="I694">
        <v>1.3991127999999999</v>
      </c>
      <c r="J694">
        <v>20</v>
      </c>
      <c r="K694" s="1" t="str">
        <f>IF(Table1[[#This Row],[stress_score]]&lt;=10, "Normal", IF(Table1[[#This Row],[stress_score]]&lt;=20, "Moderate", IF(Table1[[#This Row],[stress_score]]&lt;=30, "Severe", "Extremely Severe")))</f>
        <v>Moderate</v>
      </c>
      <c r="L694">
        <v>0.78414130000000004</v>
      </c>
      <c r="M694">
        <v>26</v>
      </c>
      <c r="N694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694">
        <v>1.3954502</v>
      </c>
      <c r="P694">
        <v>23.333334000000001</v>
      </c>
      <c r="Q694">
        <f>ROUND(Table1[[#This Row],[dass21_raw_score]],0)</f>
        <v>23</v>
      </c>
      <c r="R694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694">
        <v>1.1929015000000001</v>
      </c>
      <c r="T694">
        <v>2.2878113</v>
      </c>
      <c r="U694">
        <v>2500</v>
      </c>
      <c r="V694" s="1">
        <f>ROUND(Table1[[#This Row],[fmpce]],0)</f>
        <v>2500</v>
      </c>
      <c r="W694">
        <v>34.011659999999999</v>
      </c>
      <c r="X694" s="4">
        <f>Table1[[#This Row],[mpce]]*89</f>
        <v>3027.0377399999998</v>
      </c>
      <c r="Y694" s="2" t="s">
        <v>34</v>
      </c>
      <c r="Z694" s="3">
        <f>VLOOKUP(Y694, rmpce_reference!$B$1:$D$7,3,FALSE) * 89</f>
        <v>2848</v>
      </c>
      <c r="AA694" s="1" t="str">
        <f>IF(Table1[rmpce_inr]&lt;=rmpce_reference!$F$2, "Low Income", IF(Table1[rmpce_inr]&lt;=rmpce_reference!$F$3, "Middle Income", "High Income"))</f>
        <v>Low Income</v>
      </c>
    </row>
    <row r="695" spans="1:27" x14ac:dyDescent="0.25">
      <c r="A695">
        <v>4033</v>
      </c>
      <c r="B695" t="s">
        <v>42</v>
      </c>
      <c r="C695" t="s">
        <v>29</v>
      </c>
      <c r="D695">
        <v>34</v>
      </c>
      <c r="E695" t="s">
        <v>22</v>
      </c>
      <c r="F695" t="s">
        <v>23</v>
      </c>
      <c r="G695">
        <v>10</v>
      </c>
      <c r="H695" s="1" t="str">
        <f>IF(Table1[[#This Row],[anxiety_score]]&lt;=10, "Normal", IF(Table1[[#This Row],[anxiety_score]]&lt;=20, "Moderate", IF(Table1[[#This Row],[anxiety_score]]&lt;=30, "Severe", "Extremely Severe")))</f>
        <v>Normal</v>
      </c>
      <c r="I695">
        <v>-8.1994660000000007E-3</v>
      </c>
      <c r="J695">
        <v>16</v>
      </c>
      <c r="K695" s="1" t="str">
        <f>IF(Table1[[#This Row],[stress_score]]&lt;=10, "Normal", IF(Table1[[#This Row],[stress_score]]&lt;=20, "Moderate", IF(Table1[[#This Row],[stress_score]]&lt;=30, "Severe", "Extremely Severe")))</f>
        <v>Moderate</v>
      </c>
      <c r="L695">
        <v>0.39481880000000003</v>
      </c>
      <c r="M695">
        <v>14</v>
      </c>
      <c r="N695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695">
        <v>0.23962580999999999</v>
      </c>
      <c r="P695">
        <v>13.333333</v>
      </c>
      <c r="Q695">
        <f>ROUND(Table1[[#This Row],[dass21_raw_score]],0)</f>
        <v>13</v>
      </c>
      <c r="R695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695">
        <v>0.20874839000000001</v>
      </c>
      <c r="T695">
        <v>1.3036582000000001</v>
      </c>
      <c r="U695">
        <v>3750</v>
      </c>
      <c r="V695" s="1">
        <f>ROUND(Table1[[#This Row],[fmpce]],0)</f>
        <v>3750</v>
      </c>
      <c r="W695">
        <v>51.017493999999999</v>
      </c>
      <c r="X695" s="4">
        <f>Table1[[#This Row],[mpce]]*89</f>
        <v>4540.5569660000001</v>
      </c>
      <c r="Y695" s="2" t="s">
        <v>32</v>
      </c>
      <c r="Z695" s="3">
        <f>VLOOKUP(Y695, rmpce_reference!$B$1:$D$7,3,FALSE) * 89</f>
        <v>4450</v>
      </c>
      <c r="AA695" s="1" t="str">
        <f>IF(Table1[rmpce_inr]&lt;=rmpce_reference!$F$2, "Low Income", IF(Table1[rmpce_inr]&lt;=rmpce_reference!$F$3, "Middle Income", "High Income"))</f>
        <v>Low Income</v>
      </c>
    </row>
    <row r="696" spans="1:27" x14ac:dyDescent="0.25">
      <c r="A696">
        <v>4034</v>
      </c>
      <c r="B696" t="s">
        <v>42</v>
      </c>
      <c r="C696" t="s">
        <v>29</v>
      </c>
      <c r="D696">
        <v>37</v>
      </c>
      <c r="E696" t="s">
        <v>22</v>
      </c>
      <c r="F696" t="s">
        <v>23</v>
      </c>
      <c r="G696">
        <v>6</v>
      </c>
      <c r="H696" s="1" t="str">
        <f>IF(Table1[[#This Row],[anxiety_score]]&lt;=10, "Normal", IF(Table1[[#This Row],[anxiety_score]]&lt;=20, "Moderate", IF(Table1[[#This Row],[anxiety_score]]&lt;=30, "Severe", "Extremely Severe")))</f>
        <v>Normal</v>
      </c>
      <c r="I696">
        <v>-0.41028870000000001</v>
      </c>
      <c r="J696">
        <v>10</v>
      </c>
      <c r="K696" s="1" t="str">
        <f>IF(Table1[[#This Row],[stress_score]]&lt;=10, "Normal", IF(Table1[[#This Row],[stress_score]]&lt;=20, "Moderate", IF(Table1[[#This Row],[stress_score]]&lt;=30, "Severe", "Extremely Severe")))</f>
        <v>Normal</v>
      </c>
      <c r="L696">
        <v>-0.18916494</v>
      </c>
      <c r="M696">
        <v>10</v>
      </c>
      <c r="N696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696">
        <v>-0.14564899000000001</v>
      </c>
      <c r="P696">
        <v>8.6666670000000003</v>
      </c>
      <c r="Q696">
        <f>ROUND(Table1[[#This Row],[dass21_raw_score]],0)</f>
        <v>9</v>
      </c>
      <c r="R696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696">
        <v>-0.24836753</v>
      </c>
      <c r="T696">
        <v>0.84654236000000005</v>
      </c>
      <c r="U696">
        <v>25000</v>
      </c>
      <c r="V696" s="1">
        <f>ROUND(Table1[[#This Row],[fmpce]],0)</f>
        <v>25000</v>
      </c>
      <c r="W696">
        <v>340.11660000000001</v>
      </c>
      <c r="X696" s="4">
        <f>Table1[[#This Row],[mpce]]*89</f>
        <v>30270.377400000001</v>
      </c>
      <c r="Y696" s="2" t="s">
        <v>35</v>
      </c>
      <c r="Z696" s="3">
        <f>VLOOKUP(Y696, rmpce_reference!$B$1:$D$7,3,FALSE) * 89</f>
        <v>9790</v>
      </c>
      <c r="AA696" s="1" t="str">
        <f>IF(Table1[rmpce_inr]&lt;=rmpce_reference!$F$2, "Low Income", IF(Table1[rmpce_inr]&lt;=rmpce_reference!$F$3, "Middle Income", "High Income"))</f>
        <v>High Income</v>
      </c>
    </row>
    <row r="697" spans="1:27" x14ac:dyDescent="0.25">
      <c r="A697">
        <v>4035</v>
      </c>
      <c r="B697" t="s">
        <v>42</v>
      </c>
      <c r="C697" t="s">
        <v>33</v>
      </c>
      <c r="D697">
        <v>27</v>
      </c>
      <c r="E697" t="s">
        <v>22</v>
      </c>
      <c r="F697" t="s">
        <v>30</v>
      </c>
      <c r="G697">
        <v>14</v>
      </c>
      <c r="H697" s="1" t="str">
        <f>IF(Table1[[#This Row],[anxiety_score]]&lt;=10, "Normal", IF(Table1[[#This Row],[anxiety_score]]&lt;=20, "Moderate", IF(Table1[[#This Row],[anxiety_score]]&lt;=30, "Severe", "Extremely Severe")))</f>
        <v>Moderate</v>
      </c>
      <c r="I697">
        <v>0.39388975999999998</v>
      </c>
      <c r="J697">
        <v>10</v>
      </c>
      <c r="K697" s="1" t="str">
        <f>IF(Table1[[#This Row],[stress_score]]&lt;=10, "Normal", IF(Table1[[#This Row],[stress_score]]&lt;=20, "Moderate", IF(Table1[[#This Row],[stress_score]]&lt;=30, "Severe", "Extremely Severe")))</f>
        <v>Normal</v>
      </c>
      <c r="L697">
        <v>-0.18916494</v>
      </c>
      <c r="M697">
        <v>16</v>
      </c>
      <c r="N697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697">
        <v>0.43226320000000001</v>
      </c>
      <c r="P697">
        <v>13.333333</v>
      </c>
      <c r="Q697">
        <f>ROUND(Table1[[#This Row],[dass21_raw_score]],0)</f>
        <v>13</v>
      </c>
      <c r="R697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697">
        <v>0.21232934000000001</v>
      </c>
      <c r="T697">
        <v>1.3072393</v>
      </c>
      <c r="U697">
        <v>2500</v>
      </c>
      <c r="V697" s="1">
        <f>ROUND(Table1[[#This Row],[fmpce]],0)</f>
        <v>2500</v>
      </c>
      <c r="W697">
        <v>34.011659999999999</v>
      </c>
      <c r="X697" s="4">
        <f>Table1[[#This Row],[mpce]]*89</f>
        <v>3027.0377399999998</v>
      </c>
      <c r="Y697" s="2" t="s">
        <v>34</v>
      </c>
      <c r="Z697" s="3">
        <f>VLOOKUP(Y697, rmpce_reference!$B$1:$D$7,3,FALSE) * 89</f>
        <v>2848</v>
      </c>
      <c r="AA697" s="1" t="str">
        <f>IF(Table1[rmpce_inr]&lt;=rmpce_reference!$F$2, "Low Income", IF(Table1[rmpce_inr]&lt;=rmpce_reference!$F$3, "Middle Income", "High Income"))</f>
        <v>Low Income</v>
      </c>
    </row>
    <row r="698" spans="1:27" x14ac:dyDescent="0.25">
      <c r="A698">
        <v>4036</v>
      </c>
      <c r="B698" t="s">
        <v>42</v>
      </c>
      <c r="C698" t="s">
        <v>21</v>
      </c>
      <c r="D698">
        <v>45</v>
      </c>
      <c r="E698" t="s">
        <v>22</v>
      </c>
      <c r="F698" t="s">
        <v>30</v>
      </c>
      <c r="G698">
        <v>20</v>
      </c>
      <c r="H698" s="1" t="str">
        <f>IF(Table1[[#This Row],[anxiety_score]]&lt;=10, "Normal", IF(Table1[[#This Row],[anxiety_score]]&lt;=20, "Moderate", IF(Table1[[#This Row],[anxiety_score]]&lt;=30, "Severe", "Extremely Severe")))</f>
        <v>Moderate</v>
      </c>
      <c r="I698">
        <v>0.99702360000000001</v>
      </c>
      <c r="J698">
        <v>16</v>
      </c>
      <c r="K698" s="1" t="str">
        <f>IF(Table1[[#This Row],[stress_score]]&lt;=10, "Normal", IF(Table1[[#This Row],[stress_score]]&lt;=20, "Moderate", IF(Table1[[#This Row],[stress_score]]&lt;=30, "Severe", "Extremely Severe")))</f>
        <v>Moderate</v>
      </c>
      <c r="L698">
        <v>0.39481880000000003</v>
      </c>
      <c r="M698">
        <v>18</v>
      </c>
      <c r="N698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698">
        <v>0.62490060000000003</v>
      </c>
      <c r="P698">
        <v>18</v>
      </c>
      <c r="Q698">
        <f>ROUND(Table1[[#This Row],[dass21_raw_score]],0)</f>
        <v>18</v>
      </c>
      <c r="R698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698">
        <v>0.67224764999999997</v>
      </c>
      <c r="T698">
        <v>1.7671576</v>
      </c>
      <c r="U698">
        <v>2500</v>
      </c>
      <c r="V698" s="1">
        <f>ROUND(Table1[[#This Row],[fmpce]],0)</f>
        <v>2500</v>
      </c>
      <c r="W698">
        <v>34.011659999999999</v>
      </c>
      <c r="X698" s="4">
        <f>Table1[[#This Row],[mpce]]*89</f>
        <v>3027.0377399999998</v>
      </c>
      <c r="Y698" s="2" t="s">
        <v>34</v>
      </c>
      <c r="Z698" s="3">
        <f>VLOOKUP(Y698, rmpce_reference!$B$1:$D$7,3,FALSE) * 89</f>
        <v>2848</v>
      </c>
      <c r="AA698" s="1" t="str">
        <f>IF(Table1[rmpce_inr]&lt;=rmpce_reference!$F$2, "Low Income", IF(Table1[rmpce_inr]&lt;=rmpce_reference!$F$3, "Middle Income", "High Income"))</f>
        <v>Low Income</v>
      </c>
    </row>
    <row r="699" spans="1:27" x14ac:dyDescent="0.25">
      <c r="A699">
        <v>4037</v>
      </c>
      <c r="B699" t="s">
        <v>42</v>
      </c>
      <c r="C699" t="s">
        <v>29</v>
      </c>
      <c r="D699">
        <v>38</v>
      </c>
      <c r="E699" t="s">
        <v>22</v>
      </c>
      <c r="F699" t="s">
        <v>30</v>
      </c>
      <c r="G699">
        <v>6</v>
      </c>
      <c r="H699" s="1" t="str">
        <f>IF(Table1[[#This Row],[anxiety_score]]&lt;=10, "Normal", IF(Table1[[#This Row],[anxiety_score]]&lt;=20, "Moderate", IF(Table1[[#This Row],[anxiety_score]]&lt;=30, "Severe", "Extremely Severe")))</f>
        <v>Normal</v>
      </c>
      <c r="I699">
        <v>-0.41028870000000001</v>
      </c>
      <c r="J699">
        <v>10</v>
      </c>
      <c r="K699" s="1" t="str">
        <f>IF(Table1[[#This Row],[stress_score]]&lt;=10, "Normal", IF(Table1[[#This Row],[stress_score]]&lt;=20, "Moderate", IF(Table1[[#This Row],[stress_score]]&lt;=30, "Severe", "Extremely Severe")))</f>
        <v>Normal</v>
      </c>
      <c r="L699">
        <v>-0.18916494</v>
      </c>
      <c r="M699">
        <v>4</v>
      </c>
      <c r="N699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699">
        <v>-0.72356116999999998</v>
      </c>
      <c r="P699">
        <v>6.6666664999999998</v>
      </c>
      <c r="Q699">
        <f>ROUND(Table1[[#This Row],[dass21_raw_score]],0)</f>
        <v>7</v>
      </c>
      <c r="R699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699">
        <v>-0.44100493000000002</v>
      </c>
      <c r="T699">
        <v>0.65390499999999996</v>
      </c>
      <c r="U699">
        <v>5000</v>
      </c>
      <c r="V699" s="1">
        <f>ROUND(Table1[[#This Row],[fmpce]],0)</f>
        <v>5000</v>
      </c>
      <c r="W699">
        <v>68.023319999999998</v>
      </c>
      <c r="X699" s="4">
        <f>Table1[[#This Row],[mpce]]*89</f>
        <v>6054.0754799999995</v>
      </c>
      <c r="Y699" s="2" t="s">
        <v>28</v>
      </c>
      <c r="Z699" s="3">
        <f>VLOOKUP(Y699, rmpce_reference!$B$1:$D$7,3,FALSE) * 89</f>
        <v>6230</v>
      </c>
      <c r="AA699" s="1" t="str">
        <f>IF(Table1[rmpce_inr]&lt;=rmpce_reference!$F$2, "Low Income", IF(Table1[rmpce_inr]&lt;=rmpce_reference!$F$3, "Middle Income", "High Income"))</f>
        <v>Middle Income</v>
      </c>
    </row>
    <row r="700" spans="1:27" x14ac:dyDescent="0.25">
      <c r="A700">
        <v>4038</v>
      </c>
      <c r="B700" t="s">
        <v>42</v>
      </c>
      <c r="C700" t="s">
        <v>29</v>
      </c>
      <c r="D700">
        <v>36</v>
      </c>
      <c r="E700" t="s">
        <v>22</v>
      </c>
      <c r="F700" t="s">
        <v>30</v>
      </c>
      <c r="G700">
        <v>28</v>
      </c>
      <c r="H700" s="1" t="str">
        <f>IF(Table1[[#This Row],[anxiety_score]]&lt;=10, "Normal", IF(Table1[[#This Row],[anxiety_score]]&lt;=20, "Moderate", IF(Table1[[#This Row],[anxiety_score]]&lt;=30, "Severe", "Extremely Severe")))</f>
        <v>Severe</v>
      </c>
      <c r="I700">
        <v>1.801202</v>
      </c>
      <c r="J700">
        <v>24</v>
      </c>
      <c r="K700" s="1" t="str">
        <f>IF(Table1[[#This Row],[stress_score]]&lt;=10, "Normal", IF(Table1[[#This Row],[stress_score]]&lt;=20, "Moderate", IF(Table1[[#This Row],[stress_score]]&lt;=30, "Severe", "Extremely Severe")))</f>
        <v>Severe</v>
      </c>
      <c r="L700">
        <v>1.1734637999999999</v>
      </c>
      <c r="M700">
        <v>26</v>
      </c>
      <c r="N700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700">
        <v>1.3954502</v>
      </c>
      <c r="P700">
        <v>26</v>
      </c>
      <c r="Q700">
        <f>ROUND(Table1[[#This Row],[dass21_raw_score]],0)</f>
        <v>26</v>
      </c>
      <c r="R700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700">
        <v>1.4567053000000001</v>
      </c>
      <c r="T700">
        <v>2.5516152000000001</v>
      </c>
      <c r="U700">
        <v>1428.5714</v>
      </c>
      <c r="V700" s="1">
        <f>ROUND(Table1[[#This Row],[fmpce]],0)</f>
        <v>1429</v>
      </c>
      <c r="W700">
        <v>19.435236</v>
      </c>
      <c r="X700" s="4">
        <f>Table1[[#This Row],[mpce]]*89</f>
        <v>1729.7360039999999</v>
      </c>
      <c r="Y700" s="2" t="s">
        <v>24</v>
      </c>
      <c r="Z700" s="3">
        <f>VLOOKUP(Y700, rmpce_reference!$B$1:$D$7,3,FALSE) * 89</f>
        <v>2225</v>
      </c>
      <c r="AA700" s="1" t="str">
        <f>IF(Table1[rmpce_inr]&lt;=rmpce_reference!$F$2, "Low Income", IF(Table1[rmpce_inr]&lt;=rmpce_reference!$F$3, "Middle Income", "High Income"))</f>
        <v>Low Income</v>
      </c>
    </row>
    <row r="701" spans="1:27" x14ac:dyDescent="0.25">
      <c r="A701">
        <v>4039</v>
      </c>
      <c r="B701" t="s">
        <v>42</v>
      </c>
      <c r="C701" t="s">
        <v>21</v>
      </c>
      <c r="D701">
        <v>48</v>
      </c>
      <c r="E701" t="s">
        <v>22</v>
      </c>
      <c r="F701" t="s">
        <v>23</v>
      </c>
      <c r="G701">
        <v>2</v>
      </c>
      <c r="H701" s="1" t="str">
        <f>IF(Table1[[#This Row],[anxiety_score]]&lt;=10, "Normal", IF(Table1[[#This Row],[anxiety_score]]&lt;=20, "Moderate", IF(Table1[[#This Row],[anxiety_score]]&lt;=30, "Severe", "Extremely Severe")))</f>
        <v>Normal</v>
      </c>
      <c r="I701">
        <v>-0.81237789999999999</v>
      </c>
      <c r="J701">
        <v>2</v>
      </c>
      <c r="K701" s="1" t="str">
        <f>IF(Table1[[#This Row],[stress_score]]&lt;=10, "Normal", IF(Table1[[#This Row],[stress_score]]&lt;=20, "Moderate", IF(Table1[[#This Row],[stress_score]]&lt;=30, "Severe", "Extremely Severe")))</f>
        <v>Normal</v>
      </c>
      <c r="L701">
        <v>-0.9678099</v>
      </c>
      <c r="M701">
        <v>12</v>
      </c>
      <c r="N701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701">
        <v>4.6988415999999998E-2</v>
      </c>
      <c r="P701">
        <v>5.3333335000000002</v>
      </c>
      <c r="Q701">
        <f>ROUND(Table1[[#This Row],[dass21_raw_score]],0)</f>
        <v>5</v>
      </c>
      <c r="R701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701">
        <v>-0.57773315999999997</v>
      </c>
      <c r="T701">
        <v>0.51717674999999996</v>
      </c>
      <c r="U701">
        <v>7500</v>
      </c>
      <c r="V701" s="1">
        <f>ROUND(Table1[[#This Row],[fmpce]],0)</f>
        <v>7500</v>
      </c>
      <c r="W701">
        <v>102.03498999999999</v>
      </c>
      <c r="X701" s="4">
        <f>Table1[[#This Row],[mpce]]*89</f>
        <v>9081.1141099999986</v>
      </c>
      <c r="Y701" s="2" t="s">
        <v>35</v>
      </c>
      <c r="Z701" s="3">
        <f>VLOOKUP(Y701, rmpce_reference!$B$1:$D$7,3,FALSE) * 89</f>
        <v>9790</v>
      </c>
      <c r="AA701" s="1" t="str">
        <f>IF(Table1[rmpce_inr]&lt;=rmpce_reference!$F$2, "Low Income", IF(Table1[rmpce_inr]&lt;=rmpce_reference!$F$3, "Middle Income", "High Income"))</f>
        <v>High Income</v>
      </c>
    </row>
    <row r="702" spans="1:27" x14ac:dyDescent="0.25">
      <c r="A702">
        <v>4040</v>
      </c>
      <c r="B702" t="s">
        <v>42</v>
      </c>
      <c r="C702" t="s">
        <v>29</v>
      </c>
      <c r="D702">
        <v>37</v>
      </c>
      <c r="E702" t="s">
        <v>22</v>
      </c>
      <c r="F702" t="s">
        <v>23</v>
      </c>
      <c r="G702">
        <v>12</v>
      </c>
      <c r="H702" s="1" t="str">
        <f>IF(Table1[[#This Row],[anxiety_score]]&lt;=10, "Normal", IF(Table1[[#This Row],[anxiety_score]]&lt;=20, "Moderate", IF(Table1[[#This Row],[anxiety_score]]&lt;=30, "Severe", "Extremely Severe")))</f>
        <v>Moderate</v>
      </c>
      <c r="I702">
        <v>0.19284514999999999</v>
      </c>
      <c r="J702">
        <v>12</v>
      </c>
      <c r="K702" s="1" t="str">
        <f>IF(Table1[[#This Row],[stress_score]]&lt;=10, "Normal", IF(Table1[[#This Row],[stress_score]]&lt;=20, "Moderate", IF(Table1[[#This Row],[stress_score]]&lt;=30, "Severe", "Extremely Severe")))</f>
        <v>Moderate</v>
      </c>
      <c r="L702">
        <v>5.496318E-3</v>
      </c>
      <c r="M702">
        <v>8</v>
      </c>
      <c r="N702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702">
        <v>-0.33828637</v>
      </c>
      <c r="P702">
        <v>10.666667</v>
      </c>
      <c r="Q702">
        <f>ROUND(Table1[[#This Row],[dass21_raw_score]],0)</f>
        <v>11</v>
      </c>
      <c r="R702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702">
        <v>-4.6648299999999997E-2</v>
      </c>
      <c r="T702">
        <v>1.0482616</v>
      </c>
      <c r="U702">
        <v>3750</v>
      </c>
      <c r="V702" s="1">
        <f>ROUND(Table1[[#This Row],[fmpce]],0)</f>
        <v>3750</v>
      </c>
      <c r="W702">
        <v>51.017493999999999</v>
      </c>
      <c r="X702" s="4">
        <f>Table1[[#This Row],[mpce]]*89</f>
        <v>4540.5569660000001</v>
      </c>
      <c r="Y702" s="2" t="s">
        <v>32</v>
      </c>
      <c r="Z702" s="3">
        <f>VLOOKUP(Y702, rmpce_reference!$B$1:$D$7,3,FALSE) * 89</f>
        <v>4450</v>
      </c>
      <c r="AA702" s="1" t="str">
        <f>IF(Table1[rmpce_inr]&lt;=rmpce_reference!$F$2, "Low Income", IF(Table1[rmpce_inr]&lt;=rmpce_reference!$F$3, "Middle Income", "High Income"))</f>
        <v>Low Income</v>
      </c>
    </row>
    <row r="703" spans="1:27" x14ac:dyDescent="0.25">
      <c r="A703">
        <v>4041</v>
      </c>
      <c r="B703" t="s">
        <v>42</v>
      </c>
      <c r="C703" t="s">
        <v>33</v>
      </c>
      <c r="D703">
        <v>30</v>
      </c>
      <c r="E703" t="s">
        <v>22</v>
      </c>
      <c r="F703" t="s">
        <v>38</v>
      </c>
      <c r="G703">
        <v>24</v>
      </c>
      <c r="H703" s="1" t="str">
        <f>IF(Table1[[#This Row],[anxiety_score]]&lt;=10, "Normal", IF(Table1[[#This Row],[anxiety_score]]&lt;=20, "Moderate", IF(Table1[[#This Row],[anxiety_score]]&lt;=30, "Severe", "Extremely Severe")))</f>
        <v>Severe</v>
      </c>
      <c r="I703">
        <v>1.3991127999999999</v>
      </c>
      <c r="J703">
        <v>16</v>
      </c>
      <c r="K703" s="1" t="str">
        <f>IF(Table1[[#This Row],[stress_score]]&lt;=10, "Normal", IF(Table1[[#This Row],[stress_score]]&lt;=20, "Moderate", IF(Table1[[#This Row],[stress_score]]&lt;=30, "Severe", "Extremely Severe")))</f>
        <v>Moderate</v>
      </c>
      <c r="L703">
        <v>0.39481880000000003</v>
      </c>
      <c r="M703">
        <v>20</v>
      </c>
      <c r="N703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703">
        <v>0.81753799999999999</v>
      </c>
      <c r="P703">
        <v>20</v>
      </c>
      <c r="Q703">
        <f>ROUND(Table1[[#This Row],[dass21_raw_score]],0)</f>
        <v>20</v>
      </c>
      <c r="R703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703">
        <v>0.87048990000000004</v>
      </c>
      <c r="T703">
        <v>1.9653997000000001</v>
      </c>
      <c r="U703">
        <v>3333.3332999999998</v>
      </c>
      <c r="V703" s="1">
        <f>ROUND(Table1[[#This Row],[fmpce]],0)</f>
        <v>3333</v>
      </c>
      <c r="W703">
        <v>45.348880000000001</v>
      </c>
      <c r="X703" s="4">
        <f>Table1[[#This Row],[mpce]]*89</f>
        <v>4036.0503200000003</v>
      </c>
      <c r="Y703" s="2" t="s">
        <v>32</v>
      </c>
      <c r="Z703" s="3">
        <f>VLOOKUP(Y703, rmpce_reference!$B$1:$D$7,3,FALSE) * 89</f>
        <v>4450</v>
      </c>
      <c r="AA703" s="1" t="str">
        <f>IF(Table1[rmpce_inr]&lt;=rmpce_reference!$F$2, "Low Income", IF(Table1[rmpce_inr]&lt;=rmpce_reference!$F$3, "Middle Income", "High Income"))</f>
        <v>Low Income</v>
      </c>
    </row>
    <row r="704" spans="1:27" x14ac:dyDescent="0.25">
      <c r="A704">
        <v>4042</v>
      </c>
      <c r="B704" t="s">
        <v>42</v>
      </c>
      <c r="C704" t="s">
        <v>36</v>
      </c>
      <c r="D704">
        <v>55</v>
      </c>
      <c r="E704" t="s">
        <v>22</v>
      </c>
      <c r="F704" t="s">
        <v>23</v>
      </c>
      <c r="G704">
        <v>14</v>
      </c>
      <c r="H704" s="1" t="str">
        <f>IF(Table1[[#This Row],[anxiety_score]]&lt;=10, "Normal", IF(Table1[[#This Row],[anxiety_score]]&lt;=20, "Moderate", IF(Table1[[#This Row],[anxiety_score]]&lt;=30, "Severe", "Extremely Severe")))</f>
        <v>Moderate</v>
      </c>
      <c r="I704">
        <v>0.39388975999999998</v>
      </c>
      <c r="J704">
        <v>24</v>
      </c>
      <c r="K704" s="1" t="str">
        <f>IF(Table1[[#This Row],[stress_score]]&lt;=10, "Normal", IF(Table1[[#This Row],[stress_score]]&lt;=20, "Moderate", IF(Table1[[#This Row],[stress_score]]&lt;=30, "Severe", "Extremely Severe")))</f>
        <v>Severe</v>
      </c>
      <c r="L704">
        <v>1.1734637999999999</v>
      </c>
      <c r="M704">
        <v>14</v>
      </c>
      <c r="N704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704">
        <v>0.23962580999999999</v>
      </c>
      <c r="P704">
        <v>17.333334000000001</v>
      </c>
      <c r="Q704">
        <f>ROUND(Table1[[#This Row],[dass21_raw_score]],0)</f>
        <v>17</v>
      </c>
      <c r="R704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704">
        <v>0.60232644999999996</v>
      </c>
      <c r="T704">
        <v>1.6972362999999999</v>
      </c>
      <c r="U704">
        <v>3750</v>
      </c>
      <c r="V704" s="1">
        <f>ROUND(Table1[[#This Row],[fmpce]],0)</f>
        <v>3750</v>
      </c>
      <c r="W704">
        <v>51.017493999999999</v>
      </c>
      <c r="X704" s="4">
        <f>Table1[[#This Row],[mpce]]*89</f>
        <v>4540.5569660000001</v>
      </c>
      <c r="Y704" s="2" t="s">
        <v>32</v>
      </c>
      <c r="Z704" s="3">
        <f>VLOOKUP(Y704, rmpce_reference!$B$1:$D$7,3,FALSE) * 89</f>
        <v>4450</v>
      </c>
      <c r="AA704" s="1" t="str">
        <f>IF(Table1[rmpce_inr]&lt;=rmpce_reference!$F$2, "Low Income", IF(Table1[rmpce_inr]&lt;=rmpce_reference!$F$3, "Middle Income", "High Income"))</f>
        <v>Low Income</v>
      </c>
    </row>
    <row r="705" spans="1:27" x14ac:dyDescent="0.25">
      <c r="A705">
        <v>4043</v>
      </c>
      <c r="B705" t="s">
        <v>42</v>
      </c>
      <c r="C705" t="s">
        <v>33</v>
      </c>
      <c r="D705">
        <v>30</v>
      </c>
      <c r="E705" t="s">
        <v>22</v>
      </c>
      <c r="F705" t="s">
        <v>30</v>
      </c>
      <c r="G705">
        <v>10</v>
      </c>
      <c r="H705" s="1" t="str">
        <f>IF(Table1[[#This Row],[anxiety_score]]&lt;=10, "Normal", IF(Table1[[#This Row],[anxiety_score]]&lt;=20, "Moderate", IF(Table1[[#This Row],[anxiety_score]]&lt;=30, "Severe", "Extremely Severe")))</f>
        <v>Normal</v>
      </c>
      <c r="I705">
        <v>-8.1994660000000007E-3</v>
      </c>
      <c r="J705">
        <v>2</v>
      </c>
      <c r="K705" s="1" t="str">
        <f>IF(Table1[[#This Row],[stress_score]]&lt;=10, "Normal", IF(Table1[[#This Row],[stress_score]]&lt;=20, "Moderate", IF(Table1[[#This Row],[stress_score]]&lt;=30, "Severe", "Extremely Severe")))</f>
        <v>Normal</v>
      </c>
      <c r="L705">
        <v>-0.9678099</v>
      </c>
      <c r="M705">
        <v>8</v>
      </c>
      <c r="N705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705">
        <v>-0.33828637</v>
      </c>
      <c r="P705">
        <v>6.6666664999999998</v>
      </c>
      <c r="Q705">
        <f>ROUND(Table1[[#This Row],[dass21_raw_score]],0)</f>
        <v>7</v>
      </c>
      <c r="R705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705">
        <v>-0.43809858000000002</v>
      </c>
      <c r="T705">
        <v>0.65681135999999996</v>
      </c>
      <c r="U705">
        <v>15000</v>
      </c>
      <c r="V705" s="1">
        <f>ROUND(Table1[[#This Row],[fmpce]],0)</f>
        <v>15000</v>
      </c>
      <c r="W705">
        <v>204.06997999999999</v>
      </c>
      <c r="X705" s="4">
        <f>Table1[[#This Row],[mpce]]*89</f>
        <v>18162.228219999997</v>
      </c>
      <c r="Y705" s="2" t="s">
        <v>35</v>
      </c>
      <c r="Z705" s="3">
        <f>VLOOKUP(Y705, rmpce_reference!$B$1:$D$7,3,FALSE) * 89</f>
        <v>9790</v>
      </c>
      <c r="AA705" s="1" t="str">
        <f>IF(Table1[rmpce_inr]&lt;=rmpce_reference!$F$2, "Low Income", IF(Table1[rmpce_inr]&lt;=rmpce_reference!$F$3, "Middle Income", "High Income"))</f>
        <v>High Income</v>
      </c>
    </row>
    <row r="706" spans="1:27" x14ac:dyDescent="0.25">
      <c r="A706">
        <v>4044</v>
      </c>
      <c r="B706" t="s">
        <v>42</v>
      </c>
      <c r="C706" t="s">
        <v>29</v>
      </c>
      <c r="D706">
        <v>32</v>
      </c>
      <c r="E706" t="s">
        <v>22</v>
      </c>
      <c r="F706" t="s">
        <v>30</v>
      </c>
      <c r="G706">
        <v>10</v>
      </c>
      <c r="H706" s="1" t="str">
        <f>IF(Table1[[#This Row],[anxiety_score]]&lt;=10, "Normal", IF(Table1[[#This Row],[anxiety_score]]&lt;=20, "Moderate", IF(Table1[[#This Row],[anxiety_score]]&lt;=30, "Severe", "Extremely Severe")))</f>
        <v>Normal</v>
      </c>
      <c r="I706">
        <v>-8.1994660000000007E-3</v>
      </c>
      <c r="J706">
        <v>4</v>
      </c>
      <c r="K706" s="1" t="str">
        <f>IF(Table1[[#This Row],[stress_score]]&lt;=10, "Normal", IF(Table1[[#This Row],[stress_score]]&lt;=20, "Moderate", IF(Table1[[#This Row],[stress_score]]&lt;=30, "Severe", "Extremely Severe")))</f>
        <v>Normal</v>
      </c>
      <c r="L706">
        <v>-0.77314866000000004</v>
      </c>
      <c r="M706">
        <v>6</v>
      </c>
      <c r="N706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706">
        <v>-0.53092379999999995</v>
      </c>
      <c r="P706">
        <v>6.6666664999999998</v>
      </c>
      <c r="Q706">
        <f>ROUND(Table1[[#This Row],[dass21_raw_score]],0)</f>
        <v>7</v>
      </c>
      <c r="R706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706">
        <v>-0.43742397</v>
      </c>
      <c r="T706">
        <v>0.65748596000000004</v>
      </c>
      <c r="U706">
        <v>3333.3332999999998</v>
      </c>
      <c r="V706" s="1">
        <f>ROUND(Table1[[#This Row],[fmpce]],0)</f>
        <v>3333</v>
      </c>
      <c r="W706">
        <v>45.348880000000001</v>
      </c>
      <c r="X706" s="4">
        <f>Table1[[#This Row],[mpce]]*89</f>
        <v>4036.0503200000003</v>
      </c>
      <c r="Y706" s="2" t="s">
        <v>32</v>
      </c>
      <c r="Z706" s="3">
        <f>VLOOKUP(Y706, rmpce_reference!$B$1:$D$7,3,FALSE) * 89</f>
        <v>4450</v>
      </c>
      <c r="AA706" s="1" t="str">
        <f>IF(Table1[rmpce_inr]&lt;=rmpce_reference!$F$2, "Low Income", IF(Table1[rmpce_inr]&lt;=rmpce_reference!$F$3, "Middle Income", "High Income"))</f>
        <v>Low Income</v>
      </c>
    </row>
    <row r="707" spans="1:27" x14ac:dyDescent="0.25">
      <c r="A707">
        <v>4045</v>
      </c>
      <c r="B707" t="s">
        <v>42</v>
      </c>
      <c r="C707" t="s">
        <v>29</v>
      </c>
      <c r="D707">
        <v>38</v>
      </c>
      <c r="E707" t="s">
        <v>22</v>
      </c>
      <c r="F707" t="s">
        <v>23</v>
      </c>
      <c r="G707">
        <v>24</v>
      </c>
      <c r="H707" s="1" t="str">
        <f>IF(Table1[[#This Row],[anxiety_score]]&lt;=10, "Normal", IF(Table1[[#This Row],[anxiety_score]]&lt;=20, "Moderate", IF(Table1[[#This Row],[anxiety_score]]&lt;=30, "Severe", "Extremely Severe")))</f>
        <v>Severe</v>
      </c>
      <c r="I707">
        <v>1.3991127999999999</v>
      </c>
      <c r="J707">
        <v>16</v>
      </c>
      <c r="K707" s="1" t="str">
        <f>IF(Table1[[#This Row],[stress_score]]&lt;=10, "Normal", IF(Table1[[#This Row],[stress_score]]&lt;=20, "Moderate", IF(Table1[[#This Row],[stress_score]]&lt;=30, "Severe", "Extremely Severe")))</f>
        <v>Moderate</v>
      </c>
      <c r="L707">
        <v>0.39481880000000003</v>
      </c>
      <c r="M707">
        <v>20</v>
      </c>
      <c r="N707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707">
        <v>0.81753799999999999</v>
      </c>
      <c r="P707">
        <v>20</v>
      </c>
      <c r="Q707">
        <f>ROUND(Table1[[#This Row],[dass21_raw_score]],0)</f>
        <v>20</v>
      </c>
      <c r="R707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707">
        <v>0.87048990000000004</v>
      </c>
      <c r="T707">
        <v>1.9653997000000001</v>
      </c>
      <c r="U707">
        <v>6250</v>
      </c>
      <c r="V707" s="1">
        <f>ROUND(Table1[[#This Row],[fmpce]],0)</f>
        <v>6250</v>
      </c>
      <c r="W707">
        <v>85.029150000000001</v>
      </c>
      <c r="X707" s="4">
        <f>Table1[[#This Row],[mpce]]*89</f>
        <v>7567.5943500000003</v>
      </c>
      <c r="Y707" s="2" t="s">
        <v>31</v>
      </c>
      <c r="Z707" s="3">
        <f>VLOOKUP(Y707, rmpce_reference!$B$1:$D$7,3,FALSE) * 89</f>
        <v>8010</v>
      </c>
      <c r="AA707" s="1" t="str">
        <f>IF(Table1[rmpce_inr]&lt;=rmpce_reference!$F$2, "Low Income", IF(Table1[rmpce_inr]&lt;=rmpce_reference!$F$3, "Middle Income", "High Income"))</f>
        <v>High Income</v>
      </c>
    </row>
    <row r="708" spans="1:27" x14ac:dyDescent="0.25">
      <c r="A708">
        <v>4046</v>
      </c>
      <c r="B708" t="s">
        <v>42</v>
      </c>
      <c r="C708" t="s">
        <v>29</v>
      </c>
      <c r="D708">
        <v>32</v>
      </c>
      <c r="E708" t="s">
        <v>22</v>
      </c>
      <c r="F708" t="s">
        <v>30</v>
      </c>
      <c r="G708">
        <v>8</v>
      </c>
      <c r="H708" s="1" t="str">
        <f>IF(Table1[[#This Row],[anxiety_score]]&lt;=10, "Normal", IF(Table1[[#This Row],[anxiety_score]]&lt;=20, "Moderate", IF(Table1[[#This Row],[anxiety_score]]&lt;=30, "Severe", "Extremely Severe")))</f>
        <v>Normal</v>
      </c>
      <c r="I708">
        <v>-0.20924408999999999</v>
      </c>
      <c r="J708">
        <v>6</v>
      </c>
      <c r="K708" s="1" t="str">
        <f>IF(Table1[[#This Row],[stress_score]]&lt;=10, "Normal", IF(Table1[[#This Row],[stress_score]]&lt;=20, "Moderate", IF(Table1[[#This Row],[stress_score]]&lt;=30, "Severe", "Extremely Severe")))</f>
        <v>Normal</v>
      </c>
      <c r="L708">
        <v>-0.57848745999999995</v>
      </c>
      <c r="M708">
        <v>4</v>
      </c>
      <c r="N708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708">
        <v>-0.72356116999999998</v>
      </c>
      <c r="P708">
        <v>6</v>
      </c>
      <c r="Q708">
        <f>ROUND(Table1[[#This Row],[dass21_raw_score]],0)</f>
        <v>6</v>
      </c>
      <c r="R708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708">
        <v>-0.5037642</v>
      </c>
      <c r="T708">
        <v>0.5911457</v>
      </c>
      <c r="U708">
        <v>5000</v>
      </c>
      <c r="V708" s="1">
        <f>ROUND(Table1[[#This Row],[fmpce]],0)</f>
        <v>5000</v>
      </c>
      <c r="W708">
        <v>68.023319999999998</v>
      </c>
      <c r="X708" s="4">
        <f>Table1[[#This Row],[mpce]]*89</f>
        <v>6054.0754799999995</v>
      </c>
      <c r="Y708" s="2" t="s">
        <v>28</v>
      </c>
      <c r="Z708" s="3">
        <f>VLOOKUP(Y708, rmpce_reference!$B$1:$D$7,3,FALSE) * 89</f>
        <v>6230</v>
      </c>
      <c r="AA708" s="1" t="str">
        <f>IF(Table1[rmpce_inr]&lt;=rmpce_reference!$F$2, "Low Income", IF(Table1[rmpce_inr]&lt;=rmpce_reference!$F$3, "Middle Income", "High Income"))</f>
        <v>Middle Income</v>
      </c>
    </row>
    <row r="709" spans="1:27" x14ac:dyDescent="0.25">
      <c r="A709">
        <v>4047</v>
      </c>
      <c r="B709" t="s">
        <v>42</v>
      </c>
      <c r="C709" t="s">
        <v>21</v>
      </c>
      <c r="D709">
        <v>44</v>
      </c>
      <c r="E709" t="s">
        <v>22</v>
      </c>
      <c r="F709" t="s">
        <v>23</v>
      </c>
      <c r="G709">
        <v>2</v>
      </c>
      <c r="H709" s="1" t="str">
        <f>IF(Table1[[#This Row],[anxiety_score]]&lt;=10, "Normal", IF(Table1[[#This Row],[anxiety_score]]&lt;=20, "Moderate", IF(Table1[[#This Row],[anxiety_score]]&lt;=30, "Severe", "Extremely Severe")))</f>
        <v>Normal</v>
      </c>
      <c r="I709">
        <v>-0.81237789999999999</v>
      </c>
      <c r="J709">
        <v>2</v>
      </c>
      <c r="K709" s="1" t="str">
        <f>IF(Table1[[#This Row],[stress_score]]&lt;=10, "Normal", IF(Table1[[#This Row],[stress_score]]&lt;=20, "Moderate", IF(Table1[[#This Row],[stress_score]]&lt;=30, "Severe", "Extremely Severe")))</f>
        <v>Normal</v>
      </c>
      <c r="L709">
        <v>-0.9678099</v>
      </c>
      <c r="M709">
        <v>0</v>
      </c>
      <c r="N709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709">
        <v>-1.1088359000000001</v>
      </c>
      <c r="P709">
        <v>1.3333333999999999</v>
      </c>
      <c r="Q709">
        <f>ROUND(Table1[[#This Row],[dass21_raw_score]],0)</f>
        <v>1</v>
      </c>
      <c r="R709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709">
        <v>-0.96300790000000003</v>
      </c>
      <c r="T709">
        <v>0.13190198</v>
      </c>
      <c r="U709">
        <v>5000</v>
      </c>
      <c r="V709" s="1">
        <f>ROUND(Table1[[#This Row],[fmpce]],0)</f>
        <v>5000</v>
      </c>
      <c r="W709">
        <v>68.023319999999998</v>
      </c>
      <c r="X709" s="4">
        <f>Table1[[#This Row],[mpce]]*89</f>
        <v>6054.0754799999995</v>
      </c>
      <c r="Y709" s="2" t="s">
        <v>28</v>
      </c>
      <c r="Z709" s="3">
        <f>VLOOKUP(Y709, rmpce_reference!$B$1:$D$7,3,FALSE) * 89</f>
        <v>6230</v>
      </c>
      <c r="AA709" s="1" t="str">
        <f>IF(Table1[rmpce_inr]&lt;=rmpce_reference!$F$2, "Low Income", IF(Table1[rmpce_inr]&lt;=rmpce_reference!$F$3, "Middle Income", "High Income"))</f>
        <v>Middle Income</v>
      </c>
    </row>
    <row r="710" spans="1:27" x14ac:dyDescent="0.25">
      <c r="A710">
        <v>4048</v>
      </c>
      <c r="B710" t="s">
        <v>42</v>
      </c>
      <c r="C710" t="s">
        <v>29</v>
      </c>
      <c r="D710">
        <v>32</v>
      </c>
      <c r="E710" t="s">
        <v>22</v>
      </c>
      <c r="F710" t="s">
        <v>30</v>
      </c>
      <c r="G710">
        <v>16</v>
      </c>
      <c r="H710" s="1" t="str">
        <f>IF(Table1[[#This Row],[anxiety_score]]&lt;=10, "Normal", IF(Table1[[#This Row],[anxiety_score]]&lt;=20, "Moderate", IF(Table1[[#This Row],[anxiety_score]]&lt;=30, "Severe", "Extremely Severe")))</f>
        <v>Moderate</v>
      </c>
      <c r="I710">
        <v>0.59493434000000001</v>
      </c>
      <c r="J710">
        <v>12</v>
      </c>
      <c r="K710" s="1" t="str">
        <f>IF(Table1[[#This Row],[stress_score]]&lt;=10, "Normal", IF(Table1[[#This Row],[stress_score]]&lt;=20, "Moderate", IF(Table1[[#This Row],[stress_score]]&lt;=30, "Severe", "Extremely Severe")))</f>
        <v>Moderate</v>
      </c>
      <c r="L710">
        <v>5.496318E-3</v>
      </c>
      <c r="M710">
        <v>20</v>
      </c>
      <c r="N710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710">
        <v>0.81753799999999999</v>
      </c>
      <c r="P710">
        <v>16</v>
      </c>
      <c r="Q710">
        <f>ROUND(Table1[[#This Row],[dass21_raw_score]],0)</f>
        <v>16</v>
      </c>
      <c r="R710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710">
        <v>0.47265622000000002</v>
      </c>
      <c r="T710">
        <v>1.5675661999999999</v>
      </c>
      <c r="U710">
        <v>5000</v>
      </c>
      <c r="V710" s="1">
        <f>ROUND(Table1[[#This Row],[fmpce]],0)</f>
        <v>5000</v>
      </c>
      <c r="W710">
        <v>68.023319999999998</v>
      </c>
      <c r="X710" s="4">
        <f>Table1[[#This Row],[mpce]]*89</f>
        <v>6054.0754799999995</v>
      </c>
      <c r="Y710" s="2" t="s">
        <v>28</v>
      </c>
      <c r="Z710" s="3">
        <f>VLOOKUP(Y710, rmpce_reference!$B$1:$D$7,3,FALSE) * 89</f>
        <v>6230</v>
      </c>
      <c r="AA710" s="1" t="str">
        <f>IF(Table1[rmpce_inr]&lt;=rmpce_reference!$F$2, "Low Income", IF(Table1[rmpce_inr]&lt;=rmpce_reference!$F$3, "Middle Income", "High Income"))</f>
        <v>Middle Income</v>
      </c>
    </row>
    <row r="711" spans="1:27" x14ac:dyDescent="0.25">
      <c r="A711">
        <v>4049</v>
      </c>
      <c r="B711" t="s">
        <v>42</v>
      </c>
      <c r="C711" t="s">
        <v>33</v>
      </c>
      <c r="D711">
        <v>29</v>
      </c>
      <c r="E711" t="s">
        <v>22</v>
      </c>
      <c r="F711" t="s">
        <v>23</v>
      </c>
      <c r="G711">
        <v>2</v>
      </c>
      <c r="H711" s="1" t="str">
        <f>IF(Table1[[#This Row],[anxiety_score]]&lt;=10, "Normal", IF(Table1[[#This Row],[anxiety_score]]&lt;=20, "Moderate", IF(Table1[[#This Row],[anxiety_score]]&lt;=30, "Severe", "Extremely Severe")))</f>
        <v>Normal</v>
      </c>
      <c r="I711">
        <v>-0.81237789999999999</v>
      </c>
      <c r="J711">
        <v>2</v>
      </c>
      <c r="K711" s="1" t="str">
        <f>IF(Table1[[#This Row],[stress_score]]&lt;=10, "Normal", IF(Table1[[#This Row],[stress_score]]&lt;=20, "Moderate", IF(Table1[[#This Row],[stress_score]]&lt;=30, "Severe", "Extremely Severe")))</f>
        <v>Normal</v>
      </c>
      <c r="L711">
        <v>-0.9678099</v>
      </c>
      <c r="M711">
        <v>2</v>
      </c>
      <c r="N711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711">
        <v>-0.91619854999999994</v>
      </c>
      <c r="P711">
        <v>2</v>
      </c>
      <c r="Q711">
        <f>ROUND(Table1[[#This Row],[dass21_raw_score]],0)</f>
        <v>2</v>
      </c>
      <c r="R711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711">
        <v>-0.89879549999999997</v>
      </c>
      <c r="T711">
        <v>0.19611442000000001</v>
      </c>
      <c r="U711">
        <v>5000</v>
      </c>
      <c r="V711" s="1">
        <f>ROUND(Table1[[#This Row],[fmpce]],0)</f>
        <v>5000</v>
      </c>
      <c r="W711">
        <v>68.023319999999998</v>
      </c>
      <c r="X711" s="4">
        <f>Table1[[#This Row],[mpce]]*89</f>
        <v>6054.0754799999995</v>
      </c>
      <c r="Y711" s="2" t="s">
        <v>28</v>
      </c>
      <c r="Z711" s="3">
        <f>VLOOKUP(Y711, rmpce_reference!$B$1:$D$7,3,FALSE) * 89</f>
        <v>6230</v>
      </c>
      <c r="AA711" s="1" t="str">
        <f>IF(Table1[rmpce_inr]&lt;=rmpce_reference!$F$2, "Low Income", IF(Table1[rmpce_inr]&lt;=rmpce_reference!$F$3, "Middle Income", "High Income"))</f>
        <v>Middle Income</v>
      </c>
    </row>
    <row r="712" spans="1:27" x14ac:dyDescent="0.25">
      <c r="A712">
        <v>4050</v>
      </c>
      <c r="B712" t="s">
        <v>42</v>
      </c>
      <c r="C712" t="s">
        <v>36</v>
      </c>
      <c r="D712">
        <v>53</v>
      </c>
      <c r="E712" t="s">
        <v>22</v>
      </c>
      <c r="F712" t="s">
        <v>30</v>
      </c>
      <c r="G712">
        <v>4</v>
      </c>
      <c r="H712" s="1" t="str">
        <f>IF(Table1[[#This Row],[anxiety_score]]&lt;=10, "Normal", IF(Table1[[#This Row],[anxiety_score]]&lt;=20, "Moderate", IF(Table1[[#This Row],[anxiety_score]]&lt;=30, "Severe", "Extremely Severe")))</f>
        <v>Normal</v>
      </c>
      <c r="I712">
        <v>-0.61133329999999997</v>
      </c>
      <c r="J712">
        <v>4</v>
      </c>
      <c r="K712" s="1" t="str">
        <f>IF(Table1[[#This Row],[stress_score]]&lt;=10, "Normal", IF(Table1[[#This Row],[stress_score]]&lt;=20, "Moderate", IF(Table1[[#This Row],[stress_score]]&lt;=30, "Severe", "Extremely Severe")))</f>
        <v>Normal</v>
      </c>
      <c r="L712">
        <v>-0.77314866000000004</v>
      </c>
      <c r="M712">
        <v>2</v>
      </c>
      <c r="N712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712">
        <v>-0.91619854999999994</v>
      </c>
      <c r="P712">
        <v>3.3333333000000001</v>
      </c>
      <c r="Q712">
        <f>ROUND(Table1[[#This Row],[dass21_raw_score]],0)</f>
        <v>3</v>
      </c>
      <c r="R712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712">
        <v>-0.76689350000000001</v>
      </c>
      <c r="T712">
        <v>0.32801639999999999</v>
      </c>
      <c r="U712">
        <v>3000</v>
      </c>
      <c r="V712" s="1">
        <f>ROUND(Table1[[#This Row],[fmpce]],0)</f>
        <v>3000</v>
      </c>
      <c r="W712">
        <v>40.813994999999998</v>
      </c>
      <c r="X712" s="4">
        <f>Table1[[#This Row],[mpce]]*89</f>
        <v>3632.4455549999998</v>
      </c>
      <c r="Y712" s="2" t="s">
        <v>32</v>
      </c>
      <c r="Z712" s="3">
        <f>VLOOKUP(Y712, rmpce_reference!$B$1:$D$7,3,FALSE) * 89</f>
        <v>4450</v>
      </c>
      <c r="AA712" s="1" t="str">
        <f>IF(Table1[rmpce_inr]&lt;=rmpce_reference!$F$2, "Low Income", IF(Table1[rmpce_inr]&lt;=rmpce_reference!$F$3, "Middle Income", "High Income"))</f>
        <v>Low Income</v>
      </c>
    </row>
    <row r="713" spans="1:27" x14ac:dyDescent="0.25">
      <c r="A713">
        <v>4051</v>
      </c>
      <c r="B713" t="s">
        <v>42</v>
      </c>
      <c r="C713" t="s">
        <v>33</v>
      </c>
      <c r="D713">
        <v>30</v>
      </c>
      <c r="E713" t="s">
        <v>22</v>
      </c>
      <c r="F713" t="s">
        <v>38</v>
      </c>
      <c r="G713">
        <v>32</v>
      </c>
      <c r="H713" s="1" t="str">
        <f>IF(Table1[[#This Row],[anxiety_score]]&lt;=10, "Normal", IF(Table1[[#This Row],[anxiety_score]]&lt;=20, "Moderate", IF(Table1[[#This Row],[anxiety_score]]&lt;=30, "Severe", "Extremely Severe")))</f>
        <v>Extremely Severe</v>
      </c>
      <c r="I713">
        <v>2.2032911999999998</v>
      </c>
      <c r="J713">
        <v>16</v>
      </c>
      <c r="K713" s="1" t="str">
        <f>IF(Table1[[#This Row],[stress_score]]&lt;=10, "Normal", IF(Table1[[#This Row],[stress_score]]&lt;=20, "Moderate", IF(Table1[[#This Row],[stress_score]]&lt;=30, "Severe", "Extremely Severe")))</f>
        <v>Moderate</v>
      </c>
      <c r="L713">
        <v>0.39481880000000003</v>
      </c>
      <c r="M713">
        <v>18</v>
      </c>
      <c r="N713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713">
        <v>0.62490060000000003</v>
      </c>
      <c r="P713">
        <v>22</v>
      </c>
      <c r="Q713">
        <f>ROUND(Table1[[#This Row],[dass21_raw_score]],0)</f>
        <v>22</v>
      </c>
      <c r="R713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713">
        <v>1.0743369</v>
      </c>
      <c r="T713">
        <v>2.1692467</v>
      </c>
      <c r="U713">
        <v>2500</v>
      </c>
      <c r="V713" s="1">
        <f>ROUND(Table1[[#This Row],[fmpce]],0)</f>
        <v>2500</v>
      </c>
      <c r="W713">
        <v>34.011659999999999</v>
      </c>
      <c r="X713" s="4">
        <f>Table1[[#This Row],[mpce]]*89</f>
        <v>3027.0377399999998</v>
      </c>
      <c r="Y713" s="2" t="s">
        <v>34</v>
      </c>
      <c r="Z713" s="3">
        <f>VLOOKUP(Y713, rmpce_reference!$B$1:$D$7,3,FALSE) * 89</f>
        <v>2848</v>
      </c>
      <c r="AA713" s="1" t="str">
        <f>IF(Table1[rmpce_inr]&lt;=rmpce_reference!$F$2, "Low Income", IF(Table1[rmpce_inr]&lt;=rmpce_reference!$F$3, "Middle Income", "High Income"))</f>
        <v>Low Income</v>
      </c>
    </row>
    <row r="714" spans="1:27" x14ac:dyDescent="0.25">
      <c r="A714">
        <v>4052</v>
      </c>
      <c r="B714" t="s">
        <v>42</v>
      </c>
      <c r="C714" t="s">
        <v>33</v>
      </c>
      <c r="D714">
        <v>30</v>
      </c>
      <c r="E714" t="s">
        <v>22</v>
      </c>
      <c r="F714" t="s">
        <v>30</v>
      </c>
      <c r="G714">
        <v>2</v>
      </c>
      <c r="H714" s="1" t="str">
        <f>IF(Table1[[#This Row],[anxiety_score]]&lt;=10, "Normal", IF(Table1[[#This Row],[anxiety_score]]&lt;=20, "Moderate", IF(Table1[[#This Row],[anxiety_score]]&lt;=30, "Severe", "Extremely Severe")))</f>
        <v>Normal</v>
      </c>
      <c r="I714">
        <v>-0.81237789999999999</v>
      </c>
      <c r="J714">
        <v>4</v>
      </c>
      <c r="K714" s="1" t="str">
        <f>IF(Table1[[#This Row],[stress_score]]&lt;=10, "Normal", IF(Table1[[#This Row],[stress_score]]&lt;=20, "Moderate", IF(Table1[[#This Row],[stress_score]]&lt;=30, "Severe", "Extremely Severe")))</f>
        <v>Normal</v>
      </c>
      <c r="L714">
        <v>-0.77314866000000004</v>
      </c>
      <c r="M714">
        <v>4</v>
      </c>
      <c r="N714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714">
        <v>-0.72356116999999998</v>
      </c>
      <c r="P714">
        <v>3.3333333000000001</v>
      </c>
      <c r="Q714">
        <f>ROUND(Table1[[#This Row],[dass21_raw_score]],0)</f>
        <v>3</v>
      </c>
      <c r="R714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714">
        <v>-0.76969593999999997</v>
      </c>
      <c r="T714">
        <v>0.32521397000000002</v>
      </c>
      <c r="U714">
        <v>4166.6665000000003</v>
      </c>
      <c r="V714" s="1">
        <f>ROUND(Table1[[#This Row],[fmpce]],0)</f>
        <v>4167</v>
      </c>
      <c r="W714">
        <v>56.686100000000003</v>
      </c>
      <c r="X714" s="4">
        <f>Table1[[#This Row],[mpce]]*89</f>
        <v>5045.0628999999999</v>
      </c>
      <c r="Y714" s="2" t="s">
        <v>32</v>
      </c>
      <c r="Z714" s="3">
        <f>VLOOKUP(Y714, rmpce_reference!$B$1:$D$7,3,FALSE) * 89</f>
        <v>4450</v>
      </c>
      <c r="AA714" s="1" t="str">
        <f>IF(Table1[rmpce_inr]&lt;=rmpce_reference!$F$2, "Low Income", IF(Table1[rmpce_inr]&lt;=rmpce_reference!$F$3, "Middle Income", "High Income"))</f>
        <v>Low Income</v>
      </c>
    </row>
    <row r="715" spans="1:27" x14ac:dyDescent="0.25">
      <c r="A715">
        <v>4053</v>
      </c>
      <c r="B715" t="s">
        <v>42</v>
      </c>
      <c r="C715" t="s">
        <v>29</v>
      </c>
      <c r="D715">
        <v>31</v>
      </c>
      <c r="E715" t="s">
        <v>22</v>
      </c>
      <c r="F715" t="s">
        <v>23</v>
      </c>
      <c r="G715">
        <v>16</v>
      </c>
      <c r="H715" s="1" t="str">
        <f>IF(Table1[[#This Row],[anxiety_score]]&lt;=10, "Normal", IF(Table1[[#This Row],[anxiety_score]]&lt;=20, "Moderate", IF(Table1[[#This Row],[anxiety_score]]&lt;=30, "Severe", "Extremely Severe")))</f>
        <v>Moderate</v>
      </c>
      <c r="I715">
        <v>0.59493434000000001</v>
      </c>
      <c r="J715">
        <v>16</v>
      </c>
      <c r="K715" s="1" t="str">
        <f>IF(Table1[[#This Row],[stress_score]]&lt;=10, "Normal", IF(Table1[[#This Row],[stress_score]]&lt;=20, "Moderate", IF(Table1[[#This Row],[stress_score]]&lt;=30, "Severe", "Extremely Severe")))</f>
        <v>Moderate</v>
      </c>
      <c r="L715">
        <v>0.39481880000000003</v>
      </c>
      <c r="M715">
        <v>20</v>
      </c>
      <c r="N715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715">
        <v>0.81753799999999999</v>
      </c>
      <c r="P715">
        <v>17.333334000000001</v>
      </c>
      <c r="Q715">
        <f>ROUND(Table1[[#This Row],[dass21_raw_score]],0)</f>
        <v>17</v>
      </c>
      <c r="R715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715">
        <v>0.60243040000000003</v>
      </c>
      <c r="T715">
        <v>1.6973403</v>
      </c>
      <c r="U715">
        <v>5000</v>
      </c>
      <c r="V715" s="1">
        <f>ROUND(Table1[[#This Row],[fmpce]],0)</f>
        <v>5000</v>
      </c>
      <c r="W715">
        <v>68.023319999999998</v>
      </c>
      <c r="X715" s="4">
        <f>Table1[[#This Row],[mpce]]*89</f>
        <v>6054.0754799999995</v>
      </c>
      <c r="Y715" s="2" t="s">
        <v>28</v>
      </c>
      <c r="Z715" s="3">
        <f>VLOOKUP(Y715, rmpce_reference!$B$1:$D$7,3,FALSE) * 89</f>
        <v>6230</v>
      </c>
      <c r="AA715" s="1" t="str">
        <f>IF(Table1[rmpce_inr]&lt;=rmpce_reference!$F$2, "Low Income", IF(Table1[rmpce_inr]&lt;=rmpce_reference!$F$3, "Middle Income", "High Income"))</f>
        <v>Middle Income</v>
      </c>
    </row>
    <row r="716" spans="1:27" x14ac:dyDescent="0.25">
      <c r="A716">
        <v>4054</v>
      </c>
      <c r="B716" t="s">
        <v>42</v>
      </c>
      <c r="C716" t="s">
        <v>33</v>
      </c>
      <c r="D716">
        <v>30</v>
      </c>
      <c r="E716" t="s">
        <v>25</v>
      </c>
      <c r="F716" t="s">
        <v>26</v>
      </c>
      <c r="G716">
        <v>42</v>
      </c>
      <c r="H716" s="1" t="str">
        <f>IF(Table1[[#This Row],[anxiety_score]]&lt;=10, "Normal", IF(Table1[[#This Row],[anxiety_score]]&lt;=20, "Moderate", IF(Table1[[#This Row],[anxiety_score]]&lt;=30, "Severe", "Extremely Severe")))</f>
        <v>Extremely Severe</v>
      </c>
      <c r="I716">
        <v>3.2085145000000002</v>
      </c>
      <c r="J716">
        <v>38</v>
      </c>
      <c r="K716" s="1" t="str">
        <f>IF(Table1[[#This Row],[stress_score]]&lt;=10, "Normal", IF(Table1[[#This Row],[stress_score]]&lt;=20, "Moderate", IF(Table1[[#This Row],[stress_score]]&lt;=30, "Severe", "Extremely Severe")))</f>
        <v>Extremely Severe</v>
      </c>
      <c r="L716">
        <v>2.5360925000000001</v>
      </c>
      <c r="M716">
        <v>36</v>
      </c>
      <c r="N716" s="1" t="str">
        <f>IF(Table1[[#This Row],[depression_score]]&lt;=10, "Normal", IF(Table1[[#This Row],[depression_score]]&lt;=20, "Moderate", IF(Table1[[#This Row],[depression_score]]&lt;=30, "Severe", "Extremely Severe")))</f>
        <v>Extremely Severe</v>
      </c>
      <c r="O716">
        <v>2.3586369999999999</v>
      </c>
      <c r="P716">
        <v>38.666668000000001</v>
      </c>
      <c r="Q716">
        <f>ROUND(Table1[[#This Row],[dass21_raw_score]],0)</f>
        <v>39</v>
      </c>
      <c r="R716" s="1" t="str">
        <f>IF(Table1[[#This Row],[round_dass21_raw_score]]&lt;=10, "Normal", IF(Table1[[#This Row],[round_dass21_raw_score]]&lt;=20, "Moderate", IF(Table1[[#This Row],[round_dass21_raw_score]]&lt;=30, "Severe", "Extremely Severe")))</f>
        <v>Extremely Severe</v>
      </c>
      <c r="S716">
        <v>2.7010812999999998</v>
      </c>
      <c r="T716">
        <v>3.7959912</v>
      </c>
      <c r="U716">
        <v>5000</v>
      </c>
      <c r="V716" s="1">
        <f>ROUND(Table1[[#This Row],[fmpce]],0)</f>
        <v>5000</v>
      </c>
      <c r="W716">
        <v>68.023319999999998</v>
      </c>
      <c r="X716" s="4">
        <f>Table1[[#This Row],[mpce]]*89</f>
        <v>6054.0754799999995</v>
      </c>
      <c r="Y716" s="2" t="s">
        <v>28</v>
      </c>
      <c r="Z716" s="3">
        <f>VLOOKUP(Y716, rmpce_reference!$B$1:$D$7,3,FALSE) * 89</f>
        <v>6230</v>
      </c>
      <c r="AA716" s="1" t="str">
        <f>IF(Table1[rmpce_inr]&lt;=rmpce_reference!$F$2, "Low Income", IF(Table1[rmpce_inr]&lt;=rmpce_reference!$F$3, "Middle Income", "High Income"))</f>
        <v>Middle Income</v>
      </c>
    </row>
    <row r="717" spans="1:27" x14ac:dyDescent="0.25">
      <c r="A717">
        <v>4055</v>
      </c>
      <c r="B717" t="s">
        <v>42</v>
      </c>
      <c r="C717" t="s">
        <v>21</v>
      </c>
      <c r="D717">
        <v>47</v>
      </c>
      <c r="E717" t="s">
        <v>22</v>
      </c>
      <c r="F717" t="s">
        <v>30</v>
      </c>
      <c r="G717">
        <v>4</v>
      </c>
      <c r="H717" s="1" t="str">
        <f>IF(Table1[[#This Row],[anxiety_score]]&lt;=10, "Normal", IF(Table1[[#This Row],[anxiety_score]]&lt;=20, "Moderate", IF(Table1[[#This Row],[anxiety_score]]&lt;=30, "Severe", "Extremely Severe")))</f>
        <v>Normal</v>
      </c>
      <c r="I717">
        <v>-0.61133329999999997</v>
      </c>
      <c r="J717">
        <v>6</v>
      </c>
      <c r="K717" s="1" t="str">
        <f>IF(Table1[[#This Row],[stress_score]]&lt;=10, "Normal", IF(Table1[[#This Row],[stress_score]]&lt;=20, "Moderate", IF(Table1[[#This Row],[stress_score]]&lt;=30, "Severe", "Extremely Severe")))</f>
        <v>Normal</v>
      </c>
      <c r="L717">
        <v>-0.57848745999999995</v>
      </c>
      <c r="M717">
        <v>10</v>
      </c>
      <c r="N717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717">
        <v>-0.14564899000000001</v>
      </c>
      <c r="P717">
        <v>6.6666664999999998</v>
      </c>
      <c r="Q717">
        <f>ROUND(Table1[[#This Row],[dass21_raw_score]],0)</f>
        <v>7</v>
      </c>
      <c r="R717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717">
        <v>-0.44515656999999997</v>
      </c>
      <c r="T717">
        <v>0.64975333000000002</v>
      </c>
      <c r="U717">
        <v>10000</v>
      </c>
      <c r="V717" s="1">
        <f>ROUND(Table1[[#This Row],[fmpce]],0)</f>
        <v>10000</v>
      </c>
      <c r="W717">
        <v>136.04665</v>
      </c>
      <c r="X717" s="4">
        <f>Table1[[#This Row],[mpce]]*89</f>
        <v>12108.15185</v>
      </c>
      <c r="Y717" s="2" t="s">
        <v>35</v>
      </c>
      <c r="Z717" s="3">
        <f>VLOOKUP(Y717, rmpce_reference!$B$1:$D$7,3,FALSE) * 89</f>
        <v>9790</v>
      </c>
      <c r="AA717" s="1" t="str">
        <f>IF(Table1[rmpce_inr]&lt;=rmpce_reference!$F$2, "Low Income", IF(Table1[rmpce_inr]&lt;=rmpce_reference!$F$3, "Middle Income", "High Income"))</f>
        <v>High Income</v>
      </c>
    </row>
    <row r="718" spans="1:27" x14ac:dyDescent="0.25">
      <c r="A718">
        <v>4056</v>
      </c>
      <c r="B718" t="s">
        <v>42</v>
      </c>
      <c r="C718" t="s">
        <v>33</v>
      </c>
      <c r="D718">
        <v>25</v>
      </c>
      <c r="E718" t="s">
        <v>22</v>
      </c>
      <c r="F718" t="s">
        <v>23</v>
      </c>
      <c r="G718">
        <v>38</v>
      </c>
      <c r="H718" s="1" t="str">
        <f>IF(Table1[[#This Row],[anxiety_score]]&lt;=10, "Normal", IF(Table1[[#This Row],[anxiety_score]]&lt;=20, "Moderate", IF(Table1[[#This Row],[anxiety_score]]&lt;=30, "Severe", "Extremely Severe")))</f>
        <v>Extremely Severe</v>
      </c>
      <c r="I718">
        <v>2.8064249999999999</v>
      </c>
      <c r="J718">
        <v>36</v>
      </c>
      <c r="K718" s="1" t="str">
        <f>IF(Table1[[#This Row],[stress_score]]&lt;=10, "Normal", IF(Table1[[#This Row],[stress_score]]&lt;=20, "Moderate", IF(Table1[[#This Row],[stress_score]]&lt;=30, "Severe", "Extremely Severe")))</f>
        <v>Extremely Severe</v>
      </c>
      <c r="L718">
        <v>2.3414313999999998</v>
      </c>
      <c r="M718">
        <v>30</v>
      </c>
      <c r="N718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718">
        <v>1.7807249999999999</v>
      </c>
      <c r="P718">
        <v>34.666668000000001</v>
      </c>
      <c r="Q718">
        <f>ROUND(Table1[[#This Row],[dass21_raw_score]],0)</f>
        <v>35</v>
      </c>
      <c r="R718" s="1" t="str">
        <f>IF(Table1[[#This Row],[round_dass21_raw_score]]&lt;=10, "Normal", IF(Table1[[#This Row],[round_dass21_raw_score]]&lt;=20, "Moderate", IF(Table1[[#This Row],[round_dass21_raw_score]]&lt;=30, "Severe", "Extremely Severe")))</f>
        <v>Extremely Severe</v>
      </c>
      <c r="S718">
        <v>2.3095271999999998</v>
      </c>
      <c r="T718">
        <v>3.4044370000000002</v>
      </c>
      <c r="U718">
        <v>4250</v>
      </c>
      <c r="V718" s="1">
        <f>ROUND(Table1[[#This Row],[fmpce]],0)</f>
        <v>4250</v>
      </c>
      <c r="W718">
        <v>57.819823999999997</v>
      </c>
      <c r="X718" s="4">
        <f>Table1[[#This Row],[mpce]]*89</f>
        <v>5145.964336</v>
      </c>
      <c r="Y718" s="2" t="s">
        <v>32</v>
      </c>
      <c r="Z718" s="3">
        <f>VLOOKUP(Y718, rmpce_reference!$B$1:$D$7,3,FALSE) * 89</f>
        <v>4450</v>
      </c>
      <c r="AA718" s="1" t="str">
        <f>IF(Table1[rmpce_inr]&lt;=rmpce_reference!$F$2, "Low Income", IF(Table1[rmpce_inr]&lt;=rmpce_reference!$F$3, "Middle Income", "High Income"))</f>
        <v>Low Income</v>
      </c>
    </row>
    <row r="719" spans="1:27" x14ac:dyDescent="0.25">
      <c r="A719">
        <v>4057</v>
      </c>
      <c r="B719" t="s">
        <v>42</v>
      </c>
      <c r="C719" t="s">
        <v>29</v>
      </c>
      <c r="D719">
        <v>31</v>
      </c>
      <c r="E719" t="s">
        <v>22</v>
      </c>
      <c r="F719" t="s">
        <v>23</v>
      </c>
      <c r="G719">
        <v>26</v>
      </c>
      <c r="H719" s="1" t="str">
        <f>IF(Table1[[#This Row],[anxiety_score]]&lt;=10, "Normal", IF(Table1[[#This Row],[anxiety_score]]&lt;=20, "Moderate", IF(Table1[[#This Row],[anxiety_score]]&lt;=30, "Severe", "Extremely Severe")))</f>
        <v>Severe</v>
      </c>
      <c r="I719">
        <v>1.6001574999999999</v>
      </c>
      <c r="J719">
        <v>30</v>
      </c>
      <c r="K719" s="1" t="str">
        <f>IF(Table1[[#This Row],[stress_score]]&lt;=10, "Normal", IF(Table1[[#This Row],[stress_score]]&lt;=20, "Moderate", IF(Table1[[#This Row],[stress_score]]&lt;=30, "Severe", "Extremely Severe")))</f>
        <v>Severe</v>
      </c>
      <c r="L719">
        <v>1.7574476000000001</v>
      </c>
      <c r="M719">
        <v>32</v>
      </c>
      <c r="N719" s="1" t="str">
        <f>IF(Table1[[#This Row],[depression_score]]&lt;=10, "Normal", IF(Table1[[#This Row],[depression_score]]&lt;=20, "Moderate", IF(Table1[[#This Row],[depression_score]]&lt;=30, "Severe", "Extremely Severe")))</f>
        <v>Extremely Severe</v>
      </c>
      <c r="O719">
        <v>1.9733623</v>
      </c>
      <c r="P719">
        <v>29.333334000000001</v>
      </c>
      <c r="Q719">
        <f>ROUND(Table1[[#This Row],[dass21_raw_score]],0)</f>
        <v>29</v>
      </c>
      <c r="R719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719">
        <v>1.7769891</v>
      </c>
      <c r="T719">
        <v>2.8718990999999998</v>
      </c>
      <c r="U719">
        <v>3750</v>
      </c>
      <c r="V719" s="1">
        <f>ROUND(Table1[[#This Row],[fmpce]],0)</f>
        <v>3750</v>
      </c>
      <c r="W719">
        <v>51.017493999999999</v>
      </c>
      <c r="X719" s="4">
        <f>Table1[[#This Row],[mpce]]*89</f>
        <v>4540.5569660000001</v>
      </c>
      <c r="Y719" s="2" t="s">
        <v>32</v>
      </c>
      <c r="Z719" s="3">
        <f>VLOOKUP(Y719, rmpce_reference!$B$1:$D$7,3,FALSE) * 89</f>
        <v>4450</v>
      </c>
      <c r="AA719" s="1" t="str">
        <f>IF(Table1[rmpce_inr]&lt;=rmpce_reference!$F$2, "Low Income", IF(Table1[rmpce_inr]&lt;=rmpce_reference!$F$3, "Middle Income", "High Income"))</f>
        <v>Low Income</v>
      </c>
    </row>
    <row r="720" spans="1:27" x14ac:dyDescent="0.25">
      <c r="A720">
        <v>4058</v>
      </c>
      <c r="B720" t="s">
        <v>42</v>
      </c>
      <c r="C720" t="s">
        <v>33</v>
      </c>
      <c r="D720">
        <v>29</v>
      </c>
      <c r="E720" t="s">
        <v>25</v>
      </c>
      <c r="F720" t="s">
        <v>30</v>
      </c>
      <c r="G720">
        <v>14</v>
      </c>
      <c r="H720" s="1" t="str">
        <f>IF(Table1[[#This Row],[anxiety_score]]&lt;=10, "Normal", IF(Table1[[#This Row],[anxiety_score]]&lt;=20, "Moderate", IF(Table1[[#This Row],[anxiety_score]]&lt;=30, "Severe", "Extremely Severe")))</f>
        <v>Moderate</v>
      </c>
      <c r="I720">
        <v>0.39388975999999998</v>
      </c>
      <c r="J720">
        <v>24</v>
      </c>
      <c r="K720" s="1" t="str">
        <f>IF(Table1[[#This Row],[stress_score]]&lt;=10, "Normal", IF(Table1[[#This Row],[stress_score]]&lt;=20, "Moderate", IF(Table1[[#This Row],[stress_score]]&lt;=30, "Severe", "Extremely Severe")))</f>
        <v>Severe</v>
      </c>
      <c r="L720">
        <v>1.1734637999999999</v>
      </c>
      <c r="M720">
        <v>16</v>
      </c>
      <c r="N720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720">
        <v>0.43226320000000001</v>
      </c>
      <c r="P720">
        <v>18</v>
      </c>
      <c r="Q720">
        <f>ROUND(Table1[[#This Row],[dass21_raw_score]],0)</f>
        <v>18</v>
      </c>
      <c r="R720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720">
        <v>0.66653894999999996</v>
      </c>
      <c r="T720">
        <v>1.7614489</v>
      </c>
      <c r="U720">
        <v>3000</v>
      </c>
      <c r="V720" s="1">
        <f>ROUND(Table1[[#This Row],[fmpce]],0)</f>
        <v>3000</v>
      </c>
      <c r="W720">
        <v>40.813994999999998</v>
      </c>
      <c r="X720" s="4">
        <f>Table1[[#This Row],[mpce]]*89</f>
        <v>3632.4455549999998</v>
      </c>
      <c r="Y720" s="2" t="s">
        <v>32</v>
      </c>
      <c r="Z720" s="3">
        <f>VLOOKUP(Y720, rmpce_reference!$B$1:$D$7,3,FALSE) * 89</f>
        <v>4450</v>
      </c>
      <c r="AA720" s="1" t="str">
        <f>IF(Table1[rmpce_inr]&lt;=rmpce_reference!$F$2, "Low Income", IF(Table1[rmpce_inr]&lt;=rmpce_reference!$F$3, "Middle Income", "High Income"))</f>
        <v>Low Income</v>
      </c>
    </row>
    <row r="721" spans="1:27" x14ac:dyDescent="0.25">
      <c r="A721">
        <v>4059</v>
      </c>
      <c r="B721" t="s">
        <v>42</v>
      </c>
      <c r="C721" t="s">
        <v>29</v>
      </c>
      <c r="D721">
        <v>35</v>
      </c>
      <c r="E721" t="s">
        <v>25</v>
      </c>
      <c r="F721" t="s">
        <v>30</v>
      </c>
      <c r="G721">
        <v>8</v>
      </c>
      <c r="H721" s="1" t="str">
        <f>IF(Table1[[#This Row],[anxiety_score]]&lt;=10, "Normal", IF(Table1[[#This Row],[anxiety_score]]&lt;=20, "Moderate", IF(Table1[[#This Row],[anxiety_score]]&lt;=30, "Severe", "Extremely Severe")))</f>
        <v>Normal</v>
      </c>
      <c r="I721">
        <v>-0.20924408999999999</v>
      </c>
      <c r="J721">
        <v>12</v>
      </c>
      <c r="K721" s="1" t="str">
        <f>IF(Table1[[#This Row],[stress_score]]&lt;=10, "Normal", IF(Table1[[#This Row],[stress_score]]&lt;=20, "Moderate", IF(Table1[[#This Row],[stress_score]]&lt;=30, "Severe", "Extremely Severe")))</f>
        <v>Moderate</v>
      </c>
      <c r="L721">
        <v>5.496318E-3</v>
      </c>
      <c r="M721">
        <v>0</v>
      </c>
      <c r="N721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721">
        <v>-1.1088359000000001</v>
      </c>
      <c r="P721">
        <v>6.6666664999999998</v>
      </c>
      <c r="Q721">
        <f>ROUND(Table1[[#This Row],[dass21_raw_score]],0)</f>
        <v>7</v>
      </c>
      <c r="R721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721">
        <v>-0.43752790000000003</v>
      </c>
      <c r="T721">
        <v>0.65738200000000002</v>
      </c>
      <c r="U721">
        <v>5000</v>
      </c>
      <c r="V721" s="1">
        <f>ROUND(Table1[[#This Row],[fmpce]],0)</f>
        <v>5000</v>
      </c>
      <c r="W721">
        <v>68.023319999999998</v>
      </c>
      <c r="X721" s="4">
        <f>Table1[[#This Row],[mpce]]*89</f>
        <v>6054.0754799999995</v>
      </c>
      <c r="Y721" s="2" t="s">
        <v>28</v>
      </c>
      <c r="Z721" s="3">
        <f>VLOOKUP(Y721, rmpce_reference!$B$1:$D$7,3,FALSE) * 89</f>
        <v>6230</v>
      </c>
      <c r="AA721" s="1" t="str">
        <f>IF(Table1[rmpce_inr]&lt;=rmpce_reference!$F$2, "Low Income", IF(Table1[rmpce_inr]&lt;=rmpce_reference!$F$3, "Middle Income", "High Income"))</f>
        <v>Middle Income</v>
      </c>
    </row>
    <row r="722" spans="1:27" x14ac:dyDescent="0.25">
      <c r="A722">
        <v>4060</v>
      </c>
      <c r="B722" t="s">
        <v>42</v>
      </c>
      <c r="C722" t="s">
        <v>33</v>
      </c>
      <c r="D722">
        <v>26</v>
      </c>
      <c r="E722" t="s">
        <v>25</v>
      </c>
      <c r="F722" t="s">
        <v>30</v>
      </c>
      <c r="G722">
        <v>4</v>
      </c>
      <c r="H722" s="1" t="str">
        <f>IF(Table1[[#This Row],[anxiety_score]]&lt;=10, "Normal", IF(Table1[[#This Row],[anxiety_score]]&lt;=20, "Moderate", IF(Table1[[#This Row],[anxiety_score]]&lt;=30, "Severe", "Extremely Severe")))</f>
        <v>Normal</v>
      </c>
      <c r="I722">
        <v>-0.61133329999999997</v>
      </c>
      <c r="J722">
        <v>2</v>
      </c>
      <c r="K722" s="1" t="str">
        <f>IF(Table1[[#This Row],[stress_score]]&lt;=10, "Normal", IF(Table1[[#This Row],[stress_score]]&lt;=20, "Moderate", IF(Table1[[#This Row],[stress_score]]&lt;=30, "Severe", "Extremely Severe")))</f>
        <v>Normal</v>
      </c>
      <c r="L722">
        <v>-0.9678099</v>
      </c>
      <c r="M722">
        <v>0</v>
      </c>
      <c r="N722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722">
        <v>-1.1088359000000001</v>
      </c>
      <c r="P722">
        <v>2</v>
      </c>
      <c r="Q722">
        <f>ROUND(Table1[[#This Row],[dass21_raw_score]],0)</f>
        <v>2</v>
      </c>
      <c r="R722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722">
        <v>-0.89599304999999996</v>
      </c>
      <c r="T722">
        <v>0.19891685000000001</v>
      </c>
      <c r="U722">
        <v>3000</v>
      </c>
      <c r="V722" s="1">
        <f>ROUND(Table1[[#This Row],[fmpce]],0)</f>
        <v>3000</v>
      </c>
      <c r="W722">
        <v>40.813994999999998</v>
      </c>
      <c r="X722" s="4">
        <f>Table1[[#This Row],[mpce]]*89</f>
        <v>3632.4455549999998</v>
      </c>
      <c r="Y722" s="2" t="s">
        <v>32</v>
      </c>
      <c r="Z722" s="3">
        <f>VLOOKUP(Y722, rmpce_reference!$B$1:$D$7,3,FALSE) * 89</f>
        <v>4450</v>
      </c>
      <c r="AA722" s="1" t="str">
        <f>IF(Table1[rmpce_inr]&lt;=rmpce_reference!$F$2, "Low Income", IF(Table1[rmpce_inr]&lt;=rmpce_reference!$F$3, "Middle Income", "High Income"))</f>
        <v>Low Income</v>
      </c>
    </row>
    <row r="723" spans="1:27" x14ac:dyDescent="0.25">
      <c r="A723">
        <v>4061</v>
      </c>
      <c r="B723" t="s">
        <v>42</v>
      </c>
      <c r="C723" t="s">
        <v>33</v>
      </c>
      <c r="D723">
        <v>30</v>
      </c>
      <c r="E723" t="s">
        <v>25</v>
      </c>
      <c r="F723" t="s">
        <v>26</v>
      </c>
      <c r="G723">
        <v>0</v>
      </c>
      <c r="H723" s="1" t="str">
        <f>IF(Table1[[#This Row],[anxiety_score]]&lt;=10, "Normal", IF(Table1[[#This Row],[anxiety_score]]&lt;=20, "Moderate", IF(Table1[[#This Row],[anxiety_score]]&lt;=30, "Severe", "Extremely Severe")))</f>
        <v>Normal</v>
      </c>
      <c r="I723">
        <v>-1.0134224999999999</v>
      </c>
      <c r="J723">
        <v>0</v>
      </c>
      <c r="K723" s="1" t="str">
        <f>IF(Table1[[#This Row],[stress_score]]&lt;=10, "Normal", IF(Table1[[#This Row],[stress_score]]&lt;=20, "Moderate", IF(Table1[[#This Row],[stress_score]]&lt;=30, "Severe", "Extremely Severe")))</f>
        <v>Normal</v>
      </c>
      <c r="L723">
        <v>-1.1624711999999999</v>
      </c>
      <c r="M723">
        <v>0</v>
      </c>
      <c r="N723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723">
        <v>-1.1088359000000001</v>
      </c>
      <c r="P723">
        <v>0</v>
      </c>
      <c r="Q723">
        <f>ROUND(Table1[[#This Row],[dass21_raw_score]],0)</f>
        <v>0</v>
      </c>
      <c r="R723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723">
        <v>-1.0949099</v>
      </c>
      <c r="T723">
        <v>0</v>
      </c>
      <c r="U723">
        <v>3000</v>
      </c>
      <c r="V723" s="1">
        <f>ROUND(Table1[[#This Row],[fmpce]],0)</f>
        <v>3000</v>
      </c>
      <c r="W723">
        <v>40.813994999999998</v>
      </c>
      <c r="X723" s="4">
        <f>Table1[[#This Row],[mpce]]*89</f>
        <v>3632.4455549999998</v>
      </c>
      <c r="Y723" s="2" t="s">
        <v>32</v>
      </c>
      <c r="Z723" s="3">
        <f>VLOOKUP(Y723, rmpce_reference!$B$1:$D$7,3,FALSE) * 89</f>
        <v>4450</v>
      </c>
      <c r="AA723" s="1" t="str">
        <f>IF(Table1[rmpce_inr]&lt;=rmpce_reference!$F$2, "Low Income", IF(Table1[rmpce_inr]&lt;=rmpce_reference!$F$3, "Middle Income", "High Income"))</f>
        <v>Low Income</v>
      </c>
    </row>
    <row r="724" spans="1:27" x14ac:dyDescent="0.25">
      <c r="A724">
        <v>4062</v>
      </c>
      <c r="B724" t="s">
        <v>42</v>
      </c>
      <c r="C724" t="s">
        <v>29</v>
      </c>
      <c r="D724">
        <v>35</v>
      </c>
      <c r="E724" t="s">
        <v>25</v>
      </c>
      <c r="F724" t="s">
        <v>30</v>
      </c>
      <c r="G724">
        <v>0</v>
      </c>
      <c r="H724" s="1" t="str">
        <f>IF(Table1[[#This Row],[anxiety_score]]&lt;=10, "Normal", IF(Table1[[#This Row],[anxiety_score]]&lt;=20, "Moderate", IF(Table1[[#This Row],[anxiety_score]]&lt;=30, "Severe", "Extremely Severe")))</f>
        <v>Normal</v>
      </c>
      <c r="I724">
        <v>-1.0134224999999999</v>
      </c>
      <c r="J724">
        <v>0</v>
      </c>
      <c r="K724" s="1" t="str">
        <f>IF(Table1[[#This Row],[stress_score]]&lt;=10, "Normal", IF(Table1[[#This Row],[stress_score]]&lt;=20, "Moderate", IF(Table1[[#This Row],[stress_score]]&lt;=30, "Severe", "Extremely Severe")))</f>
        <v>Normal</v>
      </c>
      <c r="L724">
        <v>-1.1624711999999999</v>
      </c>
      <c r="M724">
        <v>4</v>
      </c>
      <c r="N724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724">
        <v>-0.72356116999999998</v>
      </c>
      <c r="P724">
        <v>1.3333333999999999</v>
      </c>
      <c r="Q724">
        <f>ROUND(Table1[[#This Row],[dass21_raw_score]],0)</f>
        <v>1</v>
      </c>
      <c r="R724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724">
        <v>-0.96648495999999995</v>
      </c>
      <c r="T724">
        <v>0.12842493999999999</v>
      </c>
      <c r="U724">
        <v>3750</v>
      </c>
      <c r="V724" s="1">
        <f>ROUND(Table1[[#This Row],[fmpce]],0)</f>
        <v>3750</v>
      </c>
      <c r="W724">
        <v>51.017493999999999</v>
      </c>
      <c r="X724" s="4">
        <f>Table1[[#This Row],[mpce]]*89</f>
        <v>4540.5569660000001</v>
      </c>
      <c r="Y724" s="2" t="s">
        <v>32</v>
      </c>
      <c r="Z724" s="3">
        <f>VLOOKUP(Y724, rmpce_reference!$B$1:$D$7,3,FALSE) * 89</f>
        <v>4450</v>
      </c>
      <c r="AA724" s="1" t="str">
        <f>IF(Table1[rmpce_inr]&lt;=rmpce_reference!$F$2, "Low Income", IF(Table1[rmpce_inr]&lt;=rmpce_reference!$F$3, "Middle Income", "High Income"))</f>
        <v>Low Income</v>
      </c>
    </row>
    <row r="725" spans="1:27" x14ac:dyDescent="0.25">
      <c r="A725">
        <v>4063</v>
      </c>
      <c r="B725" t="s">
        <v>42</v>
      </c>
      <c r="C725" t="s">
        <v>33</v>
      </c>
      <c r="D725">
        <v>27</v>
      </c>
      <c r="E725" t="s">
        <v>25</v>
      </c>
      <c r="F725" t="s">
        <v>30</v>
      </c>
      <c r="G725">
        <v>4</v>
      </c>
      <c r="H725" s="1" t="str">
        <f>IF(Table1[[#This Row],[anxiety_score]]&lt;=10, "Normal", IF(Table1[[#This Row],[anxiety_score]]&lt;=20, "Moderate", IF(Table1[[#This Row],[anxiety_score]]&lt;=30, "Severe", "Extremely Severe")))</f>
        <v>Normal</v>
      </c>
      <c r="I725">
        <v>-0.61133329999999997</v>
      </c>
      <c r="J725">
        <v>8</v>
      </c>
      <c r="K725" s="1" t="str">
        <f>IF(Table1[[#This Row],[stress_score]]&lt;=10, "Normal", IF(Table1[[#This Row],[stress_score]]&lt;=20, "Moderate", IF(Table1[[#This Row],[stress_score]]&lt;=30, "Severe", "Extremely Severe")))</f>
        <v>Normal</v>
      </c>
      <c r="L725">
        <v>-0.38382620000000001</v>
      </c>
      <c r="M725">
        <v>0</v>
      </c>
      <c r="N725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725">
        <v>-1.1088359000000001</v>
      </c>
      <c r="P725">
        <v>4</v>
      </c>
      <c r="Q725">
        <f>ROUND(Table1[[#This Row],[dass21_raw_score]],0)</f>
        <v>4</v>
      </c>
      <c r="R725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725">
        <v>-0.70133179999999995</v>
      </c>
      <c r="T725">
        <v>0.39357809999999999</v>
      </c>
      <c r="U725">
        <v>3500</v>
      </c>
      <c r="V725" s="1">
        <f>ROUND(Table1[[#This Row],[fmpce]],0)</f>
        <v>3500</v>
      </c>
      <c r="W725">
        <v>47.616325000000003</v>
      </c>
      <c r="X725" s="4">
        <f>Table1[[#This Row],[mpce]]*89</f>
        <v>4237.8529250000001</v>
      </c>
      <c r="Y725" s="2" t="s">
        <v>32</v>
      </c>
      <c r="Z725" s="3">
        <f>VLOOKUP(Y725, rmpce_reference!$B$1:$D$7,3,FALSE) * 89</f>
        <v>4450</v>
      </c>
      <c r="AA725" s="1" t="str">
        <f>IF(Table1[rmpce_inr]&lt;=rmpce_reference!$F$2, "Low Income", IF(Table1[rmpce_inr]&lt;=rmpce_reference!$F$3, "Middle Income", "High Income"))</f>
        <v>Low Income</v>
      </c>
    </row>
    <row r="726" spans="1:27" x14ac:dyDescent="0.25">
      <c r="A726">
        <v>4064</v>
      </c>
      <c r="B726" t="s">
        <v>42</v>
      </c>
      <c r="C726" t="s">
        <v>33</v>
      </c>
      <c r="D726">
        <v>26</v>
      </c>
      <c r="E726" t="s">
        <v>25</v>
      </c>
      <c r="F726" t="s">
        <v>30</v>
      </c>
      <c r="G726">
        <v>0</v>
      </c>
      <c r="H726" s="1" t="str">
        <f>IF(Table1[[#This Row],[anxiety_score]]&lt;=10, "Normal", IF(Table1[[#This Row],[anxiety_score]]&lt;=20, "Moderate", IF(Table1[[#This Row],[anxiety_score]]&lt;=30, "Severe", "Extremely Severe")))</f>
        <v>Normal</v>
      </c>
      <c r="I726">
        <v>-1.0134224999999999</v>
      </c>
      <c r="J726">
        <v>2</v>
      </c>
      <c r="K726" s="1" t="str">
        <f>IF(Table1[[#This Row],[stress_score]]&lt;=10, "Normal", IF(Table1[[#This Row],[stress_score]]&lt;=20, "Moderate", IF(Table1[[#This Row],[stress_score]]&lt;=30, "Severe", "Extremely Severe")))</f>
        <v>Normal</v>
      </c>
      <c r="L726">
        <v>-0.9678099</v>
      </c>
      <c r="M726">
        <v>0</v>
      </c>
      <c r="N726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726">
        <v>-1.1088359000000001</v>
      </c>
      <c r="P726">
        <v>0.66666669999999995</v>
      </c>
      <c r="Q726">
        <f>ROUND(Table1[[#This Row],[dass21_raw_score]],0)</f>
        <v>1</v>
      </c>
      <c r="R726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726">
        <v>-1.0300227</v>
      </c>
      <c r="T726">
        <v>6.4887165999999996E-2</v>
      </c>
      <c r="U726">
        <v>3200</v>
      </c>
      <c r="V726" s="1">
        <f>ROUND(Table1[[#This Row],[fmpce]],0)</f>
        <v>3200</v>
      </c>
      <c r="W726">
        <v>43.534927000000003</v>
      </c>
      <c r="X726" s="4">
        <f>Table1[[#This Row],[mpce]]*89</f>
        <v>3874.6085030000004</v>
      </c>
      <c r="Y726" s="2" t="s">
        <v>32</v>
      </c>
      <c r="Z726" s="3">
        <f>VLOOKUP(Y726, rmpce_reference!$B$1:$D$7,3,FALSE) * 89</f>
        <v>4450</v>
      </c>
      <c r="AA726" s="1" t="str">
        <f>IF(Table1[rmpce_inr]&lt;=rmpce_reference!$F$2, "Low Income", IF(Table1[rmpce_inr]&lt;=rmpce_reference!$F$3, "Middle Income", "High Income"))</f>
        <v>Low Income</v>
      </c>
    </row>
    <row r="727" spans="1:27" x14ac:dyDescent="0.25">
      <c r="A727">
        <v>4065</v>
      </c>
      <c r="B727" t="s">
        <v>42</v>
      </c>
      <c r="C727" t="s">
        <v>33</v>
      </c>
      <c r="D727">
        <v>30</v>
      </c>
      <c r="E727" t="s">
        <v>25</v>
      </c>
      <c r="F727" t="s">
        <v>23</v>
      </c>
      <c r="G727">
        <v>0</v>
      </c>
      <c r="H727" s="1" t="str">
        <f>IF(Table1[[#This Row],[anxiety_score]]&lt;=10, "Normal", IF(Table1[[#This Row],[anxiety_score]]&lt;=20, "Moderate", IF(Table1[[#This Row],[anxiety_score]]&lt;=30, "Severe", "Extremely Severe")))</f>
        <v>Normal</v>
      </c>
      <c r="I727">
        <v>-1.0134224999999999</v>
      </c>
      <c r="J727">
        <v>2</v>
      </c>
      <c r="K727" s="1" t="str">
        <f>IF(Table1[[#This Row],[stress_score]]&lt;=10, "Normal", IF(Table1[[#This Row],[stress_score]]&lt;=20, "Moderate", IF(Table1[[#This Row],[stress_score]]&lt;=30, "Severe", "Extremely Severe")))</f>
        <v>Normal</v>
      </c>
      <c r="L727">
        <v>-0.9678099</v>
      </c>
      <c r="M727">
        <v>0</v>
      </c>
      <c r="N727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727">
        <v>-1.1088359000000001</v>
      </c>
      <c r="P727">
        <v>0.66666669999999995</v>
      </c>
      <c r="Q727">
        <f>ROUND(Table1[[#This Row],[dass21_raw_score]],0)</f>
        <v>1</v>
      </c>
      <c r="R727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727">
        <v>-1.0300227</v>
      </c>
      <c r="T727">
        <v>6.4887165999999996E-2</v>
      </c>
      <c r="U727">
        <v>3000</v>
      </c>
      <c r="V727" s="1">
        <f>ROUND(Table1[[#This Row],[fmpce]],0)</f>
        <v>3000</v>
      </c>
      <c r="W727">
        <v>40.813994999999998</v>
      </c>
      <c r="X727" s="4">
        <f>Table1[[#This Row],[mpce]]*89</f>
        <v>3632.4455549999998</v>
      </c>
      <c r="Y727" s="2" t="s">
        <v>32</v>
      </c>
      <c r="Z727" s="3">
        <f>VLOOKUP(Y727, rmpce_reference!$B$1:$D$7,3,FALSE) * 89</f>
        <v>4450</v>
      </c>
      <c r="AA727" s="1" t="str">
        <f>IF(Table1[rmpce_inr]&lt;=rmpce_reference!$F$2, "Low Income", IF(Table1[rmpce_inr]&lt;=rmpce_reference!$F$3, "Middle Income", "High Income"))</f>
        <v>Low Income</v>
      </c>
    </row>
    <row r="728" spans="1:27" x14ac:dyDescent="0.25">
      <c r="A728">
        <v>4066</v>
      </c>
      <c r="B728" t="s">
        <v>42</v>
      </c>
      <c r="C728" t="s">
        <v>33</v>
      </c>
      <c r="D728">
        <v>30</v>
      </c>
      <c r="E728" t="s">
        <v>25</v>
      </c>
      <c r="F728" t="s">
        <v>26</v>
      </c>
      <c r="G728">
        <v>6</v>
      </c>
      <c r="H728" s="1" t="str">
        <f>IF(Table1[[#This Row],[anxiety_score]]&lt;=10, "Normal", IF(Table1[[#This Row],[anxiety_score]]&lt;=20, "Moderate", IF(Table1[[#This Row],[anxiety_score]]&lt;=30, "Severe", "Extremely Severe")))</f>
        <v>Normal</v>
      </c>
      <c r="I728">
        <v>-0.41028870000000001</v>
      </c>
      <c r="J728">
        <v>2</v>
      </c>
      <c r="K728" s="1" t="str">
        <f>IF(Table1[[#This Row],[stress_score]]&lt;=10, "Normal", IF(Table1[[#This Row],[stress_score]]&lt;=20, "Moderate", IF(Table1[[#This Row],[stress_score]]&lt;=30, "Severe", "Extremely Severe")))</f>
        <v>Normal</v>
      </c>
      <c r="L728">
        <v>-0.9678099</v>
      </c>
      <c r="M728">
        <v>0</v>
      </c>
      <c r="N728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728">
        <v>-1.1088359000000001</v>
      </c>
      <c r="P728">
        <v>2.6666666999999999</v>
      </c>
      <c r="Q728">
        <f>ROUND(Table1[[#This Row],[dass21_raw_score]],0)</f>
        <v>3</v>
      </c>
      <c r="R728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728">
        <v>-0.8289782</v>
      </c>
      <c r="T728">
        <v>0.26593172999999998</v>
      </c>
      <c r="U728">
        <v>3750</v>
      </c>
      <c r="V728" s="1">
        <f>ROUND(Table1[[#This Row],[fmpce]],0)</f>
        <v>3750</v>
      </c>
      <c r="W728">
        <v>51.017493999999999</v>
      </c>
      <c r="X728" s="4">
        <f>Table1[[#This Row],[mpce]]*89</f>
        <v>4540.5569660000001</v>
      </c>
      <c r="Y728" s="2" t="s">
        <v>32</v>
      </c>
      <c r="Z728" s="3">
        <f>VLOOKUP(Y728, rmpce_reference!$B$1:$D$7,3,FALSE) * 89</f>
        <v>4450</v>
      </c>
      <c r="AA728" s="1" t="str">
        <f>IF(Table1[rmpce_inr]&lt;=rmpce_reference!$F$2, "Low Income", IF(Table1[rmpce_inr]&lt;=rmpce_reference!$F$3, "Middle Income", "High Income"))</f>
        <v>Low Income</v>
      </c>
    </row>
    <row r="729" spans="1:27" x14ac:dyDescent="0.25">
      <c r="A729">
        <v>4067</v>
      </c>
      <c r="B729" t="s">
        <v>42</v>
      </c>
      <c r="C729" t="s">
        <v>29</v>
      </c>
      <c r="D729">
        <v>40</v>
      </c>
      <c r="E729" t="s">
        <v>25</v>
      </c>
      <c r="F729" t="s">
        <v>26</v>
      </c>
      <c r="G729">
        <v>4</v>
      </c>
      <c r="H729" s="1" t="str">
        <f>IF(Table1[[#This Row],[anxiety_score]]&lt;=10, "Normal", IF(Table1[[#This Row],[anxiety_score]]&lt;=20, "Moderate", IF(Table1[[#This Row],[anxiety_score]]&lt;=30, "Severe", "Extremely Severe")))</f>
        <v>Normal</v>
      </c>
      <c r="I729">
        <v>-0.61133329999999997</v>
      </c>
      <c r="J729">
        <v>2</v>
      </c>
      <c r="K729" s="1" t="str">
        <f>IF(Table1[[#This Row],[stress_score]]&lt;=10, "Normal", IF(Table1[[#This Row],[stress_score]]&lt;=20, "Moderate", IF(Table1[[#This Row],[stress_score]]&lt;=30, "Severe", "Extremely Severe")))</f>
        <v>Normal</v>
      </c>
      <c r="L729">
        <v>-0.9678099</v>
      </c>
      <c r="M729">
        <v>0</v>
      </c>
      <c r="N729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729">
        <v>-1.1088359000000001</v>
      </c>
      <c r="P729">
        <v>2</v>
      </c>
      <c r="Q729">
        <f>ROUND(Table1[[#This Row],[dass21_raw_score]],0)</f>
        <v>2</v>
      </c>
      <c r="R729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729">
        <v>-0.89599304999999996</v>
      </c>
      <c r="T729">
        <v>0.19891685000000001</v>
      </c>
      <c r="U729">
        <v>3750</v>
      </c>
      <c r="V729" s="1">
        <f>ROUND(Table1[[#This Row],[fmpce]],0)</f>
        <v>3750</v>
      </c>
      <c r="W729">
        <v>51.017493999999999</v>
      </c>
      <c r="X729" s="4">
        <f>Table1[[#This Row],[mpce]]*89</f>
        <v>4540.5569660000001</v>
      </c>
      <c r="Y729" s="2" t="s">
        <v>32</v>
      </c>
      <c r="Z729" s="3">
        <f>VLOOKUP(Y729, rmpce_reference!$B$1:$D$7,3,FALSE) * 89</f>
        <v>4450</v>
      </c>
      <c r="AA729" s="1" t="str">
        <f>IF(Table1[rmpce_inr]&lt;=rmpce_reference!$F$2, "Low Income", IF(Table1[rmpce_inr]&lt;=rmpce_reference!$F$3, "Middle Income", "High Income"))</f>
        <v>Low Income</v>
      </c>
    </row>
    <row r="730" spans="1:27" x14ac:dyDescent="0.25">
      <c r="A730">
        <v>4068</v>
      </c>
      <c r="B730" t="s">
        <v>42</v>
      </c>
      <c r="C730" t="s">
        <v>21</v>
      </c>
      <c r="D730">
        <v>50</v>
      </c>
      <c r="E730" t="s">
        <v>25</v>
      </c>
      <c r="F730" t="s">
        <v>26</v>
      </c>
      <c r="G730">
        <v>2</v>
      </c>
      <c r="H730" s="1" t="str">
        <f>IF(Table1[[#This Row],[anxiety_score]]&lt;=10, "Normal", IF(Table1[[#This Row],[anxiety_score]]&lt;=20, "Moderate", IF(Table1[[#This Row],[anxiety_score]]&lt;=30, "Severe", "Extremely Severe")))</f>
        <v>Normal</v>
      </c>
      <c r="I730">
        <v>-0.81237789999999999</v>
      </c>
      <c r="J730">
        <v>6</v>
      </c>
      <c r="K730" s="1" t="str">
        <f>IF(Table1[[#This Row],[stress_score]]&lt;=10, "Normal", IF(Table1[[#This Row],[stress_score]]&lt;=20, "Moderate", IF(Table1[[#This Row],[stress_score]]&lt;=30, "Severe", "Extremely Severe")))</f>
        <v>Normal</v>
      </c>
      <c r="L730">
        <v>-0.57848745999999995</v>
      </c>
      <c r="M730">
        <v>0</v>
      </c>
      <c r="N730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730">
        <v>-1.1088359000000001</v>
      </c>
      <c r="P730">
        <v>2.6666666999999999</v>
      </c>
      <c r="Q730">
        <f>ROUND(Table1[[#This Row],[dass21_raw_score]],0)</f>
        <v>3</v>
      </c>
      <c r="R730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730">
        <v>-0.83323380000000002</v>
      </c>
      <c r="T730">
        <v>0.26167613000000001</v>
      </c>
      <c r="U730">
        <v>10000</v>
      </c>
      <c r="V730" s="1">
        <f>ROUND(Table1[[#This Row],[fmpce]],0)</f>
        <v>10000</v>
      </c>
      <c r="W730">
        <v>136.04665</v>
      </c>
      <c r="X730" s="4">
        <f>Table1[[#This Row],[mpce]]*89</f>
        <v>12108.15185</v>
      </c>
      <c r="Y730" s="2" t="s">
        <v>35</v>
      </c>
      <c r="Z730" s="3">
        <f>VLOOKUP(Y730, rmpce_reference!$B$1:$D$7,3,FALSE) * 89</f>
        <v>9790</v>
      </c>
      <c r="AA730" s="1" t="str">
        <f>IF(Table1[rmpce_inr]&lt;=rmpce_reference!$F$2, "Low Income", IF(Table1[rmpce_inr]&lt;=rmpce_reference!$F$3, "Middle Income", "High Income"))</f>
        <v>High Income</v>
      </c>
    </row>
    <row r="731" spans="1:27" x14ac:dyDescent="0.25">
      <c r="A731">
        <v>4069</v>
      </c>
      <c r="B731" t="s">
        <v>42</v>
      </c>
      <c r="C731" t="s">
        <v>33</v>
      </c>
      <c r="D731">
        <v>26</v>
      </c>
      <c r="E731" t="s">
        <v>25</v>
      </c>
      <c r="F731" t="s">
        <v>38</v>
      </c>
      <c r="G731">
        <v>2</v>
      </c>
      <c r="H731" s="1" t="str">
        <f>IF(Table1[[#This Row],[anxiety_score]]&lt;=10, "Normal", IF(Table1[[#This Row],[anxiety_score]]&lt;=20, "Moderate", IF(Table1[[#This Row],[anxiety_score]]&lt;=30, "Severe", "Extremely Severe")))</f>
        <v>Normal</v>
      </c>
      <c r="I731">
        <v>-0.81237789999999999</v>
      </c>
      <c r="J731">
        <v>0</v>
      </c>
      <c r="K731" s="1" t="str">
        <f>IF(Table1[[#This Row],[stress_score]]&lt;=10, "Normal", IF(Table1[[#This Row],[stress_score]]&lt;=20, "Moderate", IF(Table1[[#This Row],[stress_score]]&lt;=30, "Severe", "Extremely Severe")))</f>
        <v>Normal</v>
      </c>
      <c r="L731">
        <v>-1.1624711999999999</v>
      </c>
      <c r="M731">
        <v>0</v>
      </c>
      <c r="N731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731">
        <v>-1.1088359000000001</v>
      </c>
      <c r="P731">
        <v>0.66666669999999995</v>
      </c>
      <c r="Q731">
        <f>ROUND(Table1[[#This Row],[dass21_raw_score]],0)</f>
        <v>1</v>
      </c>
      <c r="R731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731">
        <v>-1.027895</v>
      </c>
      <c r="T731">
        <v>6.701493E-2</v>
      </c>
      <c r="U731">
        <v>5000</v>
      </c>
      <c r="V731" s="1">
        <f>ROUND(Table1[[#This Row],[fmpce]],0)</f>
        <v>5000</v>
      </c>
      <c r="W731">
        <v>68.023319999999998</v>
      </c>
      <c r="X731" s="4">
        <f>Table1[[#This Row],[mpce]]*89</f>
        <v>6054.0754799999995</v>
      </c>
      <c r="Y731" s="2" t="s">
        <v>28</v>
      </c>
      <c r="Z731" s="3">
        <f>VLOOKUP(Y731, rmpce_reference!$B$1:$D$7,3,FALSE) * 89</f>
        <v>6230</v>
      </c>
      <c r="AA731" s="1" t="str">
        <f>IF(Table1[rmpce_inr]&lt;=rmpce_reference!$F$2, "Low Income", IF(Table1[rmpce_inr]&lt;=rmpce_reference!$F$3, "Middle Income", "High Income"))</f>
        <v>Middle Income</v>
      </c>
    </row>
    <row r="732" spans="1:27" x14ac:dyDescent="0.25">
      <c r="A732">
        <v>4070</v>
      </c>
      <c r="B732" t="s">
        <v>42</v>
      </c>
      <c r="C732" t="s">
        <v>21</v>
      </c>
      <c r="D732">
        <v>50</v>
      </c>
      <c r="E732" t="s">
        <v>25</v>
      </c>
      <c r="F732" t="s">
        <v>26</v>
      </c>
      <c r="G732">
        <v>6</v>
      </c>
      <c r="H732" s="1" t="str">
        <f>IF(Table1[[#This Row],[anxiety_score]]&lt;=10, "Normal", IF(Table1[[#This Row],[anxiety_score]]&lt;=20, "Moderate", IF(Table1[[#This Row],[anxiety_score]]&lt;=30, "Severe", "Extremely Severe")))</f>
        <v>Normal</v>
      </c>
      <c r="I732">
        <v>-0.41028870000000001</v>
      </c>
      <c r="J732">
        <v>4</v>
      </c>
      <c r="K732" s="1" t="str">
        <f>IF(Table1[[#This Row],[stress_score]]&lt;=10, "Normal", IF(Table1[[#This Row],[stress_score]]&lt;=20, "Moderate", IF(Table1[[#This Row],[stress_score]]&lt;=30, "Severe", "Extremely Severe")))</f>
        <v>Normal</v>
      </c>
      <c r="L732">
        <v>-0.77314866000000004</v>
      </c>
      <c r="M732">
        <v>0</v>
      </c>
      <c r="N732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732">
        <v>-1.1088359000000001</v>
      </c>
      <c r="P732">
        <v>3.3333333000000001</v>
      </c>
      <c r="Q732">
        <f>ROUND(Table1[[#This Row],[dass21_raw_score]],0)</f>
        <v>3</v>
      </c>
      <c r="R732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732">
        <v>-0.76409110000000002</v>
      </c>
      <c r="T732">
        <v>0.33081883000000001</v>
      </c>
      <c r="U732">
        <v>4000</v>
      </c>
      <c r="V732" s="1">
        <f>ROUND(Table1[[#This Row],[fmpce]],0)</f>
        <v>4000</v>
      </c>
      <c r="W732">
        <v>54.418660000000003</v>
      </c>
      <c r="X732" s="4">
        <f>Table1[[#This Row],[mpce]]*89</f>
        <v>4843.2607400000006</v>
      </c>
      <c r="Y732" s="2" t="s">
        <v>32</v>
      </c>
      <c r="Z732" s="3">
        <f>VLOOKUP(Y732, rmpce_reference!$B$1:$D$7,3,FALSE) * 89</f>
        <v>4450</v>
      </c>
      <c r="AA732" s="1" t="str">
        <f>IF(Table1[rmpce_inr]&lt;=rmpce_reference!$F$2, "Low Income", IF(Table1[rmpce_inr]&lt;=rmpce_reference!$F$3, "Middle Income", "High Income"))</f>
        <v>Low Income</v>
      </c>
    </row>
    <row r="733" spans="1:27" x14ac:dyDescent="0.25">
      <c r="A733">
        <v>4071</v>
      </c>
      <c r="B733" t="s">
        <v>42</v>
      </c>
      <c r="C733" t="s">
        <v>33</v>
      </c>
      <c r="D733">
        <v>30</v>
      </c>
      <c r="E733" t="s">
        <v>25</v>
      </c>
      <c r="F733" t="s">
        <v>26</v>
      </c>
      <c r="G733">
        <v>0</v>
      </c>
      <c r="H733" s="1" t="str">
        <f>IF(Table1[[#This Row],[anxiety_score]]&lt;=10, "Normal", IF(Table1[[#This Row],[anxiety_score]]&lt;=20, "Moderate", IF(Table1[[#This Row],[anxiety_score]]&lt;=30, "Severe", "Extremely Severe")))</f>
        <v>Normal</v>
      </c>
      <c r="I733">
        <v>-1.0134224999999999</v>
      </c>
      <c r="J733">
        <v>2</v>
      </c>
      <c r="K733" s="1" t="str">
        <f>IF(Table1[[#This Row],[stress_score]]&lt;=10, "Normal", IF(Table1[[#This Row],[stress_score]]&lt;=20, "Moderate", IF(Table1[[#This Row],[stress_score]]&lt;=30, "Severe", "Extremely Severe")))</f>
        <v>Normal</v>
      </c>
      <c r="L733">
        <v>-0.9678099</v>
      </c>
      <c r="M733">
        <v>2</v>
      </c>
      <c r="N733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733">
        <v>-0.91619854999999994</v>
      </c>
      <c r="P733">
        <v>1.3333333999999999</v>
      </c>
      <c r="Q733">
        <f>ROUND(Table1[[#This Row],[dass21_raw_score]],0)</f>
        <v>1</v>
      </c>
      <c r="R733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733">
        <v>-0.96581030000000001</v>
      </c>
      <c r="T733">
        <v>0.12909961</v>
      </c>
      <c r="U733">
        <v>2400</v>
      </c>
      <c r="V733" s="1">
        <f>ROUND(Table1[[#This Row],[fmpce]],0)</f>
        <v>2400</v>
      </c>
      <c r="W733">
        <v>32.651195999999999</v>
      </c>
      <c r="X733" s="4">
        <f>Table1[[#This Row],[mpce]]*89</f>
        <v>2905.9564439999999</v>
      </c>
      <c r="Y733" s="2" t="s">
        <v>34</v>
      </c>
      <c r="Z733" s="3">
        <f>VLOOKUP(Y733, rmpce_reference!$B$1:$D$7,3,FALSE) * 89</f>
        <v>2848</v>
      </c>
      <c r="AA733" s="1" t="str">
        <f>IF(Table1[rmpce_inr]&lt;=rmpce_reference!$F$2, "Low Income", IF(Table1[rmpce_inr]&lt;=rmpce_reference!$F$3, "Middle Income", "High Income"))</f>
        <v>Low Income</v>
      </c>
    </row>
    <row r="734" spans="1:27" x14ac:dyDescent="0.25">
      <c r="A734">
        <v>4072</v>
      </c>
      <c r="B734" t="s">
        <v>42</v>
      </c>
      <c r="C734" t="s">
        <v>33</v>
      </c>
      <c r="D734">
        <v>28</v>
      </c>
      <c r="E734" t="s">
        <v>25</v>
      </c>
      <c r="F734" t="s">
        <v>30</v>
      </c>
      <c r="G734">
        <v>0</v>
      </c>
      <c r="H734" s="1" t="str">
        <f>IF(Table1[[#This Row],[anxiety_score]]&lt;=10, "Normal", IF(Table1[[#This Row],[anxiety_score]]&lt;=20, "Moderate", IF(Table1[[#This Row],[anxiety_score]]&lt;=30, "Severe", "Extremely Severe")))</f>
        <v>Normal</v>
      </c>
      <c r="I734">
        <v>-1.0134224999999999</v>
      </c>
      <c r="J734">
        <v>2</v>
      </c>
      <c r="K734" s="1" t="str">
        <f>IF(Table1[[#This Row],[stress_score]]&lt;=10, "Normal", IF(Table1[[#This Row],[stress_score]]&lt;=20, "Moderate", IF(Table1[[#This Row],[stress_score]]&lt;=30, "Severe", "Extremely Severe")))</f>
        <v>Normal</v>
      </c>
      <c r="L734">
        <v>-0.9678099</v>
      </c>
      <c r="M734">
        <v>0</v>
      </c>
      <c r="N734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734">
        <v>-1.1088359000000001</v>
      </c>
      <c r="P734">
        <v>0.66666669999999995</v>
      </c>
      <c r="Q734">
        <f>ROUND(Table1[[#This Row],[dass21_raw_score]],0)</f>
        <v>1</v>
      </c>
      <c r="R734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734">
        <v>-1.0300227</v>
      </c>
      <c r="T734">
        <v>6.4887165999999996E-2</v>
      </c>
      <c r="U734">
        <v>5000</v>
      </c>
      <c r="V734" s="1">
        <f>ROUND(Table1[[#This Row],[fmpce]],0)</f>
        <v>5000</v>
      </c>
      <c r="W734">
        <v>68.023319999999998</v>
      </c>
      <c r="X734" s="4">
        <f>Table1[[#This Row],[mpce]]*89</f>
        <v>6054.0754799999995</v>
      </c>
      <c r="Y734" s="2" t="s">
        <v>28</v>
      </c>
      <c r="Z734" s="3">
        <f>VLOOKUP(Y734, rmpce_reference!$B$1:$D$7,3,FALSE) * 89</f>
        <v>6230</v>
      </c>
      <c r="AA734" s="1" t="str">
        <f>IF(Table1[rmpce_inr]&lt;=rmpce_reference!$F$2, "Low Income", IF(Table1[rmpce_inr]&lt;=rmpce_reference!$F$3, "Middle Income", "High Income"))</f>
        <v>Middle Income</v>
      </c>
    </row>
    <row r="735" spans="1:27" x14ac:dyDescent="0.25">
      <c r="A735">
        <v>4073</v>
      </c>
      <c r="B735" t="s">
        <v>42</v>
      </c>
      <c r="C735" t="s">
        <v>29</v>
      </c>
      <c r="D735">
        <v>39</v>
      </c>
      <c r="E735" t="s">
        <v>22</v>
      </c>
      <c r="F735" t="s">
        <v>30</v>
      </c>
      <c r="G735">
        <v>0</v>
      </c>
      <c r="H735" s="1" t="str">
        <f>IF(Table1[[#This Row],[anxiety_score]]&lt;=10, "Normal", IF(Table1[[#This Row],[anxiety_score]]&lt;=20, "Moderate", IF(Table1[[#This Row],[anxiety_score]]&lt;=30, "Severe", "Extremely Severe")))</f>
        <v>Normal</v>
      </c>
      <c r="I735">
        <v>-1.0134224999999999</v>
      </c>
      <c r="J735">
        <v>0</v>
      </c>
      <c r="K735" s="1" t="str">
        <f>IF(Table1[[#This Row],[stress_score]]&lt;=10, "Normal", IF(Table1[[#This Row],[stress_score]]&lt;=20, "Moderate", IF(Table1[[#This Row],[stress_score]]&lt;=30, "Severe", "Extremely Severe")))</f>
        <v>Normal</v>
      </c>
      <c r="L735">
        <v>-1.1624711999999999</v>
      </c>
      <c r="M735">
        <v>0</v>
      </c>
      <c r="N735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735">
        <v>-1.1088359000000001</v>
      </c>
      <c r="P735">
        <v>0</v>
      </c>
      <c r="Q735">
        <f>ROUND(Table1[[#This Row],[dass21_raw_score]],0)</f>
        <v>0</v>
      </c>
      <c r="R735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735">
        <v>-1.0949099</v>
      </c>
      <c r="T735">
        <v>0</v>
      </c>
      <c r="U735">
        <v>3750</v>
      </c>
      <c r="V735" s="1">
        <f>ROUND(Table1[[#This Row],[fmpce]],0)</f>
        <v>3750</v>
      </c>
      <c r="W735">
        <v>51.017493999999999</v>
      </c>
      <c r="X735" s="4">
        <f>Table1[[#This Row],[mpce]]*89</f>
        <v>4540.5569660000001</v>
      </c>
      <c r="Y735" s="2" t="s">
        <v>32</v>
      </c>
      <c r="Z735" s="3">
        <f>VLOOKUP(Y735, rmpce_reference!$B$1:$D$7,3,FALSE) * 89</f>
        <v>4450</v>
      </c>
      <c r="AA735" s="1" t="str">
        <f>IF(Table1[rmpce_inr]&lt;=rmpce_reference!$F$2, "Low Income", IF(Table1[rmpce_inr]&lt;=rmpce_reference!$F$3, "Middle Income", "High Income"))</f>
        <v>Low Income</v>
      </c>
    </row>
    <row r="736" spans="1:27" x14ac:dyDescent="0.25">
      <c r="A736">
        <v>4074</v>
      </c>
      <c r="B736" t="s">
        <v>42</v>
      </c>
      <c r="C736" t="s">
        <v>21</v>
      </c>
      <c r="D736">
        <v>45</v>
      </c>
      <c r="E736" t="s">
        <v>22</v>
      </c>
      <c r="F736" t="s">
        <v>30</v>
      </c>
      <c r="G736">
        <v>0</v>
      </c>
      <c r="H736" s="1" t="str">
        <f>IF(Table1[[#This Row],[anxiety_score]]&lt;=10, "Normal", IF(Table1[[#This Row],[anxiety_score]]&lt;=20, "Moderate", IF(Table1[[#This Row],[anxiety_score]]&lt;=30, "Severe", "Extremely Severe")))</f>
        <v>Normal</v>
      </c>
      <c r="I736">
        <v>-1.0134224999999999</v>
      </c>
      <c r="J736">
        <v>0</v>
      </c>
      <c r="K736" s="1" t="str">
        <f>IF(Table1[[#This Row],[stress_score]]&lt;=10, "Normal", IF(Table1[[#This Row],[stress_score]]&lt;=20, "Moderate", IF(Table1[[#This Row],[stress_score]]&lt;=30, "Severe", "Extremely Severe")))</f>
        <v>Normal</v>
      </c>
      <c r="L736">
        <v>-1.1624711999999999</v>
      </c>
      <c r="M736">
        <v>0</v>
      </c>
      <c r="N736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736">
        <v>-1.1088359000000001</v>
      </c>
      <c r="P736">
        <v>0</v>
      </c>
      <c r="Q736">
        <f>ROUND(Table1[[#This Row],[dass21_raw_score]],0)</f>
        <v>0</v>
      </c>
      <c r="R736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736">
        <v>-1.0949099</v>
      </c>
      <c r="T736">
        <v>0</v>
      </c>
      <c r="U736">
        <v>5000</v>
      </c>
      <c r="V736" s="1">
        <f>ROUND(Table1[[#This Row],[fmpce]],0)</f>
        <v>5000</v>
      </c>
      <c r="W736">
        <v>68.023319999999998</v>
      </c>
      <c r="X736" s="4">
        <f>Table1[[#This Row],[mpce]]*89</f>
        <v>6054.0754799999995</v>
      </c>
      <c r="Y736" s="2" t="s">
        <v>28</v>
      </c>
      <c r="Z736" s="3">
        <f>VLOOKUP(Y736, rmpce_reference!$B$1:$D$7,3,FALSE) * 89</f>
        <v>6230</v>
      </c>
      <c r="AA736" s="1" t="str">
        <f>IF(Table1[rmpce_inr]&lt;=rmpce_reference!$F$2, "Low Income", IF(Table1[rmpce_inr]&lt;=rmpce_reference!$F$3, "Middle Income", "High Income"))</f>
        <v>Middle Income</v>
      </c>
    </row>
    <row r="737" spans="1:27" x14ac:dyDescent="0.25">
      <c r="A737">
        <v>4075</v>
      </c>
      <c r="B737" t="s">
        <v>42</v>
      </c>
      <c r="C737" t="s">
        <v>21</v>
      </c>
      <c r="D737">
        <v>42</v>
      </c>
      <c r="E737" t="s">
        <v>22</v>
      </c>
      <c r="F737" t="s">
        <v>30</v>
      </c>
      <c r="G737">
        <v>4</v>
      </c>
      <c r="H737" s="1" t="str">
        <f>IF(Table1[[#This Row],[anxiety_score]]&lt;=10, "Normal", IF(Table1[[#This Row],[anxiety_score]]&lt;=20, "Moderate", IF(Table1[[#This Row],[anxiety_score]]&lt;=30, "Severe", "Extremely Severe")))</f>
        <v>Normal</v>
      </c>
      <c r="I737">
        <v>-0.61133329999999997</v>
      </c>
      <c r="J737">
        <v>12</v>
      </c>
      <c r="K737" s="1" t="str">
        <f>IF(Table1[[#This Row],[stress_score]]&lt;=10, "Normal", IF(Table1[[#This Row],[stress_score]]&lt;=20, "Moderate", IF(Table1[[#This Row],[stress_score]]&lt;=30, "Severe", "Extremely Severe")))</f>
        <v>Moderate</v>
      </c>
      <c r="L737">
        <v>5.496318E-3</v>
      </c>
      <c r="M737">
        <v>6</v>
      </c>
      <c r="N737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737">
        <v>-0.53092379999999995</v>
      </c>
      <c r="P737">
        <v>7.3333335000000002</v>
      </c>
      <c r="Q737">
        <f>ROUND(Table1[[#This Row],[dass21_raw_score]],0)</f>
        <v>7</v>
      </c>
      <c r="R737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737">
        <v>-0.37892026000000001</v>
      </c>
      <c r="T737">
        <v>0.71598965000000003</v>
      </c>
      <c r="U737">
        <v>6000</v>
      </c>
      <c r="V737" s="1">
        <f>ROUND(Table1[[#This Row],[fmpce]],0)</f>
        <v>6000</v>
      </c>
      <c r="W737">
        <v>81.627989999999997</v>
      </c>
      <c r="X737" s="4">
        <f>Table1[[#This Row],[mpce]]*89</f>
        <v>7264.8911099999996</v>
      </c>
      <c r="Y737" s="2" t="s">
        <v>31</v>
      </c>
      <c r="Z737" s="3">
        <f>VLOOKUP(Y737, rmpce_reference!$B$1:$D$7,3,FALSE) * 89</f>
        <v>8010</v>
      </c>
      <c r="AA737" s="1" t="str">
        <f>IF(Table1[rmpce_inr]&lt;=rmpce_reference!$F$2, "Low Income", IF(Table1[rmpce_inr]&lt;=rmpce_reference!$F$3, "Middle Income", "High Income"))</f>
        <v>High Income</v>
      </c>
    </row>
    <row r="738" spans="1:27" x14ac:dyDescent="0.25">
      <c r="A738">
        <v>4076</v>
      </c>
      <c r="B738" t="s">
        <v>42</v>
      </c>
      <c r="C738" t="s">
        <v>29</v>
      </c>
      <c r="D738">
        <v>40</v>
      </c>
      <c r="E738" t="s">
        <v>25</v>
      </c>
      <c r="F738" t="s">
        <v>26</v>
      </c>
      <c r="G738">
        <v>4</v>
      </c>
      <c r="H738" s="1" t="str">
        <f>IF(Table1[[#This Row],[anxiety_score]]&lt;=10, "Normal", IF(Table1[[#This Row],[anxiety_score]]&lt;=20, "Moderate", IF(Table1[[#This Row],[anxiety_score]]&lt;=30, "Severe", "Extremely Severe")))</f>
        <v>Normal</v>
      </c>
      <c r="I738">
        <v>-0.61133329999999997</v>
      </c>
      <c r="J738">
        <v>6</v>
      </c>
      <c r="K738" s="1" t="str">
        <f>IF(Table1[[#This Row],[stress_score]]&lt;=10, "Normal", IF(Table1[[#This Row],[stress_score]]&lt;=20, "Moderate", IF(Table1[[#This Row],[stress_score]]&lt;=30, "Severe", "Extremely Severe")))</f>
        <v>Normal</v>
      </c>
      <c r="L738">
        <v>-0.57848745999999995</v>
      </c>
      <c r="M738">
        <v>0</v>
      </c>
      <c r="N738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738">
        <v>-1.1088359000000001</v>
      </c>
      <c r="P738">
        <v>3.3333333000000001</v>
      </c>
      <c r="Q738">
        <f>ROUND(Table1[[#This Row],[dass21_raw_score]],0)</f>
        <v>3</v>
      </c>
      <c r="R738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738">
        <v>-0.76621890000000004</v>
      </c>
      <c r="T738">
        <v>0.32869100000000001</v>
      </c>
      <c r="U738">
        <v>2500</v>
      </c>
      <c r="V738" s="1">
        <f>ROUND(Table1[[#This Row],[fmpce]],0)</f>
        <v>2500</v>
      </c>
      <c r="W738">
        <v>34.011659999999999</v>
      </c>
      <c r="X738" s="4">
        <f>Table1[[#This Row],[mpce]]*89</f>
        <v>3027.0377399999998</v>
      </c>
      <c r="Y738" s="2" t="s">
        <v>34</v>
      </c>
      <c r="Z738" s="3">
        <f>VLOOKUP(Y738, rmpce_reference!$B$1:$D$7,3,FALSE) * 89</f>
        <v>2848</v>
      </c>
      <c r="AA738" s="1" t="str">
        <f>IF(Table1[rmpce_inr]&lt;=rmpce_reference!$F$2, "Low Income", IF(Table1[rmpce_inr]&lt;=rmpce_reference!$F$3, "Middle Income", "High Income"))</f>
        <v>Low Income</v>
      </c>
    </row>
    <row r="739" spans="1:27" x14ac:dyDescent="0.25">
      <c r="A739">
        <v>4077</v>
      </c>
      <c r="B739" t="s">
        <v>42</v>
      </c>
      <c r="C739" t="s">
        <v>33</v>
      </c>
      <c r="D739">
        <v>25</v>
      </c>
      <c r="E739" t="s">
        <v>22</v>
      </c>
      <c r="F739" t="s">
        <v>30</v>
      </c>
      <c r="G739">
        <v>2</v>
      </c>
      <c r="H739" s="1" t="str">
        <f>IF(Table1[[#This Row],[anxiety_score]]&lt;=10, "Normal", IF(Table1[[#This Row],[anxiety_score]]&lt;=20, "Moderate", IF(Table1[[#This Row],[anxiety_score]]&lt;=30, "Severe", "Extremely Severe")))</f>
        <v>Normal</v>
      </c>
      <c r="I739">
        <v>-0.81237789999999999</v>
      </c>
      <c r="J739">
        <v>0</v>
      </c>
      <c r="K739" s="1" t="str">
        <f>IF(Table1[[#This Row],[stress_score]]&lt;=10, "Normal", IF(Table1[[#This Row],[stress_score]]&lt;=20, "Moderate", IF(Table1[[#This Row],[stress_score]]&lt;=30, "Severe", "Extremely Severe")))</f>
        <v>Normal</v>
      </c>
      <c r="L739">
        <v>-1.1624711999999999</v>
      </c>
      <c r="M739">
        <v>0</v>
      </c>
      <c r="N739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739">
        <v>-1.1088359000000001</v>
      </c>
      <c r="P739">
        <v>0.66666669999999995</v>
      </c>
      <c r="Q739">
        <f>ROUND(Table1[[#This Row],[dass21_raw_score]],0)</f>
        <v>1</v>
      </c>
      <c r="R739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739">
        <v>-1.027895</v>
      </c>
      <c r="T739">
        <v>6.701493E-2</v>
      </c>
      <c r="U739">
        <v>2000</v>
      </c>
      <c r="V739" s="1">
        <f>ROUND(Table1[[#This Row],[fmpce]],0)</f>
        <v>2000</v>
      </c>
      <c r="W739">
        <v>27.209330000000001</v>
      </c>
      <c r="X739" s="4">
        <f>Table1[[#This Row],[mpce]]*89</f>
        <v>2421.6303700000003</v>
      </c>
      <c r="Y739" s="2" t="s">
        <v>34</v>
      </c>
      <c r="Z739" s="3">
        <f>VLOOKUP(Y739, rmpce_reference!$B$1:$D$7,3,FALSE) * 89</f>
        <v>2848</v>
      </c>
      <c r="AA739" s="1" t="str">
        <f>IF(Table1[rmpce_inr]&lt;=rmpce_reference!$F$2, "Low Income", IF(Table1[rmpce_inr]&lt;=rmpce_reference!$F$3, "Middle Income", "High Income"))</f>
        <v>Low Income</v>
      </c>
    </row>
    <row r="740" spans="1:27" x14ac:dyDescent="0.25">
      <c r="A740">
        <v>4078</v>
      </c>
      <c r="B740" t="s">
        <v>42</v>
      </c>
      <c r="C740" t="s">
        <v>33</v>
      </c>
      <c r="D740">
        <v>30</v>
      </c>
      <c r="E740" t="s">
        <v>22</v>
      </c>
      <c r="F740" t="s">
        <v>23</v>
      </c>
      <c r="G740">
        <v>6</v>
      </c>
      <c r="H740" s="1" t="str">
        <f>IF(Table1[[#This Row],[anxiety_score]]&lt;=10, "Normal", IF(Table1[[#This Row],[anxiety_score]]&lt;=20, "Moderate", IF(Table1[[#This Row],[anxiety_score]]&lt;=30, "Severe", "Extremely Severe")))</f>
        <v>Normal</v>
      </c>
      <c r="I740">
        <v>-0.41028870000000001</v>
      </c>
      <c r="J740">
        <v>4</v>
      </c>
      <c r="K740" s="1" t="str">
        <f>IF(Table1[[#This Row],[stress_score]]&lt;=10, "Normal", IF(Table1[[#This Row],[stress_score]]&lt;=20, "Moderate", IF(Table1[[#This Row],[stress_score]]&lt;=30, "Severe", "Extremely Severe")))</f>
        <v>Normal</v>
      </c>
      <c r="L740">
        <v>-0.77314866000000004</v>
      </c>
      <c r="M740">
        <v>4</v>
      </c>
      <c r="N740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740">
        <v>-0.72356116999999998</v>
      </c>
      <c r="P740">
        <v>4.6666664999999998</v>
      </c>
      <c r="Q740">
        <f>ROUND(Table1[[#This Row],[dass21_raw_score]],0)</f>
        <v>5</v>
      </c>
      <c r="R740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740">
        <v>-0.63566619999999996</v>
      </c>
      <c r="T740">
        <v>0.45924369999999998</v>
      </c>
      <c r="U740">
        <v>4000</v>
      </c>
      <c r="V740" s="1">
        <f>ROUND(Table1[[#This Row],[fmpce]],0)</f>
        <v>4000</v>
      </c>
      <c r="W740">
        <v>54.418660000000003</v>
      </c>
      <c r="X740" s="4">
        <f>Table1[[#This Row],[mpce]]*89</f>
        <v>4843.2607400000006</v>
      </c>
      <c r="Y740" s="2" t="s">
        <v>32</v>
      </c>
      <c r="Z740" s="3">
        <f>VLOOKUP(Y740, rmpce_reference!$B$1:$D$7,3,FALSE) * 89</f>
        <v>4450</v>
      </c>
      <c r="AA740" s="1" t="str">
        <f>IF(Table1[rmpce_inr]&lt;=rmpce_reference!$F$2, "Low Income", IF(Table1[rmpce_inr]&lt;=rmpce_reference!$F$3, "Middle Income", "High Income"))</f>
        <v>Low Income</v>
      </c>
    </row>
    <row r="741" spans="1:27" x14ac:dyDescent="0.25">
      <c r="A741">
        <v>4079</v>
      </c>
      <c r="B741" t="s">
        <v>42</v>
      </c>
      <c r="C741" t="s">
        <v>29</v>
      </c>
      <c r="D741">
        <v>31</v>
      </c>
      <c r="E741" t="s">
        <v>22</v>
      </c>
      <c r="F741" t="s">
        <v>23</v>
      </c>
      <c r="G741">
        <v>6</v>
      </c>
      <c r="H741" s="1" t="str">
        <f>IF(Table1[[#This Row],[anxiety_score]]&lt;=10, "Normal", IF(Table1[[#This Row],[anxiety_score]]&lt;=20, "Moderate", IF(Table1[[#This Row],[anxiety_score]]&lt;=30, "Severe", "Extremely Severe")))</f>
        <v>Normal</v>
      </c>
      <c r="I741">
        <v>-0.41028870000000001</v>
      </c>
      <c r="J741">
        <v>4</v>
      </c>
      <c r="K741" s="1" t="str">
        <f>IF(Table1[[#This Row],[stress_score]]&lt;=10, "Normal", IF(Table1[[#This Row],[stress_score]]&lt;=20, "Moderate", IF(Table1[[#This Row],[stress_score]]&lt;=30, "Severe", "Extremely Severe")))</f>
        <v>Normal</v>
      </c>
      <c r="L741">
        <v>-0.77314866000000004</v>
      </c>
      <c r="M741">
        <v>4</v>
      </c>
      <c r="N741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741">
        <v>-0.72356116999999998</v>
      </c>
      <c r="P741">
        <v>4.6666664999999998</v>
      </c>
      <c r="Q741">
        <f>ROUND(Table1[[#This Row],[dass21_raw_score]],0)</f>
        <v>5</v>
      </c>
      <c r="R741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741">
        <v>-0.63566619999999996</v>
      </c>
      <c r="T741">
        <v>0.45924369999999998</v>
      </c>
      <c r="U741">
        <v>3333.3332999999998</v>
      </c>
      <c r="V741" s="1">
        <f>ROUND(Table1[[#This Row],[fmpce]],0)</f>
        <v>3333</v>
      </c>
      <c r="W741">
        <v>45.348880000000001</v>
      </c>
      <c r="X741" s="4">
        <f>Table1[[#This Row],[mpce]]*89</f>
        <v>4036.0503200000003</v>
      </c>
      <c r="Y741" s="2" t="s">
        <v>32</v>
      </c>
      <c r="Z741" s="3">
        <f>VLOOKUP(Y741, rmpce_reference!$B$1:$D$7,3,FALSE) * 89</f>
        <v>4450</v>
      </c>
      <c r="AA741" s="1" t="str">
        <f>IF(Table1[rmpce_inr]&lt;=rmpce_reference!$F$2, "Low Income", IF(Table1[rmpce_inr]&lt;=rmpce_reference!$F$3, "Middle Income", "High Income"))</f>
        <v>Low Income</v>
      </c>
    </row>
    <row r="742" spans="1:27" x14ac:dyDescent="0.25">
      <c r="A742">
        <v>4080</v>
      </c>
      <c r="B742" t="s">
        <v>42</v>
      </c>
      <c r="C742" t="s">
        <v>21</v>
      </c>
      <c r="D742">
        <v>47</v>
      </c>
      <c r="E742" t="s">
        <v>22</v>
      </c>
      <c r="F742" t="s">
        <v>23</v>
      </c>
      <c r="G742">
        <v>2</v>
      </c>
      <c r="H742" s="1" t="str">
        <f>IF(Table1[[#This Row],[anxiety_score]]&lt;=10, "Normal", IF(Table1[[#This Row],[anxiety_score]]&lt;=20, "Moderate", IF(Table1[[#This Row],[anxiety_score]]&lt;=30, "Severe", "Extremely Severe")))</f>
        <v>Normal</v>
      </c>
      <c r="I742">
        <v>-0.81237789999999999</v>
      </c>
      <c r="J742">
        <v>0</v>
      </c>
      <c r="K742" s="1" t="str">
        <f>IF(Table1[[#This Row],[stress_score]]&lt;=10, "Normal", IF(Table1[[#This Row],[stress_score]]&lt;=20, "Moderate", IF(Table1[[#This Row],[stress_score]]&lt;=30, "Severe", "Extremely Severe")))</f>
        <v>Normal</v>
      </c>
      <c r="L742">
        <v>-1.1624711999999999</v>
      </c>
      <c r="M742">
        <v>2</v>
      </c>
      <c r="N742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742">
        <v>-0.91619854999999994</v>
      </c>
      <c r="P742">
        <v>1.3333333999999999</v>
      </c>
      <c r="Q742">
        <f>ROUND(Table1[[#This Row],[dass21_raw_score]],0)</f>
        <v>1</v>
      </c>
      <c r="R742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742">
        <v>-0.96368253000000004</v>
      </c>
      <c r="T742">
        <v>0.13122737000000001</v>
      </c>
      <c r="U742">
        <v>6000</v>
      </c>
      <c r="V742" s="1">
        <f>ROUND(Table1[[#This Row],[fmpce]],0)</f>
        <v>6000</v>
      </c>
      <c r="W742">
        <v>81.627989999999997</v>
      </c>
      <c r="X742" s="4">
        <f>Table1[[#This Row],[mpce]]*89</f>
        <v>7264.8911099999996</v>
      </c>
      <c r="Y742" s="2" t="s">
        <v>31</v>
      </c>
      <c r="Z742" s="3">
        <f>VLOOKUP(Y742, rmpce_reference!$B$1:$D$7,3,FALSE) * 89</f>
        <v>8010</v>
      </c>
      <c r="AA742" s="1" t="str">
        <f>IF(Table1[rmpce_inr]&lt;=rmpce_reference!$F$2, "Low Income", IF(Table1[rmpce_inr]&lt;=rmpce_reference!$F$3, "Middle Income", "High Income"))</f>
        <v>High Income</v>
      </c>
    </row>
    <row r="743" spans="1:27" x14ac:dyDescent="0.25">
      <c r="A743">
        <v>4081</v>
      </c>
      <c r="B743" t="s">
        <v>42</v>
      </c>
      <c r="C743" t="s">
        <v>33</v>
      </c>
      <c r="D743">
        <v>30</v>
      </c>
      <c r="E743" t="s">
        <v>22</v>
      </c>
      <c r="F743" t="s">
        <v>23</v>
      </c>
      <c r="G743">
        <v>4</v>
      </c>
      <c r="H743" s="1" t="str">
        <f>IF(Table1[[#This Row],[anxiety_score]]&lt;=10, "Normal", IF(Table1[[#This Row],[anxiety_score]]&lt;=20, "Moderate", IF(Table1[[#This Row],[anxiety_score]]&lt;=30, "Severe", "Extremely Severe")))</f>
        <v>Normal</v>
      </c>
      <c r="I743">
        <v>-0.61133329999999997</v>
      </c>
      <c r="J743">
        <v>6</v>
      </c>
      <c r="K743" s="1" t="str">
        <f>IF(Table1[[#This Row],[stress_score]]&lt;=10, "Normal", IF(Table1[[#This Row],[stress_score]]&lt;=20, "Moderate", IF(Table1[[#This Row],[stress_score]]&lt;=30, "Severe", "Extremely Severe")))</f>
        <v>Normal</v>
      </c>
      <c r="L743">
        <v>-0.57848745999999995</v>
      </c>
      <c r="M743">
        <v>6</v>
      </c>
      <c r="N743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743">
        <v>-0.53092379999999995</v>
      </c>
      <c r="P743">
        <v>5.3333335000000002</v>
      </c>
      <c r="Q743">
        <f>ROUND(Table1[[#This Row],[dass21_raw_score]],0)</f>
        <v>5</v>
      </c>
      <c r="R743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743">
        <v>-0.57358149999999997</v>
      </c>
      <c r="T743">
        <v>0.52132840000000003</v>
      </c>
      <c r="U743">
        <v>5000</v>
      </c>
      <c r="V743" s="1">
        <f>ROUND(Table1[[#This Row],[fmpce]],0)</f>
        <v>5000</v>
      </c>
      <c r="W743">
        <v>68.023319999999998</v>
      </c>
      <c r="X743" s="4">
        <f>Table1[[#This Row],[mpce]]*89</f>
        <v>6054.0754799999995</v>
      </c>
      <c r="Y743" s="2" t="s">
        <v>28</v>
      </c>
      <c r="Z743" s="3">
        <f>VLOOKUP(Y743, rmpce_reference!$B$1:$D$7,3,FALSE) * 89</f>
        <v>6230</v>
      </c>
      <c r="AA743" s="1" t="str">
        <f>IF(Table1[rmpce_inr]&lt;=rmpce_reference!$F$2, "Low Income", IF(Table1[rmpce_inr]&lt;=rmpce_reference!$F$3, "Middle Income", "High Income"))</f>
        <v>Middle Income</v>
      </c>
    </row>
    <row r="744" spans="1:27" x14ac:dyDescent="0.25">
      <c r="A744">
        <v>4082</v>
      </c>
      <c r="B744" t="s">
        <v>42</v>
      </c>
      <c r="C744" t="s">
        <v>29</v>
      </c>
      <c r="D744">
        <v>33</v>
      </c>
      <c r="E744" t="s">
        <v>22</v>
      </c>
      <c r="F744" t="s">
        <v>23</v>
      </c>
      <c r="G744">
        <v>0</v>
      </c>
      <c r="H744" s="1" t="str">
        <f>IF(Table1[[#This Row],[anxiety_score]]&lt;=10, "Normal", IF(Table1[[#This Row],[anxiety_score]]&lt;=20, "Moderate", IF(Table1[[#This Row],[anxiety_score]]&lt;=30, "Severe", "Extremely Severe")))</f>
        <v>Normal</v>
      </c>
      <c r="I744">
        <v>-1.0134224999999999</v>
      </c>
      <c r="J744">
        <v>2</v>
      </c>
      <c r="K744" s="1" t="str">
        <f>IF(Table1[[#This Row],[stress_score]]&lt;=10, "Normal", IF(Table1[[#This Row],[stress_score]]&lt;=20, "Moderate", IF(Table1[[#This Row],[stress_score]]&lt;=30, "Severe", "Extremely Severe")))</f>
        <v>Normal</v>
      </c>
      <c r="L744">
        <v>-0.9678099</v>
      </c>
      <c r="M744">
        <v>0</v>
      </c>
      <c r="N744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744">
        <v>-1.1088359000000001</v>
      </c>
      <c r="P744">
        <v>0.66666669999999995</v>
      </c>
      <c r="Q744">
        <f>ROUND(Table1[[#This Row],[dass21_raw_score]],0)</f>
        <v>1</v>
      </c>
      <c r="R744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744">
        <v>-1.0300227</v>
      </c>
      <c r="T744">
        <v>6.4887165999999996E-2</v>
      </c>
      <c r="U744">
        <v>6000</v>
      </c>
      <c r="V744" s="1">
        <f>ROUND(Table1[[#This Row],[fmpce]],0)</f>
        <v>6000</v>
      </c>
      <c r="W744">
        <v>81.627989999999997</v>
      </c>
      <c r="X744" s="4">
        <f>Table1[[#This Row],[mpce]]*89</f>
        <v>7264.8911099999996</v>
      </c>
      <c r="Y744" s="2" t="s">
        <v>31</v>
      </c>
      <c r="Z744" s="3">
        <f>VLOOKUP(Y744, rmpce_reference!$B$1:$D$7,3,FALSE) * 89</f>
        <v>8010</v>
      </c>
      <c r="AA744" s="1" t="str">
        <f>IF(Table1[rmpce_inr]&lt;=rmpce_reference!$F$2, "Low Income", IF(Table1[rmpce_inr]&lt;=rmpce_reference!$F$3, "Middle Income", "High Income"))</f>
        <v>High Income</v>
      </c>
    </row>
    <row r="745" spans="1:27" x14ac:dyDescent="0.25">
      <c r="A745">
        <v>4083</v>
      </c>
      <c r="B745" t="s">
        <v>42</v>
      </c>
      <c r="C745" t="s">
        <v>33</v>
      </c>
      <c r="D745">
        <v>29</v>
      </c>
      <c r="E745" t="s">
        <v>22</v>
      </c>
      <c r="F745" t="s">
        <v>23</v>
      </c>
      <c r="G745">
        <v>0</v>
      </c>
      <c r="H745" s="1" t="str">
        <f>IF(Table1[[#This Row],[anxiety_score]]&lt;=10, "Normal", IF(Table1[[#This Row],[anxiety_score]]&lt;=20, "Moderate", IF(Table1[[#This Row],[anxiety_score]]&lt;=30, "Severe", "Extremely Severe")))</f>
        <v>Normal</v>
      </c>
      <c r="I745">
        <v>-1.0134224999999999</v>
      </c>
      <c r="J745">
        <v>0</v>
      </c>
      <c r="K745" s="1" t="str">
        <f>IF(Table1[[#This Row],[stress_score]]&lt;=10, "Normal", IF(Table1[[#This Row],[stress_score]]&lt;=20, "Moderate", IF(Table1[[#This Row],[stress_score]]&lt;=30, "Severe", "Extremely Severe")))</f>
        <v>Normal</v>
      </c>
      <c r="L745">
        <v>-1.1624711999999999</v>
      </c>
      <c r="M745">
        <v>0</v>
      </c>
      <c r="N745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745">
        <v>-1.1088359000000001</v>
      </c>
      <c r="P745">
        <v>0</v>
      </c>
      <c r="Q745">
        <f>ROUND(Table1[[#This Row],[dass21_raw_score]],0)</f>
        <v>0</v>
      </c>
      <c r="R745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745">
        <v>-1.0949099</v>
      </c>
      <c r="T745">
        <v>0</v>
      </c>
      <c r="U745">
        <v>4000</v>
      </c>
      <c r="V745" s="1">
        <f>ROUND(Table1[[#This Row],[fmpce]],0)</f>
        <v>4000</v>
      </c>
      <c r="W745">
        <v>54.418660000000003</v>
      </c>
      <c r="X745" s="4">
        <f>Table1[[#This Row],[mpce]]*89</f>
        <v>4843.2607400000006</v>
      </c>
      <c r="Y745" s="2" t="s">
        <v>32</v>
      </c>
      <c r="Z745" s="3">
        <f>VLOOKUP(Y745, rmpce_reference!$B$1:$D$7,3,FALSE) * 89</f>
        <v>4450</v>
      </c>
      <c r="AA745" s="1" t="str">
        <f>IF(Table1[rmpce_inr]&lt;=rmpce_reference!$F$2, "Low Income", IF(Table1[rmpce_inr]&lt;=rmpce_reference!$F$3, "Middle Income", "High Income"))</f>
        <v>Low Income</v>
      </c>
    </row>
    <row r="746" spans="1:27" x14ac:dyDescent="0.25">
      <c r="A746">
        <v>4084</v>
      </c>
      <c r="B746" t="s">
        <v>42</v>
      </c>
      <c r="C746" t="s">
        <v>36</v>
      </c>
      <c r="D746">
        <v>55</v>
      </c>
      <c r="E746" t="s">
        <v>22</v>
      </c>
      <c r="F746" t="s">
        <v>30</v>
      </c>
      <c r="G746">
        <v>0</v>
      </c>
      <c r="H746" s="1" t="str">
        <f>IF(Table1[[#This Row],[anxiety_score]]&lt;=10, "Normal", IF(Table1[[#This Row],[anxiety_score]]&lt;=20, "Moderate", IF(Table1[[#This Row],[anxiety_score]]&lt;=30, "Severe", "Extremely Severe")))</f>
        <v>Normal</v>
      </c>
      <c r="I746">
        <v>-1.0134224999999999</v>
      </c>
      <c r="J746">
        <v>0</v>
      </c>
      <c r="K746" s="1" t="str">
        <f>IF(Table1[[#This Row],[stress_score]]&lt;=10, "Normal", IF(Table1[[#This Row],[stress_score]]&lt;=20, "Moderate", IF(Table1[[#This Row],[stress_score]]&lt;=30, "Severe", "Extremely Severe")))</f>
        <v>Normal</v>
      </c>
      <c r="L746">
        <v>-1.1624711999999999</v>
      </c>
      <c r="M746">
        <v>0</v>
      </c>
      <c r="N746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746">
        <v>-1.1088359000000001</v>
      </c>
      <c r="P746">
        <v>0</v>
      </c>
      <c r="Q746">
        <f>ROUND(Table1[[#This Row],[dass21_raw_score]],0)</f>
        <v>0</v>
      </c>
      <c r="R746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746">
        <v>-1.0949099</v>
      </c>
      <c r="T746">
        <v>0</v>
      </c>
      <c r="U746">
        <v>3250</v>
      </c>
      <c r="V746" s="1">
        <f>ROUND(Table1[[#This Row],[fmpce]],0)</f>
        <v>3250</v>
      </c>
      <c r="W746">
        <v>44.215159999999997</v>
      </c>
      <c r="X746" s="4">
        <f>Table1[[#This Row],[mpce]]*89</f>
        <v>3935.1492399999997</v>
      </c>
      <c r="Y746" s="2" t="s">
        <v>32</v>
      </c>
      <c r="Z746" s="3">
        <f>VLOOKUP(Y746, rmpce_reference!$B$1:$D$7,3,FALSE) * 89</f>
        <v>4450</v>
      </c>
      <c r="AA746" s="1" t="str">
        <f>IF(Table1[rmpce_inr]&lt;=rmpce_reference!$F$2, "Low Income", IF(Table1[rmpce_inr]&lt;=rmpce_reference!$F$3, "Middle Income", "High Income"))</f>
        <v>Low Income</v>
      </c>
    </row>
    <row r="747" spans="1:27" x14ac:dyDescent="0.25">
      <c r="A747">
        <v>4085</v>
      </c>
      <c r="B747" t="s">
        <v>42</v>
      </c>
      <c r="C747" t="s">
        <v>29</v>
      </c>
      <c r="D747">
        <v>40</v>
      </c>
      <c r="E747" t="s">
        <v>22</v>
      </c>
      <c r="F747" t="s">
        <v>37</v>
      </c>
      <c r="G747">
        <v>10</v>
      </c>
      <c r="H747" s="1" t="str">
        <f>IF(Table1[[#This Row],[anxiety_score]]&lt;=10, "Normal", IF(Table1[[#This Row],[anxiety_score]]&lt;=20, "Moderate", IF(Table1[[#This Row],[anxiety_score]]&lt;=30, "Severe", "Extremely Severe")))</f>
        <v>Normal</v>
      </c>
      <c r="I747">
        <v>-8.1994660000000007E-3</v>
      </c>
      <c r="J747">
        <v>12</v>
      </c>
      <c r="K747" s="1" t="str">
        <f>IF(Table1[[#This Row],[stress_score]]&lt;=10, "Normal", IF(Table1[[#This Row],[stress_score]]&lt;=20, "Moderate", IF(Table1[[#This Row],[stress_score]]&lt;=30, "Severe", "Extremely Severe")))</f>
        <v>Moderate</v>
      </c>
      <c r="L747">
        <v>5.496318E-3</v>
      </c>
      <c r="M747">
        <v>8</v>
      </c>
      <c r="N747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747">
        <v>-0.33828637</v>
      </c>
      <c r="P747">
        <v>10</v>
      </c>
      <c r="Q747">
        <f>ROUND(Table1[[#This Row],[dass21_raw_score]],0)</f>
        <v>10</v>
      </c>
      <c r="R747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747">
        <v>-0.11366317400000001</v>
      </c>
      <c r="T747">
        <v>0.98124670000000003</v>
      </c>
      <c r="U747">
        <v>2000</v>
      </c>
      <c r="V747" s="1">
        <f>ROUND(Table1[[#This Row],[fmpce]],0)</f>
        <v>2000</v>
      </c>
      <c r="W747">
        <v>27.209330000000001</v>
      </c>
      <c r="X747" s="4">
        <f>Table1[[#This Row],[mpce]]*89</f>
        <v>2421.6303700000003</v>
      </c>
      <c r="Y747" s="2" t="s">
        <v>34</v>
      </c>
      <c r="Z747" s="3">
        <f>VLOOKUP(Y747, rmpce_reference!$B$1:$D$7,3,FALSE) * 89</f>
        <v>2848</v>
      </c>
      <c r="AA747" s="1" t="str">
        <f>IF(Table1[rmpce_inr]&lt;=rmpce_reference!$F$2, "Low Income", IF(Table1[rmpce_inr]&lt;=rmpce_reference!$F$3, "Middle Income", "High Income"))</f>
        <v>Low Income</v>
      </c>
    </row>
    <row r="748" spans="1:27" x14ac:dyDescent="0.25">
      <c r="A748">
        <v>4086</v>
      </c>
      <c r="B748" t="s">
        <v>42</v>
      </c>
      <c r="C748" t="s">
        <v>29</v>
      </c>
      <c r="D748">
        <v>35</v>
      </c>
      <c r="E748" t="s">
        <v>22</v>
      </c>
      <c r="F748" t="s">
        <v>30</v>
      </c>
      <c r="G748">
        <v>4</v>
      </c>
      <c r="H748" s="1" t="str">
        <f>IF(Table1[[#This Row],[anxiety_score]]&lt;=10, "Normal", IF(Table1[[#This Row],[anxiety_score]]&lt;=20, "Moderate", IF(Table1[[#This Row],[anxiety_score]]&lt;=30, "Severe", "Extremely Severe")))</f>
        <v>Normal</v>
      </c>
      <c r="I748">
        <v>-0.61133329999999997</v>
      </c>
      <c r="J748">
        <v>2</v>
      </c>
      <c r="K748" s="1" t="str">
        <f>IF(Table1[[#This Row],[stress_score]]&lt;=10, "Normal", IF(Table1[[#This Row],[stress_score]]&lt;=20, "Moderate", IF(Table1[[#This Row],[stress_score]]&lt;=30, "Severe", "Extremely Severe")))</f>
        <v>Normal</v>
      </c>
      <c r="L748">
        <v>-0.9678099</v>
      </c>
      <c r="M748">
        <v>0</v>
      </c>
      <c r="N748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748">
        <v>-1.1088359000000001</v>
      </c>
      <c r="P748">
        <v>2</v>
      </c>
      <c r="Q748">
        <f>ROUND(Table1[[#This Row],[dass21_raw_score]],0)</f>
        <v>2</v>
      </c>
      <c r="R748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748">
        <v>-0.89599304999999996</v>
      </c>
      <c r="T748">
        <v>0.19891685000000001</v>
      </c>
      <c r="U748">
        <v>2800</v>
      </c>
      <c r="V748" s="1">
        <f>ROUND(Table1[[#This Row],[fmpce]],0)</f>
        <v>2800</v>
      </c>
      <c r="W748">
        <v>38.093060000000001</v>
      </c>
      <c r="X748" s="4">
        <f>Table1[[#This Row],[mpce]]*89</f>
        <v>3390.2823400000002</v>
      </c>
      <c r="Y748" s="2" t="s">
        <v>34</v>
      </c>
      <c r="Z748" s="3">
        <f>VLOOKUP(Y748, rmpce_reference!$B$1:$D$7,3,FALSE) * 89</f>
        <v>2848</v>
      </c>
      <c r="AA748" s="1" t="str">
        <f>IF(Table1[rmpce_inr]&lt;=rmpce_reference!$F$2, "Low Income", IF(Table1[rmpce_inr]&lt;=rmpce_reference!$F$3, "Middle Income", "High Income"))</f>
        <v>Low Income</v>
      </c>
    </row>
    <row r="749" spans="1:27" x14ac:dyDescent="0.25">
      <c r="A749">
        <v>4087</v>
      </c>
      <c r="B749" t="s">
        <v>42</v>
      </c>
      <c r="C749" t="s">
        <v>21</v>
      </c>
      <c r="D749">
        <v>43</v>
      </c>
      <c r="E749" t="s">
        <v>22</v>
      </c>
      <c r="F749" t="s">
        <v>30</v>
      </c>
      <c r="G749">
        <v>6</v>
      </c>
      <c r="H749" s="1" t="str">
        <f>IF(Table1[[#This Row],[anxiety_score]]&lt;=10, "Normal", IF(Table1[[#This Row],[anxiety_score]]&lt;=20, "Moderate", IF(Table1[[#This Row],[anxiety_score]]&lt;=30, "Severe", "Extremely Severe")))</f>
        <v>Normal</v>
      </c>
      <c r="I749">
        <v>-0.41028870000000001</v>
      </c>
      <c r="J749">
        <v>2</v>
      </c>
      <c r="K749" s="1" t="str">
        <f>IF(Table1[[#This Row],[stress_score]]&lt;=10, "Normal", IF(Table1[[#This Row],[stress_score]]&lt;=20, "Moderate", IF(Table1[[#This Row],[stress_score]]&lt;=30, "Severe", "Extremely Severe")))</f>
        <v>Normal</v>
      </c>
      <c r="L749">
        <v>-0.9678099</v>
      </c>
      <c r="M749">
        <v>0</v>
      </c>
      <c r="N749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749">
        <v>-1.1088359000000001</v>
      </c>
      <c r="P749">
        <v>2.6666666999999999</v>
      </c>
      <c r="Q749">
        <f>ROUND(Table1[[#This Row],[dass21_raw_score]],0)</f>
        <v>3</v>
      </c>
      <c r="R749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749">
        <v>-0.8289782</v>
      </c>
      <c r="T749">
        <v>0.26593172999999998</v>
      </c>
      <c r="U749">
        <v>3000</v>
      </c>
      <c r="V749" s="1">
        <f>ROUND(Table1[[#This Row],[fmpce]],0)</f>
        <v>3000</v>
      </c>
      <c r="W749">
        <v>40.813994999999998</v>
      </c>
      <c r="X749" s="4">
        <f>Table1[[#This Row],[mpce]]*89</f>
        <v>3632.4455549999998</v>
      </c>
      <c r="Y749" s="2" t="s">
        <v>32</v>
      </c>
      <c r="Z749" s="3">
        <f>VLOOKUP(Y749, rmpce_reference!$B$1:$D$7,3,FALSE) * 89</f>
        <v>4450</v>
      </c>
      <c r="AA749" s="1" t="str">
        <f>IF(Table1[rmpce_inr]&lt;=rmpce_reference!$F$2, "Low Income", IF(Table1[rmpce_inr]&lt;=rmpce_reference!$F$3, "Middle Income", "High Income"))</f>
        <v>Low Income</v>
      </c>
    </row>
    <row r="750" spans="1:27" x14ac:dyDescent="0.25">
      <c r="A750">
        <v>4088</v>
      </c>
      <c r="B750" t="s">
        <v>42</v>
      </c>
      <c r="C750" t="s">
        <v>21</v>
      </c>
      <c r="D750">
        <v>42</v>
      </c>
      <c r="E750" t="s">
        <v>22</v>
      </c>
      <c r="F750" t="s">
        <v>30</v>
      </c>
      <c r="G750">
        <v>0</v>
      </c>
      <c r="H750" s="1" t="str">
        <f>IF(Table1[[#This Row],[anxiety_score]]&lt;=10, "Normal", IF(Table1[[#This Row],[anxiety_score]]&lt;=20, "Moderate", IF(Table1[[#This Row],[anxiety_score]]&lt;=30, "Severe", "Extremely Severe")))</f>
        <v>Normal</v>
      </c>
      <c r="I750">
        <v>-1.0134224999999999</v>
      </c>
      <c r="J750">
        <v>0</v>
      </c>
      <c r="K750" s="1" t="str">
        <f>IF(Table1[[#This Row],[stress_score]]&lt;=10, "Normal", IF(Table1[[#This Row],[stress_score]]&lt;=20, "Moderate", IF(Table1[[#This Row],[stress_score]]&lt;=30, "Severe", "Extremely Severe")))</f>
        <v>Normal</v>
      </c>
      <c r="L750">
        <v>-1.1624711999999999</v>
      </c>
      <c r="M750">
        <v>4</v>
      </c>
      <c r="N750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750">
        <v>-0.72356116999999998</v>
      </c>
      <c r="P750">
        <v>1.3333333999999999</v>
      </c>
      <c r="Q750">
        <f>ROUND(Table1[[#This Row],[dass21_raw_score]],0)</f>
        <v>1</v>
      </c>
      <c r="R750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750">
        <v>-0.96648495999999995</v>
      </c>
      <c r="T750">
        <v>0.12842493999999999</v>
      </c>
      <c r="U750">
        <v>3750</v>
      </c>
      <c r="V750" s="1">
        <f>ROUND(Table1[[#This Row],[fmpce]],0)</f>
        <v>3750</v>
      </c>
      <c r="W750">
        <v>51.017493999999999</v>
      </c>
      <c r="X750" s="4">
        <f>Table1[[#This Row],[mpce]]*89</f>
        <v>4540.5569660000001</v>
      </c>
      <c r="Y750" s="2" t="s">
        <v>32</v>
      </c>
      <c r="Z750" s="3">
        <f>VLOOKUP(Y750, rmpce_reference!$B$1:$D$7,3,FALSE) * 89</f>
        <v>4450</v>
      </c>
      <c r="AA750" s="1" t="str">
        <f>IF(Table1[rmpce_inr]&lt;=rmpce_reference!$F$2, "Low Income", IF(Table1[rmpce_inr]&lt;=rmpce_reference!$F$3, "Middle Income", "High Income"))</f>
        <v>Low Income</v>
      </c>
    </row>
    <row r="751" spans="1:27" x14ac:dyDescent="0.25">
      <c r="A751">
        <v>4089</v>
      </c>
      <c r="B751" t="s">
        <v>42</v>
      </c>
      <c r="C751" t="s">
        <v>29</v>
      </c>
      <c r="D751">
        <v>40</v>
      </c>
      <c r="E751" t="s">
        <v>22</v>
      </c>
      <c r="F751" t="s">
        <v>30</v>
      </c>
      <c r="G751">
        <v>0</v>
      </c>
      <c r="H751" s="1" t="str">
        <f>IF(Table1[[#This Row],[anxiety_score]]&lt;=10, "Normal", IF(Table1[[#This Row],[anxiety_score]]&lt;=20, "Moderate", IF(Table1[[#This Row],[anxiety_score]]&lt;=30, "Severe", "Extremely Severe")))</f>
        <v>Normal</v>
      </c>
      <c r="I751">
        <v>-1.0134224999999999</v>
      </c>
      <c r="J751">
        <v>0</v>
      </c>
      <c r="K751" s="1" t="str">
        <f>IF(Table1[[#This Row],[stress_score]]&lt;=10, "Normal", IF(Table1[[#This Row],[stress_score]]&lt;=20, "Moderate", IF(Table1[[#This Row],[stress_score]]&lt;=30, "Severe", "Extremely Severe")))</f>
        <v>Normal</v>
      </c>
      <c r="L751">
        <v>-1.1624711999999999</v>
      </c>
      <c r="M751">
        <v>0</v>
      </c>
      <c r="N751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751">
        <v>-1.1088359000000001</v>
      </c>
      <c r="P751">
        <v>0</v>
      </c>
      <c r="Q751">
        <f>ROUND(Table1[[#This Row],[dass21_raw_score]],0)</f>
        <v>0</v>
      </c>
      <c r="R751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751">
        <v>-1.0949099</v>
      </c>
      <c r="T751">
        <v>0</v>
      </c>
      <c r="U751">
        <v>2600</v>
      </c>
      <c r="V751" s="1">
        <f>ROUND(Table1[[#This Row],[fmpce]],0)</f>
        <v>2600</v>
      </c>
      <c r="W751">
        <v>35.372127999999996</v>
      </c>
      <c r="X751" s="4">
        <f>Table1[[#This Row],[mpce]]*89</f>
        <v>3148.1193919999996</v>
      </c>
      <c r="Y751" s="2" t="s">
        <v>34</v>
      </c>
      <c r="Z751" s="3">
        <f>VLOOKUP(Y751, rmpce_reference!$B$1:$D$7,3,FALSE) * 89</f>
        <v>2848</v>
      </c>
      <c r="AA751" s="1" t="str">
        <f>IF(Table1[rmpce_inr]&lt;=rmpce_reference!$F$2, "Low Income", IF(Table1[rmpce_inr]&lt;=rmpce_reference!$F$3, "Middle Income", "High Income"))</f>
        <v>Low Income</v>
      </c>
    </row>
    <row r="752" spans="1:27" x14ac:dyDescent="0.25">
      <c r="A752">
        <v>4090</v>
      </c>
      <c r="B752" t="s">
        <v>42</v>
      </c>
      <c r="C752" t="s">
        <v>21</v>
      </c>
      <c r="D752">
        <v>45</v>
      </c>
      <c r="E752" t="s">
        <v>22</v>
      </c>
      <c r="F752" t="s">
        <v>30</v>
      </c>
      <c r="G752">
        <v>2</v>
      </c>
      <c r="H752" s="1" t="str">
        <f>IF(Table1[[#This Row],[anxiety_score]]&lt;=10, "Normal", IF(Table1[[#This Row],[anxiety_score]]&lt;=20, "Moderate", IF(Table1[[#This Row],[anxiety_score]]&lt;=30, "Severe", "Extremely Severe")))</f>
        <v>Normal</v>
      </c>
      <c r="I752">
        <v>-0.81237789999999999</v>
      </c>
      <c r="J752">
        <v>2</v>
      </c>
      <c r="K752" s="1" t="str">
        <f>IF(Table1[[#This Row],[stress_score]]&lt;=10, "Normal", IF(Table1[[#This Row],[stress_score]]&lt;=20, "Moderate", IF(Table1[[#This Row],[stress_score]]&lt;=30, "Severe", "Extremely Severe")))</f>
        <v>Normal</v>
      </c>
      <c r="L752">
        <v>-0.9678099</v>
      </c>
      <c r="M752">
        <v>0</v>
      </c>
      <c r="N752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752">
        <v>-1.1088359000000001</v>
      </c>
      <c r="P752">
        <v>1.3333333999999999</v>
      </c>
      <c r="Q752">
        <f>ROUND(Table1[[#This Row],[dass21_raw_score]],0)</f>
        <v>1</v>
      </c>
      <c r="R752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752">
        <v>-0.96300790000000003</v>
      </c>
      <c r="T752">
        <v>0.13190198</v>
      </c>
      <c r="U752">
        <v>5000</v>
      </c>
      <c r="V752" s="1">
        <f>ROUND(Table1[[#This Row],[fmpce]],0)</f>
        <v>5000</v>
      </c>
      <c r="W752">
        <v>68.023319999999998</v>
      </c>
      <c r="X752" s="4">
        <f>Table1[[#This Row],[mpce]]*89</f>
        <v>6054.0754799999995</v>
      </c>
      <c r="Y752" s="2" t="s">
        <v>28</v>
      </c>
      <c r="Z752" s="3">
        <f>VLOOKUP(Y752, rmpce_reference!$B$1:$D$7,3,FALSE) * 89</f>
        <v>6230</v>
      </c>
      <c r="AA752" s="1" t="str">
        <f>IF(Table1[rmpce_inr]&lt;=rmpce_reference!$F$2, "Low Income", IF(Table1[rmpce_inr]&lt;=rmpce_reference!$F$3, "Middle Income", "High Income"))</f>
        <v>Middle Income</v>
      </c>
    </row>
    <row r="753" spans="1:27" x14ac:dyDescent="0.25">
      <c r="A753">
        <v>4091</v>
      </c>
      <c r="B753" t="s">
        <v>42</v>
      </c>
      <c r="C753" t="s">
        <v>29</v>
      </c>
      <c r="D753">
        <v>40</v>
      </c>
      <c r="E753" t="s">
        <v>22</v>
      </c>
      <c r="F753" t="s">
        <v>30</v>
      </c>
      <c r="G753">
        <v>2</v>
      </c>
      <c r="H753" s="1" t="str">
        <f>IF(Table1[[#This Row],[anxiety_score]]&lt;=10, "Normal", IF(Table1[[#This Row],[anxiety_score]]&lt;=20, "Moderate", IF(Table1[[#This Row],[anxiety_score]]&lt;=30, "Severe", "Extremely Severe")))</f>
        <v>Normal</v>
      </c>
      <c r="I753">
        <v>-0.81237789999999999</v>
      </c>
      <c r="J753">
        <v>8</v>
      </c>
      <c r="K753" s="1" t="str">
        <f>IF(Table1[[#This Row],[stress_score]]&lt;=10, "Normal", IF(Table1[[#This Row],[stress_score]]&lt;=20, "Moderate", IF(Table1[[#This Row],[stress_score]]&lt;=30, "Severe", "Extremely Severe")))</f>
        <v>Normal</v>
      </c>
      <c r="L753">
        <v>-0.38382620000000001</v>
      </c>
      <c r="M753">
        <v>4</v>
      </c>
      <c r="N753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753">
        <v>-0.72356116999999998</v>
      </c>
      <c r="P753">
        <v>4.6666664999999998</v>
      </c>
      <c r="Q753">
        <f>ROUND(Table1[[#This Row],[dass21_raw_score]],0)</f>
        <v>5</v>
      </c>
      <c r="R753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753">
        <v>-0.63992179999999999</v>
      </c>
      <c r="T753">
        <v>0.45498812</v>
      </c>
      <c r="U753">
        <v>4000</v>
      </c>
      <c r="V753" s="1">
        <f>ROUND(Table1[[#This Row],[fmpce]],0)</f>
        <v>4000</v>
      </c>
      <c r="W753">
        <v>54.418660000000003</v>
      </c>
      <c r="X753" s="4">
        <f>Table1[[#This Row],[mpce]]*89</f>
        <v>4843.2607400000006</v>
      </c>
      <c r="Y753" s="2" t="s">
        <v>32</v>
      </c>
      <c r="Z753" s="3">
        <f>VLOOKUP(Y753, rmpce_reference!$B$1:$D$7,3,FALSE) * 89</f>
        <v>4450</v>
      </c>
      <c r="AA753" s="1" t="str">
        <f>IF(Table1[rmpce_inr]&lt;=rmpce_reference!$F$2, "Low Income", IF(Table1[rmpce_inr]&lt;=rmpce_reference!$F$3, "Middle Income", "High Income"))</f>
        <v>Low Income</v>
      </c>
    </row>
    <row r="754" spans="1:27" x14ac:dyDescent="0.25">
      <c r="A754">
        <v>4092</v>
      </c>
      <c r="B754" t="s">
        <v>42</v>
      </c>
      <c r="C754" t="s">
        <v>29</v>
      </c>
      <c r="D754">
        <v>34</v>
      </c>
      <c r="E754" t="s">
        <v>25</v>
      </c>
      <c r="F754" t="s">
        <v>30</v>
      </c>
      <c r="G754">
        <v>4</v>
      </c>
      <c r="H754" s="1" t="str">
        <f>IF(Table1[[#This Row],[anxiety_score]]&lt;=10, "Normal", IF(Table1[[#This Row],[anxiety_score]]&lt;=20, "Moderate", IF(Table1[[#This Row],[anxiety_score]]&lt;=30, "Severe", "Extremely Severe")))</f>
        <v>Normal</v>
      </c>
      <c r="I754">
        <v>-0.61133329999999997</v>
      </c>
      <c r="J754">
        <v>0</v>
      </c>
      <c r="K754" s="1" t="str">
        <f>IF(Table1[[#This Row],[stress_score]]&lt;=10, "Normal", IF(Table1[[#This Row],[stress_score]]&lt;=20, "Moderate", IF(Table1[[#This Row],[stress_score]]&lt;=30, "Severe", "Extremely Severe")))</f>
        <v>Normal</v>
      </c>
      <c r="L754">
        <v>-1.1624711999999999</v>
      </c>
      <c r="M754">
        <v>2</v>
      </c>
      <c r="N754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754">
        <v>-0.91619854999999994</v>
      </c>
      <c r="P754">
        <v>2</v>
      </c>
      <c r="Q754">
        <f>ROUND(Table1[[#This Row],[dass21_raw_score]],0)</f>
        <v>2</v>
      </c>
      <c r="R754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754">
        <v>-0.89666765999999998</v>
      </c>
      <c r="T754">
        <v>0.19824225000000001</v>
      </c>
      <c r="U754">
        <v>5000</v>
      </c>
      <c r="V754" s="1">
        <f>ROUND(Table1[[#This Row],[fmpce]],0)</f>
        <v>5000</v>
      </c>
      <c r="W754">
        <v>68.023319999999998</v>
      </c>
      <c r="X754" s="4">
        <f>Table1[[#This Row],[mpce]]*89</f>
        <v>6054.0754799999995</v>
      </c>
      <c r="Y754" s="2" t="s">
        <v>28</v>
      </c>
      <c r="Z754" s="3">
        <f>VLOOKUP(Y754, rmpce_reference!$B$1:$D$7,3,FALSE) * 89</f>
        <v>6230</v>
      </c>
      <c r="AA754" s="1" t="str">
        <f>IF(Table1[rmpce_inr]&lt;=rmpce_reference!$F$2, "Low Income", IF(Table1[rmpce_inr]&lt;=rmpce_reference!$F$3, "Middle Income", "High Income"))</f>
        <v>Middle Income</v>
      </c>
    </row>
    <row r="755" spans="1:27" x14ac:dyDescent="0.25">
      <c r="A755">
        <v>4093</v>
      </c>
      <c r="B755" t="s">
        <v>42</v>
      </c>
      <c r="C755" t="s">
        <v>29</v>
      </c>
      <c r="D755">
        <v>36</v>
      </c>
      <c r="E755" t="s">
        <v>25</v>
      </c>
      <c r="F755" t="s">
        <v>26</v>
      </c>
      <c r="G755">
        <v>6</v>
      </c>
      <c r="H755" s="1" t="str">
        <f>IF(Table1[[#This Row],[anxiety_score]]&lt;=10, "Normal", IF(Table1[[#This Row],[anxiety_score]]&lt;=20, "Moderate", IF(Table1[[#This Row],[anxiety_score]]&lt;=30, "Severe", "Extremely Severe")))</f>
        <v>Normal</v>
      </c>
      <c r="I755">
        <v>-0.41028870000000001</v>
      </c>
      <c r="J755">
        <v>2</v>
      </c>
      <c r="K755" s="1" t="str">
        <f>IF(Table1[[#This Row],[stress_score]]&lt;=10, "Normal", IF(Table1[[#This Row],[stress_score]]&lt;=20, "Moderate", IF(Table1[[#This Row],[stress_score]]&lt;=30, "Severe", "Extremely Severe")))</f>
        <v>Normal</v>
      </c>
      <c r="L755">
        <v>-0.9678099</v>
      </c>
      <c r="M755">
        <v>2</v>
      </c>
      <c r="N755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755">
        <v>-0.91619854999999994</v>
      </c>
      <c r="P755">
        <v>3.3333333000000001</v>
      </c>
      <c r="Q755">
        <f>ROUND(Table1[[#This Row],[dass21_raw_score]],0)</f>
        <v>3</v>
      </c>
      <c r="R755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755">
        <v>-0.76476573999999997</v>
      </c>
      <c r="T755">
        <v>0.33014417000000001</v>
      </c>
      <c r="U755">
        <v>5000</v>
      </c>
      <c r="V755" s="1">
        <f>ROUND(Table1[[#This Row],[fmpce]],0)</f>
        <v>5000</v>
      </c>
      <c r="W755">
        <v>68.023319999999998</v>
      </c>
      <c r="X755" s="4">
        <f>Table1[[#This Row],[mpce]]*89</f>
        <v>6054.0754799999995</v>
      </c>
      <c r="Y755" s="2" t="s">
        <v>28</v>
      </c>
      <c r="Z755" s="3">
        <f>VLOOKUP(Y755, rmpce_reference!$B$1:$D$7,3,FALSE) * 89</f>
        <v>6230</v>
      </c>
      <c r="AA755" s="1" t="str">
        <f>IF(Table1[rmpce_inr]&lt;=rmpce_reference!$F$2, "Low Income", IF(Table1[rmpce_inr]&lt;=rmpce_reference!$F$3, "Middle Income", "High Income"))</f>
        <v>Middle Income</v>
      </c>
    </row>
    <row r="756" spans="1:27" x14ac:dyDescent="0.25">
      <c r="A756">
        <v>4094</v>
      </c>
      <c r="B756" t="s">
        <v>42</v>
      </c>
      <c r="C756" t="s">
        <v>29</v>
      </c>
      <c r="D756">
        <v>40</v>
      </c>
      <c r="E756" t="s">
        <v>25</v>
      </c>
      <c r="F756" t="s">
        <v>26</v>
      </c>
      <c r="G756">
        <v>6</v>
      </c>
      <c r="H756" s="1" t="str">
        <f>IF(Table1[[#This Row],[anxiety_score]]&lt;=10, "Normal", IF(Table1[[#This Row],[anxiety_score]]&lt;=20, "Moderate", IF(Table1[[#This Row],[anxiety_score]]&lt;=30, "Severe", "Extremely Severe")))</f>
        <v>Normal</v>
      </c>
      <c r="I756">
        <v>-0.41028870000000001</v>
      </c>
      <c r="J756">
        <v>2</v>
      </c>
      <c r="K756" s="1" t="str">
        <f>IF(Table1[[#This Row],[stress_score]]&lt;=10, "Normal", IF(Table1[[#This Row],[stress_score]]&lt;=20, "Moderate", IF(Table1[[#This Row],[stress_score]]&lt;=30, "Severe", "Extremely Severe")))</f>
        <v>Normal</v>
      </c>
      <c r="L756">
        <v>-0.9678099</v>
      </c>
      <c r="M756">
        <v>0</v>
      </c>
      <c r="N756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756">
        <v>-1.1088359000000001</v>
      </c>
      <c r="P756">
        <v>2.6666666999999999</v>
      </c>
      <c r="Q756">
        <f>ROUND(Table1[[#This Row],[dass21_raw_score]],0)</f>
        <v>3</v>
      </c>
      <c r="R756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756">
        <v>-0.8289782</v>
      </c>
      <c r="T756">
        <v>0.26593172999999998</v>
      </c>
      <c r="U756">
        <v>4000</v>
      </c>
      <c r="V756" s="1">
        <f>ROUND(Table1[[#This Row],[fmpce]],0)</f>
        <v>4000</v>
      </c>
      <c r="W756">
        <v>54.418660000000003</v>
      </c>
      <c r="X756" s="4">
        <f>Table1[[#This Row],[mpce]]*89</f>
        <v>4843.2607400000006</v>
      </c>
      <c r="Y756" s="2" t="s">
        <v>32</v>
      </c>
      <c r="Z756" s="3">
        <f>VLOOKUP(Y756, rmpce_reference!$B$1:$D$7,3,FALSE) * 89</f>
        <v>4450</v>
      </c>
      <c r="AA756" s="1" t="str">
        <f>IF(Table1[rmpce_inr]&lt;=rmpce_reference!$F$2, "Low Income", IF(Table1[rmpce_inr]&lt;=rmpce_reference!$F$3, "Middle Income", "High Income"))</f>
        <v>Low Income</v>
      </c>
    </row>
    <row r="757" spans="1:27" x14ac:dyDescent="0.25">
      <c r="A757">
        <v>4095</v>
      </c>
      <c r="B757" t="s">
        <v>42</v>
      </c>
      <c r="C757" t="s">
        <v>29</v>
      </c>
      <c r="D757">
        <v>32</v>
      </c>
      <c r="E757" t="s">
        <v>25</v>
      </c>
      <c r="F757" t="s">
        <v>26</v>
      </c>
      <c r="G757">
        <v>4</v>
      </c>
      <c r="H757" s="1" t="str">
        <f>IF(Table1[[#This Row],[anxiety_score]]&lt;=10, "Normal", IF(Table1[[#This Row],[anxiety_score]]&lt;=20, "Moderate", IF(Table1[[#This Row],[anxiety_score]]&lt;=30, "Severe", "Extremely Severe")))</f>
        <v>Normal</v>
      </c>
      <c r="I757">
        <v>-0.61133329999999997</v>
      </c>
      <c r="J757">
        <v>0</v>
      </c>
      <c r="K757" s="1" t="str">
        <f>IF(Table1[[#This Row],[stress_score]]&lt;=10, "Normal", IF(Table1[[#This Row],[stress_score]]&lt;=20, "Moderate", IF(Table1[[#This Row],[stress_score]]&lt;=30, "Severe", "Extremely Severe")))</f>
        <v>Normal</v>
      </c>
      <c r="L757">
        <v>-1.1624711999999999</v>
      </c>
      <c r="M757">
        <v>0</v>
      </c>
      <c r="N757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757">
        <v>-1.1088359000000001</v>
      </c>
      <c r="P757">
        <v>1.3333333999999999</v>
      </c>
      <c r="Q757">
        <f>ROUND(Table1[[#This Row],[dass21_raw_score]],0)</f>
        <v>1</v>
      </c>
      <c r="R757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757">
        <v>-0.96088015999999998</v>
      </c>
      <c r="T757">
        <v>0.13402975</v>
      </c>
      <c r="U757">
        <v>6666.6665000000003</v>
      </c>
      <c r="V757" s="1">
        <f>ROUND(Table1[[#This Row],[fmpce]],0)</f>
        <v>6667</v>
      </c>
      <c r="W757">
        <v>90.697760000000002</v>
      </c>
      <c r="X757" s="4">
        <f>Table1[[#This Row],[mpce]]*89</f>
        <v>8072.1006400000006</v>
      </c>
      <c r="Y757" s="2" t="s">
        <v>31</v>
      </c>
      <c r="Z757" s="3">
        <f>VLOOKUP(Y757, rmpce_reference!$B$1:$D$7,3,FALSE) * 89</f>
        <v>8010</v>
      </c>
      <c r="AA757" s="1" t="str">
        <f>IF(Table1[rmpce_inr]&lt;=rmpce_reference!$F$2, "Low Income", IF(Table1[rmpce_inr]&lt;=rmpce_reference!$F$3, "Middle Income", "High Income"))</f>
        <v>High Income</v>
      </c>
    </row>
    <row r="758" spans="1:27" x14ac:dyDescent="0.25">
      <c r="A758">
        <v>4096</v>
      </c>
      <c r="B758" t="s">
        <v>42</v>
      </c>
      <c r="C758" t="s">
        <v>29</v>
      </c>
      <c r="D758">
        <v>34</v>
      </c>
      <c r="E758" t="s">
        <v>22</v>
      </c>
      <c r="F758" t="s">
        <v>30</v>
      </c>
      <c r="G758">
        <v>2</v>
      </c>
      <c r="H758" s="1" t="str">
        <f>IF(Table1[[#This Row],[anxiety_score]]&lt;=10, "Normal", IF(Table1[[#This Row],[anxiety_score]]&lt;=20, "Moderate", IF(Table1[[#This Row],[anxiety_score]]&lt;=30, "Severe", "Extremely Severe")))</f>
        <v>Normal</v>
      </c>
      <c r="I758">
        <v>-0.81237789999999999</v>
      </c>
      <c r="J758">
        <v>2</v>
      </c>
      <c r="K758" s="1" t="str">
        <f>IF(Table1[[#This Row],[stress_score]]&lt;=10, "Normal", IF(Table1[[#This Row],[stress_score]]&lt;=20, "Moderate", IF(Table1[[#This Row],[stress_score]]&lt;=30, "Severe", "Extremely Severe")))</f>
        <v>Normal</v>
      </c>
      <c r="L758">
        <v>-0.9678099</v>
      </c>
      <c r="M758">
        <v>0</v>
      </c>
      <c r="N758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758">
        <v>-1.1088359000000001</v>
      </c>
      <c r="P758">
        <v>1.3333333999999999</v>
      </c>
      <c r="Q758">
        <f>ROUND(Table1[[#This Row],[dass21_raw_score]],0)</f>
        <v>1</v>
      </c>
      <c r="R758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758">
        <v>-0.96300790000000003</v>
      </c>
      <c r="T758">
        <v>0.13190198</v>
      </c>
      <c r="U758">
        <v>2000</v>
      </c>
      <c r="V758" s="1">
        <f>ROUND(Table1[[#This Row],[fmpce]],0)</f>
        <v>2000</v>
      </c>
      <c r="W758">
        <v>27.209330000000001</v>
      </c>
      <c r="X758" s="4">
        <f>Table1[[#This Row],[mpce]]*89</f>
        <v>2421.6303700000003</v>
      </c>
      <c r="Y758" s="2" t="s">
        <v>34</v>
      </c>
      <c r="Z758" s="3">
        <f>VLOOKUP(Y758, rmpce_reference!$B$1:$D$7,3,FALSE) * 89</f>
        <v>2848</v>
      </c>
      <c r="AA758" s="1" t="str">
        <f>IF(Table1[rmpce_inr]&lt;=rmpce_reference!$F$2, "Low Income", IF(Table1[rmpce_inr]&lt;=rmpce_reference!$F$3, "Middle Income", "High Income"))</f>
        <v>Low Income</v>
      </c>
    </row>
    <row r="759" spans="1:27" x14ac:dyDescent="0.25">
      <c r="A759">
        <v>4097</v>
      </c>
      <c r="B759" t="s">
        <v>42</v>
      </c>
      <c r="C759" t="s">
        <v>21</v>
      </c>
      <c r="D759">
        <v>42</v>
      </c>
      <c r="E759" t="s">
        <v>22</v>
      </c>
      <c r="F759" t="s">
        <v>30</v>
      </c>
      <c r="G759">
        <v>2</v>
      </c>
      <c r="H759" s="1" t="str">
        <f>IF(Table1[[#This Row],[anxiety_score]]&lt;=10, "Normal", IF(Table1[[#This Row],[anxiety_score]]&lt;=20, "Moderate", IF(Table1[[#This Row],[anxiety_score]]&lt;=30, "Severe", "Extremely Severe")))</f>
        <v>Normal</v>
      </c>
      <c r="I759">
        <v>-0.81237789999999999</v>
      </c>
      <c r="J759">
        <v>2</v>
      </c>
      <c r="K759" s="1" t="str">
        <f>IF(Table1[[#This Row],[stress_score]]&lt;=10, "Normal", IF(Table1[[#This Row],[stress_score]]&lt;=20, "Moderate", IF(Table1[[#This Row],[stress_score]]&lt;=30, "Severe", "Extremely Severe")))</f>
        <v>Normal</v>
      </c>
      <c r="L759">
        <v>-0.9678099</v>
      </c>
      <c r="M759">
        <v>2</v>
      </c>
      <c r="N759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759">
        <v>-0.91619854999999994</v>
      </c>
      <c r="P759">
        <v>2</v>
      </c>
      <c r="Q759">
        <f>ROUND(Table1[[#This Row],[dass21_raw_score]],0)</f>
        <v>2</v>
      </c>
      <c r="R759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759">
        <v>-0.89879549999999997</v>
      </c>
      <c r="T759">
        <v>0.19611442000000001</v>
      </c>
      <c r="U759">
        <v>6250</v>
      </c>
      <c r="V759" s="1">
        <f>ROUND(Table1[[#This Row],[fmpce]],0)</f>
        <v>6250</v>
      </c>
      <c r="W759">
        <v>85.029150000000001</v>
      </c>
      <c r="X759" s="4">
        <f>Table1[[#This Row],[mpce]]*89</f>
        <v>7567.5943500000003</v>
      </c>
      <c r="Y759" s="2" t="s">
        <v>31</v>
      </c>
      <c r="Z759" s="3">
        <f>VLOOKUP(Y759, rmpce_reference!$B$1:$D$7,3,FALSE) * 89</f>
        <v>8010</v>
      </c>
      <c r="AA759" s="1" t="str">
        <f>IF(Table1[rmpce_inr]&lt;=rmpce_reference!$F$2, "Low Income", IF(Table1[rmpce_inr]&lt;=rmpce_reference!$F$3, "Middle Income", "High Income"))</f>
        <v>High Income</v>
      </c>
    </row>
    <row r="760" spans="1:27" x14ac:dyDescent="0.25">
      <c r="A760">
        <v>4098</v>
      </c>
      <c r="B760" t="s">
        <v>42</v>
      </c>
      <c r="C760" t="s">
        <v>36</v>
      </c>
      <c r="D760">
        <v>58</v>
      </c>
      <c r="E760" t="s">
        <v>22</v>
      </c>
      <c r="F760" t="s">
        <v>30</v>
      </c>
      <c r="G760">
        <v>0</v>
      </c>
      <c r="H760" s="1" t="str">
        <f>IF(Table1[[#This Row],[anxiety_score]]&lt;=10, "Normal", IF(Table1[[#This Row],[anxiety_score]]&lt;=20, "Moderate", IF(Table1[[#This Row],[anxiety_score]]&lt;=30, "Severe", "Extremely Severe")))</f>
        <v>Normal</v>
      </c>
      <c r="I760">
        <v>-1.0134224999999999</v>
      </c>
      <c r="J760">
        <v>4</v>
      </c>
      <c r="K760" s="1" t="str">
        <f>IF(Table1[[#This Row],[stress_score]]&lt;=10, "Normal", IF(Table1[[#This Row],[stress_score]]&lt;=20, "Moderate", IF(Table1[[#This Row],[stress_score]]&lt;=30, "Severe", "Extremely Severe")))</f>
        <v>Normal</v>
      </c>
      <c r="L760">
        <v>-0.77314866000000004</v>
      </c>
      <c r="M760">
        <v>2</v>
      </c>
      <c r="N760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760">
        <v>-0.91619854999999994</v>
      </c>
      <c r="P760">
        <v>2</v>
      </c>
      <c r="Q760">
        <f>ROUND(Table1[[#This Row],[dass21_raw_score]],0)</f>
        <v>2</v>
      </c>
      <c r="R760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760">
        <v>-0.90092324999999995</v>
      </c>
      <c r="T760">
        <v>0.19398665000000001</v>
      </c>
      <c r="U760">
        <v>4000</v>
      </c>
      <c r="V760" s="1">
        <f>ROUND(Table1[[#This Row],[fmpce]],0)</f>
        <v>4000</v>
      </c>
      <c r="W760">
        <v>54.418660000000003</v>
      </c>
      <c r="X760" s="4">
        <f>Table1[[#This Row],[mpce]]*89</f>
        <v>4843.2607400000006</v>
      </c>
      <c r="Y760" s="2" t="s">
        <v>32</v>
      </c>
      <c r="Z760" s="3">
        <f>VLOOKUP(Y760, rmpce_reference!$B$1:$D$7,3,FALSE) * 89</f>
        <v>4450</v>
      </c>
      <c r="AA760" s="1" t="str">
        <f>IF(Table1[rmpce_inr]&lt;=rmpce_reference!$F$2, "Low Income", IF(Table1[rmpce_inr]&lt;=rmpce_reference!$F$3, "Middle Income", "High Income"))</f>
        <v>Low Income</v>
      </c>
    </row>
    <row r="761" spans="1:27" x14ac:dyDescent="0.25">
      <c r="A761">
        <v>4099</v>
      </c>
      <c r="B761" t="s">
        <v>42</v>
      </c>
      <c r="C761" t="s">
        <v>29</v>
      </c>
      <c r="D761">
        <v>40</v>
      </c>
      <c r="E761" t="s">
        <v>22</v>
      </c>
      <c r="F761" t="s">
        <v>30</v>
      </c>
      <c r="G761">
        <v>2</v>
      </c>
      <c r="H761" s="1" t="str">
        <f>IF(Table1[[#This Row],[anxiety_score]]&lt;=10, "Normal", IF(Table1[[#This Row],[anxiety_score]]&lt;=20, "Moderate", IF(Table1[[#This Row],[anxiety_score]]&lt;=30, "Severe", "Extremely Severe")))</f>
        <v>Normal</v>
      </c>
      <c r="I761">
        <v>-0.81237789999999999</v>
      </c>
      <c r="J761">
        <v>0</v>
      </c>
      <c r="K761" s="1" t="str">
        <f>IF(Table1[[#This Row],[stress_score]]&lt;=10, "Normal", IF(Table1[[#This Row],[stress_score]]&lt;=20, "Moderate", IF(Table1[[#This Row],[stress_score]]&lt;=30, "Severe", "Extremely Severe")))</f>
        <v>Normal</v>
      </c>
      <c r="L761">
        <v>-1.1624711999999999</v>
      </c>
      <c r="M761">
        <v>2</v>
      </c>
      <c r="N761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761">
        <v>-0.91619854999999994</v>
      </c>
      <c r="P761">
        <v>1.3333333999999999</v>
      </c>
      <c r="Q761">
        <f>ROUND(Table1[[#This Row],[dass21_raw_score]],0)</f>
        <v>1</v>
      </c>
      <c r="R761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761">
        <v>-0.96368253000000004</v>
      </c>
      <c r="T761">
        <v>0.13122737000000001</v>
      </c>
      <c r="U761">
        <v>2500</v>
      </c>
      <c r="V761" s="1">
        <f>ROUND(Table1[[#This Row],[fmpce]],0)</f>
        <v>2500</v>
      </c>
      <c r="W761">
        <v>34.011659999999999</v>
      </c>
      <c r="X761" s="4">
        <f>Table1[[#This Row],[mpce]]*89</f>
        <v>3027.0377399999998</v>
      </c>
      <c r="Y761" s="2" t="s">
        <v>34</v>
      </c>
      <c r="Z761" s="3">
        <f>VLOOKUP(Y761, rmpce_reference!$B$1:$D$7,3,FALSE) * 89</f>
        <v>2848</v>
      </c>
      <c r="AA761" s="1" t="str">
        <f>IF(Table1[rmpce_inr]&lt;=rmpce_reference!$F$2, "Low Income", IF(Table1[rmpce_inr]&lt;=rmpce_reference!$F$3, "Middle Income", "High Income"))</f>
        <v>Low Income</v>
      </c>
    </row>
    <row r="762" spans="1:27" x14ac:dyDescent="0.25">
      <c r="A762">
        <v>4100</v>
      </c>
      <c r="B762" t="s">
        <v>42</v>
      </c>
      <c r="C762" t="s">
        <v>29</v>
      </c>
      <c r="D762">
        <v>40</v>
      </c>
      <c r="E762" t="s">
        <v>22</v>
      </c>
      <c r="F762" t="s">
        <v>38</v>
      </c>
      <c r="G762">
        <v>6</v>
      </c>
      <c r="H762" s="1" t="str">
        <f>IF(Table1[[#This Row],[anxiety_score]]&lt;=10, "Normal", IF(Table1[[#This Row],[anxiety_score]]&lt;=20, "Moderate", IF(Table1[[#This Row],[anxiety_score]]&lt;=30, "Severe", "Extremely Severe")))</f>
        <v>Normal</v>
      </c>
      <c r="I762">
        <v>-0.41028870000000001</v>
      </c>
      <c r="J762">
        <v>2</v>
      </c>
      <c r="K762" s="1" t="str">
        <f>IF(Table1[[#This Row],[stress_score]]&lt;=10, "Normal", IF(Table1[[#This Row],[stress_score]]&lt;=20, "Moderate", IF(Table1[[#This Row],[stress_score]]&lt;=30, "Severe", "Extremely Severe")))</f>
        <v>Normal</v>
      </c>
      <c r="L762">
        <v>-0.9678099</v>
      </c>
      <c r="M762">
        <v>4</v>
      </c>
      <c r="N762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762">
        <v>-0.72356116999999998</v>
      </c>
      <c r="P762">
        <v>4</v>
      </c>
      <c r="Q762">
        <f>ROUND(Table1[[#This Row],[dass21_raw_score]],0)</f>
        <v>4</v>
      </c>
      <c r="R762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762">
        <v>-0.70055323999999997</v>
      </c>
      <c r="T762">
        <v>0.39435667000000002</v>
      </c>
      <c r="U762">
        <v>5000</v>
      </c>
      <c r="V762" s="1">
        <f>ROUND(Table1[[#This Row],[fmpce]],0)</f>
        <v>5000</v>
      </c>
      <c r="W762">
        <v>68.023319999999998</v>
      </c>
      <c r="X762" s="4">
        <f>Table1[[#This Row],[mpce]]*89</f>
        <v>6054.0754799999995</v>
      </c>
      <c r="Y762" s="2" t="s">
        <v>28</v>
      </c>
      <c r="Z762" s="3">
        <f>VLOOKUP(Y762, rmpce_reference!$B$1:$D$7,3,FALSE) * 89</f>
        <v>6230</v>
      </c>
      <c r="AA762" s="1" t="str">
        <f>IF(Table1[rmpce_inr]&lt;=rmpce_reference!$F$2, "Low Income", IF(Table1[rmpce_inr]&lt;=rmpce_reference!$F$3, "Middle Income", "High Income"))</f>
        <v>Middle Income</v>
      </c>
    </row>
    <row r="763" spans="1:27" x14ac:dyDescent="0.25">
      <c r="A763">
        <v>4101</v>
      </c>
      <c r="B763" t="s">
        <v>42</v>
      </c>
      <c r="C763" t="s">
        <v>21</v>
      </c>
      <c r="D763">
        <v>49</v>
      </c>
      <c r="E763" t="s">
        <v>22</v>
      </c>
      <c r="F763" t="s">
        <v>23</v>
      </c>
      <c r="G763">
        <v>4</v>
      </c>
      <c r="H763" s="1" t="str">
        <f>IF(Table1[[#This Row],[anxiety_score]]&lt;=10, "Normal", IF(Table1[[#This Row],[anxiety_score]]&lt;=20, "Moderate", IF(Table1[[#This Row],[anxiety_score]]&lt;=30, "Severe", "Extremely Severe")))</f>
        <v>Normal</v>
      </c>
      <c r="I763">
        <v>-0.61133329999999997</v>
      </c>
      <c r="J763">
        <v>2</v>
      </c>
      <c r="K763" s="1" t="str">
        <f>IF(Table1[[#This Row],[stress_score]]&lt;=10, "Normal", IF(Table1[[#This Row],[stress_score]]&lt;=20, "Moderate", IF(Table1[[#This Row],[stress_score]]&lt;=30, "Severe", "Extremely Severe")))</f>
        <v>Normal</v>
      </c>
      <c r="L763">
        <v>-0.9678099</v>
      </c>
      <c r="M763">
        <v>4</v>
      </c>
      <c r="N763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763">
        <v>-0.72356116999999998</v>
      </c>
      <c r="P763">
        <v>3.3333333000000001</v>
      </c>
      <c r="Q763">
        <f>ROUND(Table1[[#This Row],[dass21_raw_score]],0)</f>
        <v>3</v>
      </c>
      <c r="R763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763">
        <v>-0.76756809999999998</v>
      </c>
      <c r="T763">
        <v>0.32734180000000002</v>
      </c>
      <c r="U763">
        <v>5000</v>
      </c>
      <c r="V763" s="1">
        <f>ROUND(Table1[[#This Row],[fmpce]],0)</f>
        <v>5000</v>
      </c>
      <c r="W763">
        <v>68.023319999999998</v>
      </c>
      <c r="X763" s="4">
        <f>Table1[[#This Row],[mpce]]*89</f>
        <v>6054.0754799999995</v>
      </c>
      <c r="Y763" s="2" t="s">
        <v>28</v>
      </c>
      <c r="Z763" s="3">
        <f>VLOOKUP(Y763, rmpce_reference!$B$1:$D$7,3,FALSE) * 89</f>
        <v>6230</v>
      </c>
      <c r="AA763" s="1" t="str">
        <f>IF(Table1[rmpce_inr]&lt;=rmpce_reference!$F$2, "Low Income", IF(Table1[rmpce_inr]&lt;=rmpce_reference!$F$3, "Middle Income", "High Income"))</f>
        <v>Middle Income</v>
      </c>
    </row>
    <row r="764" spans="1:27" x14ac:dyDescent="0.25">
      <c r="A764">
        <v>4102</v>
      </c>
      <c r="B764" t="s">
        <v>42</v>
      </c>
      <c r="C764" t="s">
        <v>21</v>
      </c>
      <c r="D764">
        <v>48</v>
      </c>
      <c r="E764" t="s">
        <v>22</v>
      </c>
      <c r="F764" t="s">
        <v>23</v>
      </c>
      <c r="G764">
        <v>2</v>
      </c>
      <c r="H764" s="1" t="str">
        <f>IF(Table1[[#This Row],[anxiety_score]]&lt;=10, "Normal", IF(Table1[[#This Row],[anxiety_score]]&lt;=20, "Moderate", IF(Table1[[#This Row],[anxiety_score]]&lt;=30, "Severe", "Extremely Severe")))</f>
        <v>Normal</v>
      </c>
      <c r="I764">
        <v>-0.81237789999999999</v>
      </c>
      <c r="J764">
        <v>2</v>
      </c>
      <c r="K764" s="1" t="str">
        <f>IF(Table1[[#This Row],[stress_score]]&lt;=10, "Normal", IF(Table1[[#This Row],[stress_score]]&lt;=20, "Moderate", IF(Table1[[#This Row],[stress_score]]&lt;=30, "Severe", "Extremely Severe")))</f>
        <v>Normal</v>
      </c>
      <c r="L764">
        <v>-0.9678099</v>
      </c>
      <c r="M764">
        <v>0</v>
      </c>
      <c r="N764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764">
        <v>-1.1088359000000001</v>
      </c>
      <c r="P764">
        <v>1.3333333999999999</v>
      </c>
      <c r="Q764">
        <f>ROUND(Table1[[#This Row],[dass21_raw_score]],0)</f>
        <v>1</v>
      </c>
      <c r="R764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764">
        <v>-0.96300790000000003</v>
      </c>
      <c r="T764">
        <v>0.13190198</v>
      </c>
      <c r="U764">
        <v>5000</v>
      </c>
      <c r="V764" s="1">
        <f>ROUND(Table1[[#This Row],[fmpce]],0)</f>
        <v>5000</v>
      </c>
      <c r="W764">
        <v>68.023319999999998</v>
      </c>
      <c r="X764" s="4">
        <f>Table1[[#This Row],[mpce]]*89</f>
        <v>6054.0754799999995</v>
      </c>
      <c r="Y764" s="2" t="s">
        <v>28</v>
      </c>
      <c r="Z764" s="3">
        <f>VLOOKUP(Y764, rmpce_reference!$B$1:$D$7,3,FALSE) * 89</f>
        <v>6230</v>
      </c>
      <c r="AA764" s="1" t="str">
        <f>IF(Table1[rmpce_inr]&lt;=rmpce_reference!$F$2, "Low Income", IF(Table1[rmpce_inr]&lt;=rmpce_reference!$F$3, "Middle Income", "High Income"))</f>
        <v>Middle Income</v>
      </c>
    </row>
    <row r="765" spans="1:27" x14ac:dyDescent="0.25">
      <c r="A765">
        <v>4103</v>
      </c>
      <c r="B765" t="s">
        <v>42</v>
      </c>
      <c r="C765" t="s">
        <v>36</v>
      </c>
      <c r="D765">
        <v>57</v>
      </c>
      <c r="E765" t="s">
        <v>22</v>
      </c>
      <c r="F765" t="s">
        <v>30</v>
      </c>
      <c r="G765">
        <v>2</v>
      </c>
      <c r="H765" s="1" t="str">
        <f>IF(Table1[[#This Row],[anxiety_score]]&lt;=10, "Normal", IF(Table1[[#This Row],[anxiety_score]]&lt;=20, "Moderate", IF(Table1[[#This Row],[anxiety_score]]&lt;=30, "Severe", "Extremely Severe")))</f>
        <v>Normal</v>
      </c>
      <c r="I765">
        <v>-0.81237789999999999</v>
      </c>
      <c r="J765">
        <v>0</v>
      </c>
      <c r="K765" s="1" t="str">
        <f>IF(Table1[[#This Row],[stress_score]]&lt;=10, "Normal", IF(Table1[[#This Row],[stress_score]]&lt;=20, "Moderate", IF(Table1[[#This Row],[stress_score]]&lt;=30, "Severe", "Extremely Severe")))</f>
        <v>Normal</v>
      </c>
      <c r="L765">
        <v>-1.1624711999999999</v>
      </c>
      <c r="M765">
        <v>0</v>
      </c>
      <c r="N765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765">
        <v>-1.1088359000000001</v>
      </c>
      <c r="P765">
        <v>0.66666669999999995</v>
      </c>
      <c r="Q765">
        <f>ROUND(Table1[[#This Row],[dass21_raw_score]],0)</f>
        <v>1</v>
      </c>
      <c r="R765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765">
        <v>-1.027895</v>
      </c>
      <c r="T765">
        <v>6.701493E-2</v>
      </c>
      <c r="U765">
        <v>6666.6665000000003</v>
      </c>
      <c r="V765" s="1">
        <f>ROUND(Table1[[#This Row],[fmpce]],0)</f>
        <v>6667</v>
      </c>
      <c r="W765">
        <v>90.697760000000002</v>
      </c>
      <c r="X765" s="4">
        <f>Table1[[#This Row],[mpce]]*89</f>
        <v>8072.1006400000006</v>
      </c>
      <c r="Y765" s="2" t="s">
        <v>31</v>
      </c>
      <c r="Z765" s="3">
        <f>VLOOKUP(Y765, rmpce_reference!$B$1:$D$7,3,FALSE) * 89</f>
        <v>8010</v>
      </c>
      <c r="AA765" s="1" t="str">
        <f>IF(Table1[rmpce_inr]&lt;=rmpce_reference!$F$2, "Low Income", IF(Table1[rmpce_inr]&lt;=rmpce_reference!$F$3, "Middle Income", "High Income"))</f>
        <v>High Income</v>
      </c>
    </row>
    <row r="766" spans="1:27" x14ac:dyDescent="0.25">
      <c r="A766">
        <v>4104</v>
      </c>
      <c r="B766" t="s">
        <v>42</v>
      </c>
      <c r="C766" t="s">
        <v>33</v>
      </c>
      <c r="D766">
        <v>26</v>
      </c>
      <c r="E766" t="s">
        <v>25</v>
      </c>
      <c r="F766" t="s">
        <v>26</v>
      </c>
      <c r="G766">
        <v>0</v>
      </c>
      <c r="H766" s="1" t="str">
        <f>IF(Table1[[#This Row],[anxiety_score]]&lt;=10, "Normal", IF(Table1[[#This Row],[anxiety_score]]&lt;=20, "Moderate", IF(Table1[[#This Row],[anxiety_score]]&lt;=30, "Severe", "Extremely Severe")))</f>
        <v>Normal</v>
      </c>
      <c r="I766">
        <v>-1.0134224999999999</v>
      </c>
      <c r="J766">
        <v>4</v>
      </c>
      <c r="K766" s="1" t="str">
        <f>IF(Table1[[#This Row],[stress_score]]&lt;=10, "Normal", IF(Table1[[#This Row],[stress_score]]&lt;=20, "Moderate", IF(Table1[[#This Row],[stress_score]]&lt;=30, "Severe", "Extremely Severe")))</f>
        <v>Normal</v>
      </c>
      <c r="L766">
        <v>-0.77314866000000004</v>
      </c>
      <c r="M766">
        <v>0</v>
      </c>
      <c r="N766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766">
        <v>-1.1088359000000001</v>
      </c>
      <c r="P766">
        <v>1.3333333999999999</v>
      </c>
      <c r="Q766">
        <f>ROUND(Table1[[#This Row],[dass21_raw_score]],0)</f>
        <v>1</v>
      </c>
      <c r="R766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766">
        <v>-0.96513570000000004</v>
      </c>
      <c r="T766">
        <v>0.12977421</v>
      </c>
      <c r="U766">
        <v>5000</v>
      </c>
      <c r="V766" s="1">
        <f>ROUND(Table1[[#This Row],[fmpce]],0)</f>
        <v>5000</v>
      </c>
      <c r="W766">
        <v>68.023319999999998</v>
      </c>
      <c r="X766" s="4">
        <f>Table1[[#This Row],[mpce]]*89</f>
        <v>6054.0754799999995</v>
      </c>
      <c r="Y766" s="2" t="s">
        <v>28</v>
      </c>
      <c r="Z766" s="3">
        <f>VLOOKUP(Y766, rmpce_reference!$B$1:$D$7,3,FALSE) * 89</f>
        <v>6230</v>
      </c>
      <c r="AA766" s="1" t="str">
        <f>IF(Table1[rmpce_inr]&lt;=rmpce_reference!$F$2, "Low Income", IF(Table1[rmpce_inr]&lt;=rmpce_reference!$F$3, "Middle Income", "High Income"))</f>
        <v>Middle Income</v>
      </c>
    </row>
    <row r="767" spans="1:27" x14ac:dyDescent="0.25">
      <c r="A767">
        <v>4105</v>
      </c>
      <c r="B767" t="s">
        <v>42</v>
      </c>
      <c r="C767" t="s">
        <v>33</v>
      </c>
      <c r="D767">
        <v>30</v>
      </c>
      <c r="E767" t="s">
        <v>25</v>
      </c>
      <c r="F767" t="s">
        <v>26</v>
      </c>
      <c r="G767">
        <v>0</v>
      </c>
      <c r="H767" s="1" t="str">
        <f>IF(Table1[[#This Row],[anxiety_score]]&lt;=10, "Normal", IF(Table1[[#This Row],[anxiety_score]]&lt;=20, "Moderate", IF(Table1[[#This Row],[anxiety_score]]&lt;=30, "Severe", "Extremely Severe")))</f>
        <v>Normal</v>
      </c>
      <c r="I767">
        <v>-1.0134224999999999</v>
      </c>
      <c r="J767">
        <v>4</v>
      </c>
      <c r="K767" s="1" t="str">
        <f>IF(Table1[[#This Row],[stress_score]]&lt;=10, "Normal", IF(Table1[[#This Row],[stress_score]]&lt;=20, "Moderate", IF(Table1[[#This Row],[stress_score]]&lt;=30, "Severe", "Extremely Severe")))</f>
        <v>Normal</v>
      </c>
      <c r="L767">
        <v>-0.77314866000000004</v>
      </c>
      <c r="M767">
        <v>4</v>
      </c>
      <c r="N767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767">
        <v>-0.72356116999999998</v>
      </c>
      <c r="P767">
        <v>2.6666666999999999</v>
      </c>
      <c r="Q767">
        <f>ROUND(Table1[[#This Row],[dass21_raw_score]],0)</f>
        <v>3</v>
      </c>
      <c r="R767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767">
        <v>-0.83671074999999995</v>
      </c>
      <c r="T767">
        <v>0.25819915999999998</v>
      </c>
      <c r="U767">
        <v>6250</v>
      </c>
      <c r="V767" s="1">
        <f>ROUND(Table1[[#This Row],[fmpce]],0)</f>
        <v>6250</v>
      </c>
      <c r="W767">
        <v>85.029150000000001</v>
      </c>
      <c r="X767" s="4">
        <f>Table1[[#This Row],[mpce]]*89</f>
        <v>7567.5943500000003</v>
      </c>
      <c r="Y767" s="2" t="s">
        <v>31</v>
      </c>
      <c r="Z767" s="3">
        <f>VLOOKUP(Y767, rmpce_reference!$B$1:$D$7,3,FALSE) * 89</f>
        <v>8010</v>
      </c>
      <c r="AA767" s="1" t="str">
        <f>IF(Table1[rmpce_inr]&lt;=rmpce_reference!$F$2, "Low Income", IF(Table1[rmpce_inr]&lt;=rmpce_reference!$F$3, "Middle Income", "High Income"))</f>
        <v>High Income</v>
      </c>
    </row>
    <row r="768" spans="1:27" x14ac:dyDescent="0.25">
      <c r="A768">
        <v>4106</v>
      </c>
      <c r="B768" t="s">
        <v>42</v>
      </c>
      <c r="C768" t="s">
        <v>33</v>
      </c>
      <c r="D768">
        <v>28</v>
      </c>
      <c r="E768" t="s">
        <v>22</v>
      </c>
      <c r="F768" t="s">
        <v>30</v>
      </c>
      <c r="G768">
        <v>2</v>
      </c>
      <c r="H768" s="1" t="str">
        <f>IF(Table1[[#This Row],[anxiety_score]]&lt;=10, "Normal", IF(Table1[[#This Row],[anxiety_score]]&lt;=20, "Moderate", IF(Table1[[#This Row],[anxiety_score]]&lt;=30, "Severe", "Extremely Severe")))</f>
        <v>Normal</v>
      </c>
      <c r="I768">
        <v>-0.81237789999999999</v>
      </c>
      <c r="J768">
        <v>2</v>
      </c>
      <c r="K768" s="1" t="str">
        <f>IF(Table1[[#This Row],[stress_score]]&lt;=10, "Normal", IF(Table1[[#This Row],[stress_score]]&lt;=20, "Moderate", IF(Table1[[#This Row],[stress_score]]&lt;=30, "Severe", "Extremely Severe")))</f>
        <v>Normal</v>
      </c>
      <c r="L768">
        <v>-0.9678099</v>
      </c>
      <c r="M768">
        <v>0</v>
      </c>
      <c r="N768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768">
        <v>-1.1088359000000001</v>
      </c>
      <c r="P768">
        <v>1.3333333999999999</v>
      </c>
      <c r="Q768">
        <f>ROUND(Table1[[#This Row],[dass21_raw_score]],0)</f>
        <v>1</v>
      </c>
      <c r="R768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768">
        <v>-0.96300790000000003</v>
      </c>
      <c r="T768">
        <v>0.13190198</v>
      </c>
      <c r="U768">
        <v>3750</v>
      </c>
      <c r="V768" s="1">
        <f>ROUND(Table1[[#This Row],[fmpce]],0)</f>
        <v>3750</v>
      </c>
      <c r="W768">
        <v>51.017493999999999</v>
      </c>
      <c r="X768" s="4">
        <f>Table1[[#This Row],[mpce]]*89</f>
        <v>4540.5569660000001</v>
      </c>
      <c r="Y768" s="2" t="s">
        <v>32</v>
      </c>
      <c r="Z768" s="3">
        <f>VLOOKUP(Y768, rmpce_reference!$B$1:$D$7,3,FALSE) * 89</f>
        <v>4450</v>
      </c>
      <c r="AA768" s="1" t="str">
        <f>IF(Table1[rmpce_inr]&lt;=rmpce_reference!$F$2, "Low Income", IF(Table1[rmpce_inr]&lt;=rmpce_reference!$F$3, "Middle Income", "High Income"))</f>
        <v>Low Income</v>
      </c>
    </row>
    <row r="769" spans="1:27" x14ac:dyDescent="0.25">
      <c r="A769">
        <v>4107</v>
      </c>
      <c r="B769" t="s">
        <v>42</v>
      </c>
      <c r="C769" t="s">
        <v>29</v>
      </c>
      <c r="D769">
        <v>39</v>
      </c>
      <c r="E769" t="s">
        <v>22</v>
      </c>
      <c r="F769" t="s">
        <v>30</v>
      </c>
      <c r="G769">
        <v>4</v>
      </c>
      <c r="H769" s="1" t="str">
        <f>IF(Table1[[#This Row],[anxiety_score]]&lt;=10, "Normal", IF(Table1[[#This Row],[anxiety_score]]&lt;=20, "Moderate", IF(Table1[[#This Row],[anxiety_score]]&lt;=30, "Severe", "Extremely Severe")))</f>
        <v>Normal</v>
      </c>
      <c r="I769">
        <v>-0.61133329999999997</v>
      </c>
      <c r="J769">
        <v>4</v>
      </c>
      <c r="K769" s="1" t="str">
        <f>IF(Table1[[#This Row],[stress_score]]&lt;=10, "Normal", IF(Table1[[#This Row],[stress_score]]&lt;=20, "Moderate", IF(Table1[[#This Row],[stress_score]]&lt;=30, "Severe", "Extremely Severe")))</f>
        <v>Normal</v>
      </c>
      <c r="L769">
        <v>-0.77314866000000004</v>
      </c>
      <c r="M769">
        <v>0</v>
      </c>
      <c r="N769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769">
        <v>-1.1088359000000001</v>
      </c>
      <c r="P769">
        <v>2.6666666999999999</v>
      </c>
      <c r="Q769">
        <f>ROUND(Table1[[#This Row],[dass21_raw_score]],0)</f>
        <v>3</v>
      </c>
      <c r="R769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769">
        <v>-0.83110594999999998</v>
      </c>
      <c r="T769">
        <v>0.26380396</v>
      </c>
      <c r="U769">
        <v>5000</v>
      </c>
      <c r="V769" s="1">
        <f>ROUND(Table1[[#This Row],[fmpce]],0)</f>
        <v>5000</v>
      </c>
      <c r="W769">
        <v>68.023319999999998</v>
      </c>
      <c r="X769" s="4">
        <f>Table1[[#This Row],[mpce]]*89</f>
        <v>6054.0754799999995</v>
      </c>
      <c r="Y769" s="2" t="s">
        <v>28</v>
      </c>
      <c r="Z769" s="3">
        <f>VLOOKUP(Y769, rmpce_reference!$B$1:$D$7,3,FALSE) * 89</f>
        <v>6230</v>
      </c>
      <c r="AA769" s="1" t="str">
        <f>IF(Table1[rmpce_inr]&lt;=rmpce_reference!$F$2, "Low Income", IF(Table1[rmpce_inr]&lt;=rmpce_reference!$F$3, "Middle Income", "High Income"))</f>
        <v>Middle Income</v>
      </c>
    </row>
    <row r="770" spans="1:27" x14ac:dyDescent="0.25">
      <c r="A770">
        <v>4108</v>
      </c>
      <c r="B770" t="s">
        <v>42</v>
      </c>
      <c r="C770" t="s">
        <v>29</v>
      </c>
      <c r="D770">
        <v>32</v>
      </c>
      <c r="E770" t="s">
        <v>25</v>
      </c>
      <c r="F770" t="s">
        <v>23</v>
      </c>
      <c r="G770">
        <v>6</v>
      </c>
      <c r="H770" s="1" t="str">
        <f>IF(Table1[[#This Row],[anxiety_score]]&lt;=10, "Normal", IF(Table1[[#This Row],[anxiety_score]]&lt;=20, "Moderate", IF(Table1[[#This Row],[anxiety_score]]&lt;=30, "Severe", "Extremely Severe")))</f>
        <v>Normal</v>
      </c>
      <c r="I770">
        <v>-0.41028870000000001</v>
      </c>
      <c r="J770">
        <v>14</v>
      </c>
      <c r="K770" s="1" t="str">
        <f>IF(Table1[[#This Row],[stress_score]]&lt;=10, "Normal", IF(Table1[[#This Row],[stress_score]]&lt;=20, "Moderate", IF(Table1[[#This Row],[stress_score]]&lt;=30, "Severe", "Extremely Severe")))</f>
        <v>Moderate</v>
      </c>
      <c r="L770">
        <v>0.20015757000000001</v>
      </c>
      <c r="M770">
        <v>8</v>
      </c>
      <c r="N770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770">
        <v>-0.33828637</v>
      </c>
      <c r="P770">
        <v>9.3333329999999997</v>
      </c>
      <c r="Q770">
        <f>ROUND(Table1[[#This Row],[dass21_raw_score]],0)</f>
        <v>9</v>
      </c>
      <c r="R770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770">
        <v>-0.18280584</v>
      </c>
      <c r="T770">
        <v>0.91210407000000004</v>
      </c>
      <c r="U770">
        <v>5000</v>
      </c>
      <c r="V770" s="1">
        <f>ROUND(Table1[[#This Row],[fmpce]],0)</f>
        <v>5000</v>
      </c>
      <c r="W770">
        <v>68.023319999999998</v>
      </c>
      <c r="X770" s="4">
        <f>Table1[[#This Row],[mpce]]*89</f>
        <v>6054.0754799999995</v>
      </c>
      <c r="Y770" s="2" t="s">
        <v>28</v>
      </c>
      <c r="Z770" s="3">
        <f>VLOOKUP(Y770, rmpce_reference!$B$1:$D$7,3,FALSE) * 89</f>
        <v>6230</v>
      </c>
      <c r="AA770" s="1" t="str">
        <f>IF(Table1[rmpce_inr]&lt;=rmpce_reference!$F$2, "Low Income", IF(Table1[rmpce_inr]&lt;=rmpce_reference!$F$3, "Middle Income", "High Income"))</f>
        <v>Middle Income</v>
      </c>
    </row>
    <row r="771" spans="1:27" x14ac:dyDescent="0.25">
      <c r="A771">
        <v>4109</v>
      </c>
      <c r="B771" t="s">
        <v>42</v>
      </c>
      <c r="C771" t="s">
        <v>33</v>
      </c>
      <c r="D771">
        <v>26</v>
      </c>
      <c r="E771" t="s">
        <v>25</v>
      </c>
      <c r="F771" t="s">
        <v>26</v>
      </c>
      <c r="G771">
        <v>4</v>
      </c>
      <c r="H771" s="1" t="str">
        <f>IF(Table1[[#This Row],[anxiety_score]]&lt;=10, "Normal", IF(Table1[[#This Row],[anxiety_score]]&lt;=20, "Moderate", IF(Table1[[#This Row],[anxiety_score]]&lt;=30, "Severe", "Extremely Severe")))</f>
        <v>Normal</v>
      </c>
      <c r="I771">
        <v>-0.61133329999999997</v>
      </c>
      <c r="J771">
        <v>8</v>
      </c>
      <c r="K771" s="1" t="str">
        <f>IF(Table1[[#This Row],[stress_score]]&lt;=10, "Normal", IF(Table1[[#This Row],[stress_score]]&lt;=20, "Moderate", IF(Table1[[#This Row],[stress_score]]&lt;=30, "Severe", "Extremely Severe")))</f>
        <v>Normal</v>
      </c>
      <c r="L771">
        <v>-0.38382620000000001</v>
      </c>
      <c r="M771">
        <v>2</v>
      </c>
      <c r="N771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771">
        <v>-0.91619854999999994</v>
      </c>
      <c r="P771">
        <v>4.6666664999999998</v>
      </c>
      <c r="Q771">
        <f>ROUND(Table1[[#This Row],[dass21_raw_score]],0)</f>
        <v>5</v>
      </c>
      <c r="R771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771">
        <v>-0.63711934999999997</v>
      </c>
      <c r="T771">
        <v>0.45779055000000002</v>
      </c>
      <c r="U771">
        <v>5000</v>
      </c>
      <c r="V771" s="1">
        <f>ROUND(Table1[[#This Row],[fmpce]],0)</f>
        <v>5000</v>
      </c>
      <c r="W771">
        <v>68.023319999999998</v>
      </c>
      <c r="X771" s="4">
        <f>Table1[[#This Row],[mpce]]*89</f>
        <v>6054.0754799999995</v>
      </c>
      <c r="Y771" s="2" t="s">
        <v>28</v>
      </c>
      <c r="Z771" s="3">
        <f>VLOOKUP(Y771, rmpce_reference!$B$1:$D$7,3,FALSE) * 89</f>
        <v>6230</v>
      </c>
      <c r="AA771" s="1" t="str">
        <f>IF(Table1[rmpce_inr]&lt;=rmpce_reference!$F$2, "Low Income", IF(Table1[rmpce_inr]&lt;=rmpce_reference!$F$3, "Middle Income", "High Income"))</f>
        <v>Middle Income</v>
      </c>
    </row>
    <row r="772" spans="1:27" x14ac:dyDescent="0.25">
      <c r="A772">
        <v>4110</v>
      </c>
      <c r="B772" t="s">
        <v>42</v>
      </c>
      <c r="C772" t="s">
        <v>29</v>
      </c>
      <c r="D772">
        <v>36</v>
      </c>
      <c r="E772" t="s">
        <v>25</v>
      </c>
      <c r="F772" t="s">
        <v>26</v>
      </c>
      <c r="G772">
        <v>0</v>
      </c>
      <c r="H772" s="1" t="str">
        <f>IF(Table1[[#This Row],[anxiety_score]]&lt;=10, "Normal", IF(Table1[[#This Row],[anxiety_score]]&lt;=20, "Moderate", IF(Table1[[#This Row],[anxiety_score]]&lt;=30, "Severe", "Extremely Severe")))</f>
        <v>Normal</v>
      </c>
      <c r="I772">
        <v>-1.0134224999999999</v>
      </c>
      <c r="J772">
        <v>2</v>
      </c>
      <c r="K772" s="1" t="str">
        <f>IF(Table1[[#This Row],[stress_score]]&lt;=10, "Normal", IF(Table1[[#This Row],[stress_score]]&lt;=20, "Moderate", IF(Table1[[#This Row],[stress_score]]&lt;=30, "Severe", "Extremely Severe")))</f>
        <v>Normal</v>
      </c>
      <c r="L772">
        <v>-0.9678099</v>
      </c>
      <c r="M772">
        <v>0</v>
      </c>
      <c r="N772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772">
        <v>-1.1088359000000001</v>
      </c>
      <c r="P772">
        <v>0.66666669999999995</v>
      </c>
      <c r="Q772">
        <f>ROUND(Table1[[#This Row],[dass21_raw_score]],0)</f>
        <v>1</v>
      </c>
      <c r="R772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772">
        <v>-1.0300227</v>
      </c>
      <c r="T772">
        <v>6.4887165999999996E-2</v>
      </c>
      <c r="U772">
        <v>4000</v>
      </c>
      <c r="V772" s="1">
        <f>ROUND(Table1[[#This Row],[fmpce]],0)</f>
        <v>4000</v>
      </c>
      <c r="W772">
        <v>54.418660000000003</v>
      </c>
      <c r="X772" s="4">
        <f>Table1[[#This Row],[mpce]]*89</f>
        <v>4843.2607400000006</v>
      </c>
      <c r="Y772" s="2" t="s">
        <v>32</v>
      </c>
      <c r="Z772" s="3">
        <f>VLOOKUP(Y772, rmpce_reference!$B$1:$D$7,3,FALSE) * 89</f>
        <v>4450</v>
      </c>
      <c r="AA772" s="1" t="str">
        <f>IF(Table1[rmpce_inr]&lt;=rmpce_reference!$F$2, "Low Income", IF(Table1[rmpce_inr]&lt;=rmpce_reference!$F$3, "Middle Income", "High Income"))</f>
        <v>Low Income</v>
      </c>
    </row>
    <row r="773" spans="1:27" x14ac:dyDescent="0.25">
      <c r="A773">
        <v>4111</v>
      </c>
      <c r="B773" t="s">
        <v>42</v>
      </c>
      <c r="C773" t="s">
        <v>29</v>
      </c>
      <c r="D773">
        <v>40</v>
      </c>
      <c r="E773" t="s">
        <v>25</v>
      </c>
      <c r="F773" t="s">
        <v>30</v>
      </c>
      <c r="G773">
        <v>4</v>
      </c>
      <c r="H773" s="1" t="str">
        <f>IF(Table1[[#This Row],[anxiety_score]]&lt;=10, "Normal", IF(Table1[[#This Row],[anxiety_score]]&lt;=20, "Moderate", IF(Table1[[#This Row],[anxiety_score]]&lt;=30, "Severe", "Extremely Severe")))</f>
        <v>Normal</v>
      </c>
      <c r="I773">
        <v>-0.61133329999999997</v>
      </c>
      <c r="J773">
        <v>2</v>
      </c>
      <c r="K773" s="1" t="str">
        <f>IF(Table1[[#This Row],[stress_score]]&lt;=10, "Normal", IF(Table1[[#This Row],[stress_score]]&lt;=20, "Moderate", IF(Table1[[#This Row],[stress_score]]&lt;=30, "Severe", "Extremely Severe")))</f>
        <v>Normal</v>
      </c>
      <c r="L773">
        <v>-0.9678099</v>
      </c>
      <c r="M773">
        <v>0</v>
      </c>
      <c r="N773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773">
        <v>-1.1088359000000001</v>
      </c>
      <c r="P773">
        <v>2</v>
      </c>
      <c r="Q773">
        <f>ROUND(Table1[[#This Row],[dass21_raw_score]],0)</f>
        <v>2</v>
      </c>
      <c r="R773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773">
        <v>-0.89599304999999996</v>
      </c>
      <c r="T773">
        <v>0.19891685000000001</v>
      </c>
      <c r="U773">
        <v>7000</v>
      </c>
      <c r="V773" s="1">
        <f>ROUND(Table1[[#This Row],[fmpce]],0)</f>
        <v>7000</v>
      </c>
      <c r="W773">
        <v>95.232650000000007</v>
      </c>
      <c r="X773" s="4">
        <f>Table1[[#This Row],[mpce]]*89</f>
        <v>8475.7058500000003</v>
      </c>
      <c r="Y773" s="2" t="s">
        <v>31</v>
      </c>
      <c r="Z773" s="3">
        <f>VLOOKUP(Y773, rmpce_reference!$B$1:$D$7,3,FALSE) * 89</f>
        <v>8010</v>
      </c>
      <c r="AA773" s="1" t="str">
        <f>IF(Table1[rmpce_inr]&lt;=rmpce_reference!$F$2, "Low Income", IF(Table1[rmpce_inr]&lt;=rmpce_reference!$F$3, "Middle Income", "High Income"))</f>
        <v>High Income</v>
      </c>
    </row>
    <row r="774" spans="1:27" x14ac:dyDescent="0.25">
      <c r="A774">
        <v>4112</v>
      </c>
      <c r="B774" t="s">
        <v>42</v>
      </c>
      <c r="C774" t="s">
        <v>21</v>
      </c>
      <c r="D774">
        <v>45</v>
      </c>
      <c r="E774" t="s">
        <v>22</v>
      </c>
      <c r="F774" t="s">
        <v>30</v>
      </c>
      <c r="G774">
        <v>0</v>
      </c>
      <c r="H774" s="1" t="str">
        <f>IF(Table1[[#This Row],[anxiety_score]]&lt;=10, "Normal", IF(Table1[[#This Row],[anxiety_score]]&lt;=20, "Moderate", IF(Table1[[#This Row],[anxiety_score]]&lt;=30, "Severe", "Extremely Severe")))</f>
        <v>Normal</v>
      </c>
      <c r="I774">
        <v>-1.0134224999999999</v>
      </c>
      <c r="J774">
        <v>0</v>
      </c>
      <c r="K774" s="1" t="str">
        <f>IF(Table1[[#This Row],[stress_score]]&lt;=10, "Normal", IF(Table1[[#This Row],[stress_score]]&lt;=20, "Moderate", IF(Table1[[#This Row],[stress_score]]&lt;=30, "Severe", "Extremely Severe")))</f>
        <v>Normal</v>
      </c>
      <c r="L774">
        <v>-1.1624711999999999</v>
      </c>
      <c r="M774">
        <v>0</v>
      </c>
      <c r="N774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774">
        <v>-1.1088359000000001</v>
      </c>
      <c r="P774">
        <v>0</v>
      </c>
      <c r="Q774">
        <f>ROUND(Table1[[#This Row],[dass21_raw_score]],0)</f>
        <v>0</v>
      </c>
      <c r="R774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774">
        <v>-1.0949099</v>
      </c>
      <c r="T774">
        <v>0</v>
      </c>
      <c r="U774">
        <v>2500</v>
      </c>
      <c r="V774" s="1">
        <f>ROUND(Table1[[#This Row],[fmpce]],0)</f>
        <v>2500</v>
      </c>
      <c r="W774">
        <v>34.011659999999999</v>
      </c>
      <c r="X774" s="4">
        <f>Table1[[#This Row],[mpce]]*89</f>
        <v>3027.0377399999998</v>
      </c>
      <c r="Y774" s="2" t="s">
        <v>34</v>
      </c>
      <c r="Z774" s="3">
        <f>VLOOKUP(Y774, rmpce_reference!$B$1:$D$7,3,FALSE) * 89</f>
        <v>2848</v>
      </c>
      <c r="AA774" s="1" t="str">
        <f>IF(Table1[rmpce_inr]&lt;=rmpce_reference!$F$2, "Low Income", IF(Table1[rmpce_inr]&lt;=rmpce_reference!$F$3, "Middle Income", "High Income"))</f>
        <v>Low Income</v>
      </c>
    </row>
    <row r="775" spans="1:27" x14ac:dyDescent="0.25">
      <c r="A775">
        <v>4113</v>
      </c>
      <c r="B775" t="s">
        <v>42</v>
      </c>
      <c r="C775" t="s">
        <v>29</v>
      </c>
      <c r="D775">
        <v>33</v>
      </c>
      <c r="E775" t="s">
        <v>22</v>
      </c>
      <c r="F775" t="s">
        <v>30</v>
      </c>
      <c r="G775">
        <v>6</v>
      </c>
      <c r="H775" s="1" t="str">
        <f>IF(Table1[[#This Row],[anxiety_score]]&lt;=10, "Normal", IF(Table1[[#This Row],[anxiety_score]]&lt;=20, "Moderate", IF(Table1[[#This Row],[anxiety_score]]&lt;=30, "Severe", "Extremely Severe")))</f>
        <v>Normal</v>
      </c>
      <c r="I775">
        <v>-0.41028870000000001</v>
      </c>
      <c r="J775">
        <v>2</v>
      </c>
      <c r="K775" s="1" t="str">
        <f>IF(Table1[[#This Row],[stress_score]]&lt;=10, "Normal", IF(Table1[[#This Row],[stress_score]]&lt;=20, "Moderate", IF(Table1[[#This Row],[stress_score]]&lt;=30, "Severe", "Extremely Severe")))</f>
        <v>Normal</v>
      </c>
      <c r="L775">
        <v>-0.9678099</v>
      </c>
      <c r="M775">
        <v>4</v>
      </c>
      <c r="N775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775">
        <v>-0.72356116999999998</v>
      </c>
      <c r="P775">
        <v>4</v>
      </c>
      <c r="Q775">
        <f>ROUND(Table1[[#This Row],[dass21_raw_score]],0)</f>
        <v>4</v>
      </c>
      <c r="R775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775">
        <v>-0.70055323999999997</v>
      </c>
      <c r="T775">
        <v>0.39435667000000002</v>
      </c>
      <c r="U775">
        <v>5000</v>
      </c>
      <c r="V775" s="1">
        <f>ROUND(Table1[[#This Row],[fmpce]],0)</f>
        <v>5000</v>
      </c>
      <c r="W775">
        <v>68.023319999999998</v>
      </c>
      <c r="X775" s="4">
        <f>Table1[[#This Row],[mpce]]*89</f>
        <v>6054.0754799999995</v>
      </c>
      <c r="Y775" s="2" t="s">
        <v>28</v>
      </c>
      <c r="Z775" s="3">
        <f>VLOOKUP(Y775, rmpce_reference!$B$1:$D$7,3,FALSE) * 89</f>
        <v>6230</v>
      </c>
      <c r="AA775" s="1" t="str">
        <f>IF(Table1[rmpce_inr]&lt;=rmpce_reference!$F$2, "Low Income", IF(Table1[rmpce_inr]&lt;=rmpce_reference!$F$3, "Middle Income", "High Income"))</f>
        <v>Middle Income</v>
      </c>
    </row>
    <row r="776" spans="1:27" x14ac:dyDescent="0.25">
      <c r="A776">
        <v>4114</v>
      </c>
      <c r="B776" t="s">
        <v>42</v>
      </c>
      <c r="C776" t="s">
        <v>29</v>
      </c>
      <c r="D776">
        <v>38</v>
      </c>
      <c r="E776" t="s">
        <v>22</v>
      </c>
      <c r="F776" t="s">
        <v>30</v>
      </c>
      <c r="G776">
        <v>2</v>
      </c>
      <c r="H776" s="1" t="str">
        <f>IF(Table1[[#This Row],[anxiety_score]]&lt;=10, "Normal", IF(Table1[[#This Row],[anxiety_score]]&lt;=20, "Moderate", IF(Table1[[#This Row],[anxiety_score]]&lt;=30, "Severe", "Extremely Severe")))</f>
        <v>Normal</v>
      </c>
      <c r="I776">
        <v>-0.81237789999999999</v>
      </c>
      <c r="J776">
        <v>0</v>
      </c>
      <c r="K776" s="1" t="str">
        <f>IF(Table1[[#This Row],[stress_score]]&lt;=10, "Normal", IF(Table1[[#This Row],[stress_score]]&lt;=20, "Moderate", IF(Table1[[#This Row],[stress_score]]&lt;=30, "Severe", "Extremely Severe")))</f>
        <v>Normal</v>
      </c>
      <c r="L776">
        <v>-1.1624711999999999</v>
      </c>
      <c r="M776">
        <v>0</v>
      </c>
      <c r="N776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776">
        <v>-1.1088359000000001</v>
      </c>
      <c r="P776">
        <v>0.66666669999999995</v>
      </c>
      <c r="Q776">
        <f>ROUND(Table1[[#This Row],[dass21_raw_score]],0)</f>
        <v>1</v>
      </c>
      <c r="R776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776">
        <v>-1.027895</v>
      </c>
      <c r="T776">
        <v>6.701493E-2</v>
      </c>
      <c r="U776">
        <v>4000</v>
      </c>
      <c r="V776" s="1">
        <f>ROUND(Table1[[#This Row],[fmpce]],0)</f>
        <v>4000</v>
      </c>
      <c r="W776">
        <v>54.418660000000003</v>
      </c>
      <c r="X776" s="4">
        <f>Table1[[#This Row],[mpce]]*89</f>
        <v>4843.2607400000006</v>
      </c>
      <c r="Y776" s="2" t="s">
        <v>32</v>
      </c>
      <c r="Z776" s="3">
        <f>VLOOKUP(Y776, rmpce_reference!$B$1:$D$7,3,FALSE) * 89</f>
        <v>4450</v>
      </c>
      <c r="AA776" s="1" t="str">
        <f>IF(Table1[rmpce_inr]&lt;=rmpce_reference!$F$2, "Low Income", IF(Table1[rmpce_inr]&lt;=rmpce_reference!$F$3, "Middle Income", "High Income"))</f>
        <v>Low Income</v>
      </c>
    </row>
    <row r="777" spans="1:27" x14ac:dyDescent="0.25">
      <c r="A777">
        <v>4115</v>
      </c>
      <c r="B777" t="s">
        <v>42</v>
      </c>
      <c r="C777" t="s">
        <v>33</v>
      </c>
      <c r="D777">
        <v>25</v>
      </c>
      <c r="E777" t="s">
        <v>22</v>
      </c>
      <c r="F777" t="s">
        <v>30</v>
      </c>
      <c r="G777">
        <v>0</v>
      </c>
      <c r="H777" s="1" t="str">
        <f>IF(Table1[[#This Row],[anxiety_score]]&lt;=10, "Normal", IF(Table1[[#This Row],[anxiety_score]]&lt;=20, "Moderate", IF(Table1[[#This Row],[anxiety_score]]&lt;=30, "Severe", "Extremely Severe")))</f>
        <v>Normal</v>
      </c>
      <c r="I777">
        <v>-1.0134224999999999</v>
      </c>
      <c r="J777">
        <v>4</v>
      </c>
      <c r="K777" s="1" t="str">
        <f>IF(Table1[[#This Row],[stress_score]]&lt;=10, "Normal", IF(Table1[[#This Row],[stress_score]]&lt;=20, "Moderate", IF(Table1[[#This Row],[stress_score]]&lt;=30, "Severe", "Extremely Severe")))</f>
        <v>Normal</v>
      </c>
      <c r="L777">
        <v>-0.77314866000000004</v>
      </c>
      <c r="M777">
        <v>0</v>
      </c>
      <c r="N777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777">
        <v>-1.1088359000000001</v>
      </c>
      <c r="P777">
        <v>1.3333333999999999</v>
      </c>
      <c r="Q777">
        <f>ROUND(Table1[[#This Row],[dass21_raw_score]],0)</f>
        <v>1</v>
      </c>
      <c r="R777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777">
        <v>-0.96513570000000004</v>
      </c>
      <c r="T777">
        <v>0.12977421</v>
      </c>
      <c r="U777">
        <v>2500</v>
      </c>
      <c r="V777" s="1">
        <f>ROUND(Table1[[#This Row],[fmpce]],0)</f>
        <v>2500</v>
      </c>
      <c r="W777">
        <v>34.011659999999999</v>
      </c>
      <c r="X777" s="4">
        <f>Table1[[#This Row],[mpce]]*89</f>
        <v>3027.0377399999998</v>
      </c>
      <c r="Y777" s="2" t="s">
        <v>34</v>
      </c>
      <c r="Z777" s="3">
        <f>VLOOKUP(Y777, rmpce_reference!$B$1:$D$7,3,FALSE) * 89</f>
        <v>2848</v>
      </c>
      <c r="AA777" s="1" t="str">
        <f>IF(Table1[rmpce_inr]&lt;=rmpce_reference!$F$2, "Low Income", IF(Table1[rmpce_inr]&lt;=rmpce_reference!$F$3, "Middle Income", "High Income"))</f>
        <v>Low Income</v>
      </c>
    </row>
    <row r="778" spans="1:27" x14ac:dyDescent="0.25">
      <c r="A778">
        <v>4116</v>
      </c>
      <c r="B778" t="s">
        <v>42</v>
      </c>
      <c r="C778" t="s">
        <v>36</v>
      </c>
      <c r="D778">
        <v>59</v>
      </c>
      <c r="E778" t="s">
        <v>25</v>
      </c>
      <c r="F778" t="s">
        <v>38</v>
      </c>
      <c r="G778">
        <v>4</v>
      </c>
      <c r="H778" s="1" t="str">
        <f>IF(Table1[[#This Row],[anxiety_score]]&lt;=10, "Normal", IF(Table1[[#This Row],[anxiety_score]]&lt;=20, "Moderate", IF(Table1[[#This Row],[anxiety_score]]&lt;=30, "Severe", "Extremely Severe")))</f>
        <v>Normal</v>
      </c>
      <c r="I778">
        <v>-0.61133329999999997</v>
      </c>
      <c r="J778">
        <v>0</v>
      </c>
      <c r="K778" s="1" t="str">
        <f>IF(Table1[[#This Row],[stress_score]]&lt;=10, "Normal", IF(Table1[[#This Row],[stress_score]]&lt;=20, "Moderate", IF(Table1[[#This Row],[stress_score]]&lt;=30, "Severe", "Extremely Severe")))</f>
        <v>Normal</v>
      </c>
      <c r="L778">
        <v>-1.1624711999999999</v>
      </c>
      <c r="M778">
        <v>2</v>
      </c>
      <c r="N778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778">
        <v>-0.91619854999999994</v>
      </c>
      <c r="P778">
        <v>2</v>
      </c>
      <c r="Q778">
        <f>ROUND(Table1[[#This Row],[dass21_raw_score]],0)</f>
        <v>2</v>
      </c>
      <c r="R778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778">
        <v>-0.89666765999999998</v>
      </c>
      <c r="T778">
        <v>0.19824225000000001</v>
      </c>
      <c r="U778">
        <v>4166.6665000000003</v>
      </c>
      <c r="V778" s="1">
        <f>ROUND(Table1[[#This Row],[fmpce]],0)</f>
        <v>4167</v>
      </c>
      <c r="W778">
        <v>56.686100000000003</v>
      </c>
      <c r="X778" s="4">
        <f>Table1[[#This Row],[mpce]]*89</f>
        <v>5045.0628999999999</v>
      </c>
      <c r="Y778" s="2" t="s">
        <v>32</v>
      </c>
      <c r="Z778" s="3">
        <f>VLOOKUP(Y778, rmpce_reference!$B$1:$D$7,3,FALSE) * 89</f>
        <v>4450</v>
      </c>
      <c r="AA778" s="1" t="str">
        <f>IF(Table1[rmpce_inr]&lt;=rmpce_reference!$F$2, "Low Income", IF(Table1[rmpce_inr]&lt;=rmpce_reference!$F$3, "Middle Income", "High Income"))</f>
        <v>Low Income</v>
      </c>
    </row>
    <row r="779" spans="1:27" x14ac:dyDescent="0.25">
      <c r="A779">
        <v>4117</v>
      </c>
      <c r="B779" t="s">
        <v>42</v>
      </c>
      <c r="C779" t="s">
        <v>33</v>
      </c>
      <c r="D779">
        <v>26</v>
      </c>
      <c r="E779" t="s">
        <v>25</v>
      </c>
      <c r="F779" t="s">
        <v>30</v>
      </c>
      <c r="G779">
        <v>6</v>
      </c>
      <c r="H779" s="1" t="str">
        <f>IF(Table1[[#This Row],[anxiety_score]]&lt;=10, "Normal", IF(Table1[[#This Row],[anxiety_score]]&lt;=20, "Moderate", IF(Table1[[#This Row],[anxiety_score]]&lt;=30, "Severe", "Extremely Severe")))</f>
        <v>Normal</v>
      </c>
      <c r="I779">
        <v>-0.41028870000000001</v>
      </c>
      <c r="J779">
        <v>0</v>
      </c>
      <c r="K779" s="1" t="str">
        <f>IF(Table1[[#This Row],[stress_score]]&lt;=10, "Normal", IF(Table1[[#This Row],[stress_score]]&lt;=20, "Moderate", IF(Table1[[#This Row],[stress_score]]&lt;=30, "Severe", "Extremely Severe")))</f>
        <v>Normal</v>
      </c>
      <c r="L779">
        <v>-1.1624711999999999</v>
      </c>
      <c r="M779">
        <v>0</v>
      </c>
      <c r="N779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779">
        <v>-1.1088359000000001</v>
      </c>
      <c r="P779">
        <v>2</v>
      </c>
      <c r="Q779">
        <f>ROUND(Table1[[#This Row],[dass21_raw_score]],0)</f>
        <v>2</v>
      </c>
      <c r="R779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779">
        <v>-0.89386529999999997</v>
      </c>
      <c r="T779">
        <v>0.20104462000000001</v>
      </c>
      <c r="U779">
        <v>7500</v>
      </c>
      <c r="V779" s="1">
        <f>ROUND(Table1[[#This Row],[fmpce]],0)</f>
        <v>7500</v>
      </c>
      <c r="W779">
        <v>102.03498999999999</v>
      </c>
      <c r="X779" s="4">
        <f>Table1[[#This Row],[mpce]]*89</f>
        <v>9081.1141099999986</v>
      </c>
      <c r="Y779" s="2" t="s">
        <v>35</v>
      </c>
      <c r="Z779" s="3">
        <f>VLOOKUP(Y779, rmpce_reference!$B$1:$D$7,3,FALSE) * 89</f>
        <v>9790</v>
      </c>
      <c r="AA779" s="1" t="str">
        <f>IF(Table1[rmpce_inr]&lt;=rmpce_reference!$F$2, "Low Income", IF(Table1[rmpce_inr]&lt;=rmpce_reference!$F$3, "Middle Income", "High Income"))</f>
        <v>High Income</v>
      </c>
    </row>
    <row r="780" spans="1:27" x14ac:dyDescent="0.25">
      <c r="A780">
        <v>4118</v>
      </c>
      <c r="B780" t="s">
        <v>42</v>
      </c>
      <c r="C780" t="s">
        <v>29</v>
      </c>
      <c r="D780">
        <v>36</v>
      </c>
      <c r="E780" t="s">
        <v>25</v>
      </c>
      <c r="F780" t="s">
        <v>30</v>
      </c>
      <c r="G780">
        <v>0</v>
      </c>
      <c r="H780" s="1" t="str">
        <f>IF(Table1[[#This Row],[anxiety_score]]&lt;=10, "Normal", IF(Table1[[#This Row],[anxiety_score]]&lt;=20, "Moderate", IF(Table1[[#This Row],[anxiety_score]]&lt;=30, "Severe", "Extremely Severe")))</f>
        <v>Normal</v>
      </c>
      <c r="I780">
        <v>-1.0134224999999999</v>
      </c>
      <c r="J780">
        <v>0</v>
      </c>
      <c r="K780" s="1" t="str">
        <f>IF(Table1[[#This Row],[stress_score]]&lt;=10, "Normal", IF(Table1[[#This Row],[stress_score]]&lt;=20, "Moderate", IF(Table1[[#This Row],[stress_score]]&lt;=30, "Severe", "Extremely Severe")))</f>
        <v>Normal</v>
      </c>
      <c r="L780">
        <v>-1.1624711999999999</v>
      </c>
      <c r="M780">
        <v>0</v>
      </c>
      <c r="N780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780">
        <v>-1.1088359000000001</v>
      </c>
      <c r="P780">
        <v>0</v>
      </c>
      <c r="Q780">
        <f>ROUND(Table1[[#This Row],[dass21_raw_score]],0)</f>
        <v>0</v>
      </c>
      <c r="R780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780">
        <v>-1.0949099</v>
      </c>
      <c r="T780">
        <v>0</v>
      </c>
      <c r="U780">
        <v>6000</v>
      </c>
      <c r="V780" s="1">
        <f>ROUND(Table1[[#This Row],[fmpce]],0)</f>
        <v>6000</v>
      </c>
      <c r="W780">
        <v>81.627989999999997</v>
      </c>
      <c r="X780" s="4">
        <f>Table1[[#This Row],[mpce]]*89</f>
        <v>7264.8911099999996</v>
      </c>
      <c r="Y780" s="2" t="s">
        <v>31</v>
      </c>
      <c r="Z780" s="3">
        <f>VLOOKUP(Y780, rmpce_reference!$B$1:$D$7,3,FALSE) * 89</f>
        <v>8010</v>
      </c>
      <c r="AA780" s="1" t="str">
        <f>IF(Table1[rmpce_inr]&lt;=rmpce_reference!$F$2, "Low Income", IF(Table1[rmpce_inr]&lt;=rmpce_reference!$F$3, "Middle Income", "High Income"))</f>
        <v>High Income</v>
      </c>
    </row>
    <row r="781" spans="1:27" x14ac:dyDescent="0.25">
      <c r="A781">
        <v>4119</v>
      </c>
      <c r="B781" t="s">
        <v>42</v>
      </c>
      <c r="C781" t="s">
        <v>36</v>
      </c>
      <c r="D781">
        <v>53</v>
      </c>
      <c r="E781" t="s">
        <v>25</v>
      </c>
      <c r="F781" t="s">
        <v>23</v>
      </c>
      <c r="G781">
        <v>4</v>
      </c>
      <c r="H781" s="1" t="str">
        <f>IF(Table1[[#This Row],[anxiety_score]]&lt;=10, "Normal", IF(Table1[[#This Row],[anxiety_score]]&lt;=20, "Moderate", IF(Table1[[#This Row],[anxiety_score]]&lt;=30, "Severe", "Extremely Severe")))</f>
        <v>Normal</v>
      </c>
      <c r="I781">
        <v>-0.61133329999999997</v>
      </c>
      <c r="J781">
        <v>2</v>
      </c>
      <c r="K781" s="1" t="str">
        <f>IF(Table1[[#This Row],[stress_score]]&lt;=10, "Normal", IF(Table1[[#This Row],[stress_score]]&lt;=20, "Moderate", IF(Table1[[#This Row],[stress_score]]&lt;=30, "Severe", "Extremely Severe")))</f>
        <v>Normal</v>
      </c>
      <c r="L781">
        <v>-0.9678099</v>
      </c>
      <c r="M781">
        <v>2</v>
      </c>
      <c r="N781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781">
        <v>-0.91619854999999994</v>
      </c>
      <c r="P781">
        <v>2.6666666999999999</v>
      </c>
      <c r="Q781">
        <f>ROUND(Table1[[#This Row],[dass21_raw_score]],0)</f>
        <v>3</v>
      </c>
      <c r="R781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781">
        <v>-0.83178059999999998</v>
      </c>
      <c r="T781">
        <v>0.26312930000000001</v>
      </c>
      <c r="U781">
        <v>2500</v>
      </c>
      <c r="V781" s="1">
        <f>ROUND(Table1[[#This Row],[fmpce]],0)</f>
        <v>2500</v>
      </c>
      <c r="W781">
        <v>34.011659999999999</v>
      </c>
      <c r="X781" s="4">
        <f>Table1[[#This Row],[mpce]]*89</f>
        <v>3027.0377399999998</v>
      </c>
      <c r="Y781" s="2" t="s">
        <v>34</v>
      </c>
      <c r="Z781" s="3">
        <f>VLOOKUP(Y781, rmpce_reference!$B$1:$D$7,3,FALSE) * 89</f>
        <v>2848</v>
      </c>
      <c r="AA781" s="1" t="str">
        <f>IF(Table1[rmpce_inr]&lt;=rmpce_reference!$F$2, "Low Income", IF(Table1[rmpce_inr]&lt;=rmpce_reference!$F$3, "Middle Income", "High Income"))</f>
        <v>Low Income</v>
      </c>
    </row>
    <row r="782" spans="1:27" x14ac:dyDescent="0.25">
      <c r="A782">
        <v>4120</v>
      </c>
      <c r="B782" t="s">
        <v>42</v>
      </c>
      <c r="C782" t="s">
        <v>33</v>
      </c>
      <c r="D782">
        <v>26</v>
      </c>
      <c r="E782" t="s">
        <v>25</v>
      </c>
      <c r="F782" t="s">
        <v>26</v>
      </c>
      <c r="G782">
        <v>6</v>
      </c>
      <c r="H782" s="1" t="str">
        <f>IF(Table1[[#This Row],[anxiety_score]]&lt;=10, "Normal", IF(Table1[[#This Row],[anxiety_score]]&lt;=20, "Moderate", IF(Table1[[#This Row],[anxiety_score]]&lt;=30, "Severe", "Extremely Severe")))</f>
        <v>Normal</v>
      </c>
      <c r="I782">
        <v>-0.41028870000000001</v>
      </c>
      <c r="J782">
        <v>2</v>
      </c>
      <c r="K782" s="1" t="str">
        <f>IF(Table1[[#This Row],[stress_score]]&lt;=10, "Normal", IF(Table1[[#This Row],[stress_score]]&lt;=20, "Moderate", IF(Table1[[#This Row],[stress_score]]&lt;=30, "Severe", "Extremely Severe")))</f>
        <v>Normal</v>
      </c>
      <c r="L782">
        <v>-0.9678099</v>
      </c>
      <c r="M782">
        <v>0</v>
      </c>
      <c r="N782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782">
        <v>-1.1088359000000001</v>
      </c>
      <c r="P782">
        <v>2.6666666999999999</v>
      </c>
      <c r="Q782">
        <f>ROUND(Table1[[#This Row],[dass21_raw_score]],0)</f>
        <v>3</v>
      </c>
      <c r="R782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782">
        <v>-0.8289782</v>
      </c>
      <c r="T782">
        <v>0.26593172999999998</v>
      </c>
      <c r="U782">
        <v>4000</v>
      </c>
      <c r="V782" s="1">
        <f>ROUND(Table1[[#This Row],[fmpce]],0)</f>
        <v>4000</v>
      </c>
      <c r="W782">
        <v>54.418660000000003</v>
      </c>
      <c r="X782" s="4">
        <f>Table1[[#This Row],[mpce]]*89</f>
        <v>4843.2607400000006</v>
      </c>
      <c r="Y782" s="2" t="s">
        <v>32</v>
      </c>
      <c r="Z782" s="3">
        <f>VLOOKUP(Y782, rmpce_reference!$B$1:$D$7,3,FALSE) * 89</f>
        <v>4450</v>
      </c>
      <c r="AA782" s="1" t="str">
        <f>IF(Table1[rmpce_inr]&lt;=rmpce_reference!$F$2, "Low Income", IF(Table1[rmpce_inr]&lt;=rmpce_reference!$F$3, "Middle Income", "High Income"))</f>
        <v>Low Income</v>
      </c>
    </row>
    <row r="783" spans="1:27" x14ac:dyDescent="0.25">
      <c r="A783">
        <v>4121</v>
      </c>
      <c r="B783" t="s">
        <v>42</v>
      </c>
      <c r="C783" t="s">
        <v>29</v>
      </c>
      <c r="D783">
        <v>32</v>
      </c>
      <c r="E783" t="s">
        <v>25</v>
      </c>
      <c r="F783" t="s">
        <v>26</v>
      </c>
      <c r="G783">
        <v>2</v>
      </c>
      <c r="H783" s="1" t="str">
        <f>IF(Table1[[#This Row],[anxiety_score]]&lt;=10, "Normal", IF(Table1[[#This Row],[anxiety_score]]&lt;=20, "Moderate", IF(Table1[[#This Row],[anxiety_score]]&lt;=30, "Severe", "Extremely Severe")))</f>
        <v>Normal</v>
      </c>
      <c r="I783">
        <v>-0.81237789999999999</v>
      </c>
      <c r="J783">
        <v>0</v>
      </c>
      <c r="K783" s="1" t="str">
        <f>IF(Table1[[#This Row],[stress_score]]&lt;=10, "Normal", IF(Table1[[#This Row],[stress_score]]&lt;=20, "Moderate", IF(Table1[[#This Row],[stress_score]]&lt;=30, "Severe", "Extremely Severe")))</f>
        <v>Normal</v>
      </c>
      <c r="L783">
        <v>-1.1624711999999999</v>
      </c>
      <c r="M783">
        <v>0</v>
      </c>
      <c r="N783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783">
        <v>-1.1088359000000001</v>
      </c>
      <c r="P783">
        <v>0.66666669999999995</v>
      </c>
      <c r="Q783">
        <f>ROUND(Table1[[#This Row],[dass21_raw_score]],0)</f>
        <v>1</v>
      </c>
      <c r="R783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783">
        <v>-1.027895</v>
      </c>
      <c r="T783">
        <v>6.701493E-2</v>
      </c>
      <c r="U783">
        <v>5000</v>
      </c>
      <c r="V783" s="1">
        <f>ROUND(Table1[[#This Row],[fmpce]],0)</f>
        <v>5000</v>
      </c>
      <c r="W783">
        <v>68.023319999999998</v>
      </c>
      <c r="X783" s="4">
        <f>Table1[[#This Row],[mpce]]*89</f>
        <v>6054.0754799999995</v>
      </c>
      <c r="Y783" s="2" t="s">
        <v>28</v>
      </c>
      <c r="Z783" s="3">
        <f>VLOOKUP(Y783, rmpce_reference!$B$1:$D$7,3,FALSE) * 89</f>
        <v>6230</v>
      </c>
      <c r="AA783" s="1" t="str">
        <f>IF(Table1[rmpce_inr]&lt;=rmpce_reference!$F$2, "Low Income", IF(Table1[rmpce_inr]&lt;=rmpce_reference!$F$3, "Middle Income", "High Income"))</f>
        <v>Middle Income</v>
      </c>
    </row>
    <row r="784" spans="1:27" x14ac:dyDescent="0.25">
      <c r="A784">
        <v>4122</v>
      </c>
      <c r="B784" t="s">
        <v>42</v>
      </c>
      <c r="C784" t="s">
        <v>29</v>
      </c>
      <c r="D784">
        <v>38</v>
      </c>
      <c r="E784" t="s">
        <v>25</v>
      </c>
      <c r="F784" t="s">
        <v>26</v>
      </c>
      <c r="G784">
        <v>6</v>
      </c>
      <c r="H784" s="1" t="str">
        <f>IF(Table1[[#This Row],[anxiety_score]]&lt;=10, "Normal", IF(Table1[[#This Row],[anxiety_score]]&lt;=20, "Moderate", IF(Table1[[#This Row],[anxiety_score]]&lt;=30, "Severe", "Extremely Severe")))</f>
        <v>Normal</v>
      </c>
      <c r="I784">
        <v>-0.41028870000000001</v>
      </c>
      <c r="J784">
        <v>0</v>
      </c>
      <c r="K784" s="1" t="str">
        <f>IF(Table1[[#This Row],[stress_score]]&lt;=10, "Normal", IF(Table1[[#This Row],[stress_score]]&lt;=20, "Moderate", IF(Table1[[#This Row],[stress_score]]&lt;=30, "Severe", "Extremely Severe")))</f>
        <v>Normal</v>
      </c>
      <c r="L784">
        <v>-1.1624711999999999</v>
      </c>
      <c r="M784">
        <v>2</v>
      </c>
      <c r="N784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784">
        <v>-0.91619854999999994</v>
      </c>
      <c r="P784">
        <v>2.6666666999999999</v>
      </c>
      <c r="Q784">
        <f>ROUND(Table1[[#This Row],[dass21_raw_score]],0)</f>
        <v>3</v>
      </c>
      <c r="R784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784">
        <v>-0.82965279999999997</v>
      </c>
      <c r="T784">
        <v>0.26525712000000001</v>
      </c>
      <c r="U784">
        <v>7000</v>
      </c>
      <c r="V784" s="1">
        <f>ROUND(Table1[[#This Row],[fmpce]],0)</f>
        <v>7000</v>
      </c>
      <c r="W784">
        <v>95.232650000000007</v>
      </c>
      <c r="X784" s="4">
        <f>Table1[[#This Row],[mpce]]*89</f>
        <v>8475.7058500000003</v>
      </c>
      <c r="Y784" s="2" t="s">
        <v>31</v>
      </c>
      <c r="Z784" s="3">
        <f>VLOOKUP(Y784, rmpce_reference!$B$1:$D$7,3,FALSE) * 89</f>
        <v>8010</v>
      </c>
      <c r="AA784" s="1" t="str">
        <f>IF(Table1[rmpce_inr]&lt;=rmpce_reference!$F$2, "Low Income", IF(Table1[rmpce_inr]&lt;=rmpce_reference!$F$3, "Middle Income", "High Income"))</f>
        <v>High Income</v>
      </c>
    </row>
    <row r="785" spans="1:27" x14ac:dyDescent="0.25">
      <c r="A785">
        <v>4123</v>
      </c>
      <c r="B785" t="s">
        <v>42</v>
      </c>
      <c r="C785" t="s">
        <v>29</v>
      </c>
      <c r="D785">
        <v>32</v>
      </c>
      <c r="E785" t="s">
        <v>25</v>
      </c>
      <c r="F785" t="s">
        <v>26</v>
      </c>
      <c r="G785">
        <v>0</v>
      </c>
      <c r="H785" s="1" t="str">
        <f>IF(Table1[[#This Row],[anxiety_score]]&lt;=10, "Normal", IF(Table1[[#This Row],[anxiety_score]]&lt;=20, "Moderate", IF(Table1[[#This Row],[anxiety_score]]&lt;=30, "Severe", "Extremely Severe")))</f>
        <v>Normal</v>
      </c>
      <c r="I785">
        <v>-1.0134224999999999</v>
      </c>
      <c r="J785">
        <v>0</v>
      </c>
      <c r="K785" s="1" t="str">
        <f>IF(Table1[[#This Row],[stress_score]]&lt;=10, "Normal", IF(Table1[[#This Row],[stress_score]]&lt;=20, "Moderate", IF(Table1[[#This Row],[stress_score]]&lt;=30, "Severe", "Extremely Severe")))</f>
        <v>Normal</v>
      </c>
      <c r="L785">
        <v>-1.1624711999999999</v>
      </c>
      <c r="M785">
        <v>0</v>
      </c>
      <c r="N785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785">
        <v>-1.1088359000000001</v>
      </c>
      <c r="P785">
        <v>0</v>
      </c>
      <c r="Q785">
        <f>ROUND(Table1[[#This Row],[dass21_raw_score]],0)</f>
        <v>0</v>
      </c>
      <c r="R785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785">
        <v>-1.0949099</v>
      </c>
      <c r="T785">
        <v>0</v>
      </c>
      <c r="U785">
        <v>6000</v>
      </c>
      <c r="V785" s="1">
        <f>ROUND(Table1[[#This Row],[fmpce]],0)</f>
        <v>6000</v>
      </c>
      <c r="W785">
        <v>81.627989999999997</v>
      </c>
      <c r="X785" s="4">
        <f>Table1[[#This Row],[mpce]]*89</f>
        <v>7264.8911099999996</v>
      </c>
      <c r="Y785" s="2" t="s">
        <v>31</v>
      </c>
      <c r="Z785" s="3">
        <f>VLOOKUP(Y785, rmpce_reference!$B$1:$D$7,3,FALSE) * 89</f>
        <v>8010</v>
      </c>
      <c r="AA785" s="1" t="str">
        <f>IF(Table1[rmpce_inr]&lt;=rmpce_reference!$F$2, "Low Income", IF(Table1[rmpce_inr]&lt;=rmpce_reference!$F$3, "Middle Income", "High Income"))</f>
        <v>High Income</v>
      </c>
    </row>
    <row r="786" spans="1:27" x14ac:dyDescent="0.25">
      <c r="A786">
        <v>4124</v>
      </c>
      <c r="B786" t="s">
        <v>42</v>
      </c>
      <c r="C786" t="s">
        <v>36</v>
      </c>
      <c r="D786">
        <v>53</v>
      </c>
      <c r="E786" t="s">
        <v>25</v>
      </c>
      <c r="F786" t="s">
        <v>26</v>
      </c>
      <c r="G786">
        <v>4</v>
      </c>
      <c r="H786" s="1" t="str">
        <f>IF(Table1[[#This Row],[anxiety_score]]&lt;=10, "Normal", IF(Table1[[#This Row],[anxiety_score]]&lt;=20, "Moderate", IF(Table1[[#This Row],[anxiety_score]]&lt;=30, "Severe", "Extremely Severe")))</f>
        <v>Normal</v>
      </c>
      <c r="I786">
        <v>-0.61133329999999997</v>
      </c>
      <c r="J786">
        <v>6</v>
      </c>
      <c r="K786" s="1" t="str">
        <f>IF(Table1[[#This Row],[stress_score]]&lt;=10, "Normal", IF(Table1[[#This Row],[stress_score]]&lt;=20, "Moderate", IF(Table1[[#This Row],[stress_score]]&lt;=30, "Severe", "Extremely Severe")))</f>
        <v>Normal</v>
      </c>
      <c r="L786">
        <v>-0.57848745999999995</v>
      </c>
      <c r="M786">
        <v>0</v>
      </c>
      <c r="N786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786">
        <v>-1.1088359000000001</v>
      </c>
      <c r="P786">
        <v>3.3333333000000001</v>
      </c>
      <c r="Q786">
        <f>ROUND(Table1[[#This Row],[dass21_raw_score]],0)</f>
        <v>3</v>
      </c>
      <c r="R786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786">
        <v>-0.76621890000000004</v>
      </c>
      <c r="T786">
        <v>0.32869100000000001</v>
      </c>
      <c r="U786">
        <v>5000</v>
      </c>
      <c r="V786" s="1">
        <f>ROUND(Table1[[#This Row],[fmpce]],0)</f>
        <v>5000</v>
      </c>
      <c r="W786">
        <v>68.023319999999998</v>
      </c>
      <c r="X786" s="4">
        <f>Table1[[#This Row],[mpce]]*89</f>
        <v>6054.0754799999995</v>
      </c>
      <c r="Y786" s="2" t="s">
        <v>28</v>
      </c>
      <c r="Z786" s="3">
        <f>VLOOKUP(Y786, rmpce_reference!$B$1:$D$7,3,FALSE) * 89</f>
        <v>6230</v>
      </c>
      <c r="AA786" s="1" t="str">
        <f>IF(Table1[rmpce_inr]&lt;=rmpce_reference!$F$2, "Low Income", IF(Table1[rmpce_inr]&lt;=rmpce_reference!$F$3, "Middle Income", "High Income"))</f>
        <v>Middle Income</v>
      </c>
    </row>
    <row r="787" spans="1:27" x14ac:dyDescent="0.25">
      <c r="A787">
        <v>4125</v>
      </c>
      <c r="B787" t="s">
        <v>42</v>
      </c>
      <c r="C787" t="s">
        <v>29</v>
      </c>
      <c r="D787">
        <v>36</v>
      </c>
      <c r="E787" t="s">
        <v>25</v>
      </c>
      <c r="F787" t="s">
        <v>26</v>
      </c>
      <c r="G787">
        <v>2</v>
      </c>
      <c r="H787" s="1" t="str">
        <f>IF(Table1[[#This Row],[anxiety_score]]&lt;=10, "Normal", IF(Table1[[#This Row],[anxiety_score]]&lt;=20, "Moderate", IF(Table1[[#This Row],[anxiety_score]]&lt;=30, "Severe", "Extremely Severe")))</f>
        <v>Normal</v>
      </c>
      <c r="I787">
        <v>-0.81237789999999999</v>
      </c>
      <c r="J787">
        <v>0</v>
      </c>
      <c r="K787" s="1" t="str">
        <f>IF(Table1[[#This Row],[stress_score]]&lt;=10, "Normal", IF(Table1[[#This Row],[stress_score]]&lt;=20, "Moderate", IF(Table1[[#This Row],[stress_score]]&lt;=30, "Severe", "Extremely Severe")))</f>
        <v>Normal</v>
      </c>
      <c r="L787">
        <v>-1.1624711999999999</v>
      </c>
      <c r="M787">
        <v>0</v>
      </c>
      <c r="N787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787">
        <v>-1.1088359000000001</v>
      </c>
      <c r="P787">
        <v>0.66666669999999995</v>
      </c>
      <c r="Q787">
        <f>ROUND(Table1[[#This Row],[dass21_raw_score]],0)</f>
        <v>1</v>
      </c>
      <c r="R787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787">
        <v>-1.027895</v>
      </c>
      <c r="T787">
        <v>6.701493E-2</v>
      </c>
      <c r="U787">
        <v>5000</v>
      </c>
      <c r="V787" s="1">
        <f>ROUND(Table1[[#This Row],[fmpce]],0)</f>
        <v>5000</v>
      </c>
      <c r="W787">
        <v>68.023319999999998</v>
      </c>
      <c r="X787" s="4">
        <f>Table1[[#This Row],[mpce]]*89</f>
        <v>6054.0754799999995</v>
      </c>
      <c r="Y787" s="2" t="s">
        <v>28</v>
      </c>
      <c r="Z787" s="3">
        <f>VLOOKUP(Y787, rmpce_reference!$B$1:$D$7,3,FALSE) * 89</f>
        <v>6230</v>
      </c>
      <c r="AA787" s="1" t="str">
        <f>IF(Table1[rmpce_inr]&lt;=rmpce_reference!$F$2, "Low Income", IF(Table1[rmpce_inr]&lt;=rmpce_reference!$F$3, "Middle Income", "High Income"))</f>
        <v>Middle Income</v>
      </c>
    </row>
    <row r="788" spans="1:27" x14ac:dyDescent="0.25">
      <c r="A788">
        <v>4126</v>
      </c>
      <c r="B788" t="s">
        <v>42</v>
      </c>
      <c r="C788" t="s">
        <v>21</v>
      </c>
      <c r="D788">
        <v>46</v>
      </c>
      <c r="E788" t="s">
        <v>25</v>
      </c>
      <c r="F788" t="s">
        <v>30</v>
      </c>
      <c r="G788">
        <v>4</v>
      </c>
      <c r="H788" s="1" t="str">
        <f>IF(Table1[[#This Row],[anxiety_score]]&lt;=10, "Normal", IF(Table1[[#This Row],[anxiety_score]]&lt;=20, "Moderate", IF(Table1[[#This Row],[anxiety_score]]&lt;=30, "Severe", "Extremely Severe")))</f>
        <v>Normal</v>
      </c>
      <c r="I788">
        <v>-0.61133329999999997</v>
      </c>
      <c r="J788">
        <v>0</v>
      </c>
      <c r="K788" s="1" t="str">
        <f>IF(Table1[[#This Row],[stress_score]]&lt;=10, "Normal", IF(Table1[[#This Row],[stress_score]]&lt;=20, "Moderate", IF(Table1[[#This Row],[stress_score]]&lt;=30, "Severe", "Extremely Severe")))</f>
        <v>Normal</v>
      </c>
      <c r="L788">
        <v>-1.1624711999999999</v>
      </c>
      <c r="M788">
        <v>0</v>
      </c>
      <c r="N788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788">
        <v>-1.1088359000000001</v>
      </c>
      <c r="P788">
        <v>1.3333333999999999</v>
      </c>
      <c r="Q788">
        <f>ROUND(Table1[[#This Row],[dass21_raw_score]],0)</f>
        <v>1</v>
      </c>
      <c r="R788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788">
        <v>-0.96088015999999998</v>
      </c>
      <c r="T788">
        <v>0.13402975</v>
      </c>
      <c r="U788">
        <v>8750</v>
      </c>
      <c r="V788" s="1">
        <f>ROUND(Table1[[#This Row],[fmpce]],0)</f>
        <v>8750</v>
      </c>
      <c r="W788">
        <v>119.04082</v>
      </c>
      <c r="X788" s="4">
        <f>Table1[[#This Row],[mpce]]*89</f>
        <v>10594.63298</v>
      </c>
      <c r="Y788" s="2" t="s">
        <v>35</v>
      </c>
      <c r="Z788" s="3">
        <f>VLOOKUP(Y788, rmpce_reference!$B$1:$D$7,3,FALSE) * 89</f>
        <v>9790</v>
      </c>
      <c r="AA788" s="1" t="str">
        <f>IF(Table1[rmpce_inr]&lt;=rmpce_reference!$F$2, "Low Income", IF(Table1[rmpce_inr]&lt;=rmpce_reference!$F$3, "Middle Income", "High Income"))</f>
        <v>High Income</v>
      </c>
    </row>
    <row r="789" spans="1:27" x14ac:dyDescent="0.25">
      <c r="A789">
        <v>4127</v>
      </c>
      <c r="B789" t="s">
        <v>42</v>
      </c>
      <c r="C789" t="s">
        <v>29</v>
      </c>
      <c r="D789">
        <v>36</v>
      </c>
      <c r="E789" t="s">
        <v>25</v>
      </c>
      <c r="F789" t="s">
        <v>30</v>
      </c>
      <c r="G789">
        <v>6</v>
      </c>
      <c r="H789" s="1" t="str">
        <f>IF(Table1[[#This Row],[anxiety_score]]&lt;=10, "Normal", IF(Table1[[#This Row],[anxiety_score]]&lt;=20, "Moderate", IF(Table1[[#This Row],[anxiety_score]]&lt;=30, "Severe", "Extremely Severe")))</f>
        <v>Normal</v>
      </c>
      <c r="I789">
        <v>-0.41028870000000001</v>
      </c>
      <c r="J789">
        <v>2</v>
      </c>
      <c r="K789" s="1" t="str">
        <f>IF(Table1[[#This Row],[stress_score]]&lt;=10, "Normal", IF(Table1[[#This Row],[stress_score]]&lt;=20, "Moderate", IF(Table1[[#This Row],[stress_score]]&lt;=30, "Severe", "Extremely Severe")))</f>
        <v>Normal</v>
      </c>
      <c r="L789">
        <v>-0.9678099</v>
      </c>
      <c r="M789">
        <v>0</v>
      </c>
      <c r="N789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789">
        <v>-1.1088359000000001</v>
      </c>
      <c r="P789">
        <v>2.6666666999999999</v>
      </c>
      <c r="Q789">
        <f>ROUND(Table1[[#This Row],[dass21_raw_score]],0)</f>
        <v>3</v>
      </c>
      <c r="R789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789">
        <v>-0.8289782</v>
      </c>
      <c r="T789">
        <v>0.26593172999999998</v>
      </c>
      <c r="U789">
        <v>5000</v>
      </c>
      <c r="V789" s="1">
        <f>ROUND(Table1[[#This Row],[fmpce]],0)</f>
        <v>5000</v>
      </c>
      <c r="W789">
        <v>68.023319999999998</v>
      </c>
      <c r="X789" s="4">
        <f>Table1[[#This Row],[mpce]]*89</f>
        <v>6054.0754799999995</v>
      </c>
      <c r="Y789" s="2" t="s">
        <v>28</v>
      </c>
      <c r="Z789" s="3">
        <f>VLOOKUP(Y789, rmpce_reference!$B$1:$D$7,3,FALSE) * 89</f>
        <v>6230</v>
      </c>
      <c r="AA789" s="1" t="str">
        <f>IF(Table1[rmpce_inr]&lt;=rmpce_reference!$F$2, "Low Income", IF(Table1[rmpce_inr]&lt;=rmpce_reference!$F$3, "Middle Income", "High Income"))</f>
        <v>Middle Income</v>
      </c>
    </row>
    <row r="790" spans="1:27" x14ac:dyDescent="0.25">
      <c r="A790">
        <v>4128</v>
      </c>
      <c r="B790" t="s">
        <v>42</v>
      </c>
      <c r="C790" t="s">
        <v>29</v>
      </c>
      <c r="D790">
        <v>33</v>
      </c>
      <c r="E790" t="s">
        <v>25</v>
      </c>
      <c r="F790" t="s">
        <v>26</v>
      </c>
      <c r="G790">
        <v>2</v>
      </c>
      <c r="H790" s="1" t="str">
        <f>IF(Table1[[#This Row],[anxiety_score]]&lt;=10, "Normal", IF(Table1[[#This Row],[anxiety_score]]&lt;=20, "Moderate", IF(Table1[[#This Row],[anxiety_score]]&lt;=30, "Severe", "Extremely Severe")))</f>
        <v>Normal</v>
      </c>
      <c r="I790">
        <v>-0.81237789999999999</v>
      </c>
      <c r="J790">
        <v>0</v>
      </c>
      <c r="K790" s="1" t="str">
        <f>IF(Table1[[#This Row],[stress_score]]&lt;=10, "Normal", IF(Table1[[#This Row],[stress_score]]&lt;=20, "Moderate", IF(Table1[[#This Row],[stress_score]]&lt;=30, "Severe", "Extremely Severe")))</f>
        <v>Normal</v>
      </c>
      <c r="L790">
        <v>-1.1624711999999999</v>
      </c>
      <c r="M790">
        <v>0</v>
      </c>
      <c r="N790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790">
        <v>-1.1088359000000001</v>
      </c>
      <c r="P790">
        <v>0.66666669999999995</v>
      </c>
      <c r="Q790">
        <f>ROUND(Table1[[#This Row],[dass21_raw_score]],0)</f>
        <v>1</v>
      </c>
      <c r="R790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790">
        <v>-1.027895</v>
      </c>
      <c r="T790">
        <v>6.701493E-2</v>
      </c>
      <c r="U790">
        <v>4000</v>
      </c>
      <c r="V790" s="1">
        <f>ROUND(Table1[[#This Row],[fmpce]],0)</f>
        <v>4000</v>
      </c>
      <c r="W790">
        <v>54.418660000000003</v>
      </c>
      <c r="X790" s="4">
        <f>Table1[[#This Row],[mpce]]*89</f>
        <v>4843.2607400000006</v>
      </c>
      <c r="Y790" s="2" t="s">
        <v>32</v>
      </c>
      <c r="Z790" s="3">
        <f>VLOOKUP(Y790, rmpce_reference!$B$1:$D$7,3,FALSE) * 89</f>
        <v>4450</v>
      </c>
      <c r="AA790" s="1" t="str">
        <f>IF(Table1[rmpce_inr]&lt;=rmpce_reference!$F$2, "Low Income", IF(Table1[rmpce_inr]&lt;=rmpce_reference!$F$3, "Middle Income", "High Income"))</f>
        <v>Low Income</v>
      </c>
    </row>
    <row r="791" spans="1:27" x14ac:dyDescent="0.25">
      <c r="A791">
        <v>4129</v>
      </c>
      <c r="B791" t="s">
        <v>42</v>
      </c>
      <c r="C791" t="s">
        <v>33</v>
      </c>
      <c r="D791">
        <v>30</v>
      </c>
      <c r="E791" t="s">
        <v>25</v>
      </c>
      <c r="F791" t="s">
        <v>26</v>
      </c>
      <c r="G791">
        <v>20</v>
      </c>
      <c r="H791" s="1" t="str">
        <f>IF(Table1[[#This Row],[anxiety_score]]&lt;=10, "Normal", IF(Table1[[#This Row],[anxiety_score]]&lt;=20, "Moderate", IF(Table1[[#This Row],[anxiety_score]]&lt;=30, "Severe", "Extremely Severe")))</f>
        <v>Moderate</v>
      </c>
      <c r="I791">
        <v>0.99702360000000001</v>
      </c>
      <c r="J791">
        <v>12</v>
      </c>
      <c r="K791" s="1" t="str">
        <f>IF(Table1[[#This Row],[stress_score]]&lt;=10, "Normal", IF(Table1[[#This Row],[stress_score]]&lt;=20, "Moderate", IF(Table1[[#This Row],[stress_score]]&lt;=30, "Severe", "Extremely Severe")))</f>
        <v>Moderate</v>
      </c>
      <c r="L791">
        <v>5.496318E-3</v>
      </c>
      <c r="M791">
        <v>10</v>
      </c>
      <c r="N791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791">
        <v>-0.14564899000000001</v>
      </c>
      <c r="P791">
        <v>14</v>
      </c>
      <c r="Q791">
        <f>ROUND(Table1[[#This Row],[dass21_raw_score]],0)</f>
        <v>14</v>
      </c>
      <c r="R791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791">
        <v>0.28562364000000001</v>
      </c>
      <c r="T791">
        <v>1.3805335999999999</v>
      </c>
      <c r="U791">
        <v>3750</v>
      </c>
      <c r="V791" s="1">
        <f>ROUND(Table1[[#This Row],[fmpce]],0)</f>
        <v>3750</v>
      </c>
      <c r="W791">
        <v>51.017493999999999</v>
      </c>
      <c r="X791" s="4">
        <f>Table1[[#This Row],[mpce]]*89</f>
        <v>4540.5569660000001</v>
      </c>
      <c r="Y791" s="2" t="s">
        <v>32</v>
      </c>
      <c r="Z791" s="3">
        <f>VLOOKUP(Y791, rmpce_reference!$B$1:$D$7,3,FALSE) * 89</f>
        <v>4450</v>
      </c>
      <c r="AA791" s="1" t="str">
        <f>IF(Table1[rmpce_inr]&lt;=rmpce_reference!$F$2, "Low Income", IF(Table1[rmpce_inr]&lt;=rmpce_reference!$F$3, "Middle Income", "High Income"))</f>
        <v>Low Income</v>
      </c>
    </row>
    <row r="792" spans="1:27" x14ac:dyDescent="0.25">
      <c r="A792">
        <v>4130</v>
      </c>
      <c r="B792" t="s">
        <v>42</v>
      </c>
      <c r="C792" t="s">
        <v>33</v>
      </c>
      <c r="D792">
        <v>25</v>
      </c>
      <c r="E792" t="s">
        <v>25</v>
      </c>
      <c r="F792" t="s">
        <v>26</v>
      </c>
      <c r="G792">
        <v>14</v>
      </c>
      <c r="H792" s="1" t="str">
        <f>IF(Table1[[#This Row],[anxiety_score]]&lt;=10, "Normal", IF(Table1[[#This Row],[anxiety_score]]&lt;=20, "Moderate", IF(Table1[[#This Row],[anxiety_score]]&lt;=30, "Severe", "Extremely Severe")))</f>
        <v>Moderate</v>
      </c>
      <c r="I792">
        <v>0.39388975999999998</v>
      </c>
      <c r="J792">
        <v>16</v>
      </c>
      <c r="K792" s="1" t="str">
        <f>IF(Table1[[#This Row],[stress_score]]&lt;=10, "Normal", IF(Table1[[#This Row],[stress_score]]&lt;=20, "Moderate", IF(Table1[[#This Row],[stress_score]]&lt;=30, "Severe", "Extremely Severe")))</f>
        <v>Moderate</v>
      </c>
      <c r="L792">
        <v>0.39481880000000003</v>
      </c>
      <c r="M792">
        <v>14</v>
      </c>
      <c r="N792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792">
        <v>0.23962580999999999</v>
      </c>
      <c r="P792">
        <v>14.666667</v>
      </c>
      <c r="Q792">
        <f>ROUND(Table1[[#This Row],[dass21_raw_score]],0)</f>
        <v>15</v>
      </c>
      <c r="R792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792">
        <v>0.34277812000000002</v>
      </c>
      <c r="T792">
        <v>1.4376880000000001</v>
      </c>
      <c r="U792">
        <v>4000</v>
      </c>
      <c r="V792" s="1">
        <f>ROUND(Table1[[#This Row],[fmpce]],0)</f>
        <v>4000</v>
      </c>
      <c r="W792">
        <v>54.418660000000003</v>
      </c>
      <c r="X792" s="4">
        <f>Table1[[#This Row],[mpce]]*89</f>
        <v>4843.2607400000006</v>
      </c>
      <c r="Y792" s="2" t="s">
        <v>32</v>
      </c>
      <c r="Z792" s="3">
        <f>VLOOKUP(Y792, rmpce_reference!$B$1:$D$7,3,FALSE) * 89</f>
        <v>4450</v>
      </c>
      <c r="AA792" s="1" t="str">
        <f>IF(Table1[rmpce_inr]&lt;=rmpce_reference!$F$2, "Low Income", IF(Table1[rmpce_inr]&lt;=rmpce_reference!$F$3, "Middle Income", "High Income"))</f>
        <v>Low Income</v>
      </c>
    </row>
    <row r="793" spans="1:27" x14ac:dyDescent="0.25">
      <c r="A793">
        <v>4131</v>
      </c>
      <c r="B793" t="s">
        <v>42</v>
      </c>
      <c r="C793" t="s">
        <v>29</v>
      </c>
      <c r="D793">
        <v>35</v>
      </c>
      <c r="E793" t="s">
        <v>25</v>
      </c>
      <c r="F793" t="s">
        <v>26</v>
      </c>
      <c r="G793">
        <v>18</v>
      </c>
      <c r="H793" s="1" t="str">
        <f>IF(Table1[[#This Row],[anxiety_score]]&lt;=10, "Normal", IF(Table1[[#This Row],[anxiety_score]]&lt;=20, "Moderate", IF(Table1[[#This Row],[anxiety_score]]&lt;=30, "Severe", "Extremely Severe")))</f>
        <v>Moderate</v>
      </c>
      <c r="I793">
        <v>0.79597896000000001</v>
      </c>
      <c r="J793">
        <v>12</v>
      </c>
      <c r="K793" s="1" t="str">
        <f>IF(Table1[[#This Row],[stress_score]]&lt;=10, "Normal", IF(Table1[[#This Row],[stress_score]]&lt;=20, "Moderate", IF(Table1[[#This Row],[stress_score]]&lt;=30, "Severe", "Extremely Severe")))</f>
        <v>Moderate</v>
      </c>
      <c r="L793">
        <v>5.496318E-3</v>
      </c>
      <c r="M793">
        <v>12</v>
      </c>
      <c r="N793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793">
        <v>4.6988415999999998E-2</v>
      </c>
      <c r="P793">
        <v>14</v>
      </c>
      <c r="Q793">
        <f>ROUND(Table1[[#This Row],[dass21_raw_score]],0)</f>
        <v>14</v>
      </c>
      <c r="R793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793">
        <v>0.28282123999999997</v>
      </c>
      <c r="T793">
        <v>1.3777311000000001</v>
      </c>
      <c r="U793">
        <v>3750</v>
      </c>
      <c r="V793" s="1">
        <f>ROUND(Table1[[#This Row],[fmpce]],0)</f>
        <v>3750</v>
      </c>
      <c r="W793">
        <v>51.017493999999999</v>
      </c>
      <c r="X793" s="4">
        <f>Table1[[#This Row],[mpce]]*89</f>
        <v>4540.5569660000001</v>
      </c>
      <c r="Y793" s="2" t="s">
        <v>32</v>
      </c>
      <c r="Z793" s="3">
        <f>VLOOKUP(Y793, rmpce_reference!$B$1:$D$7,3,FALSE) * 89</f>
        <v>4450</v>
      </c>
      <c r="AA793" s="1" t="str">
        <f>IF(Table1[rmpce_inr]&lt;=rmpce_reference!$F$2, "Low Income", IF(Table1[rmpce_inr]&lt;=rmpce_reference!$F$3, "Middle Income", "High Income"))</f>
        <v>Low Income</v>
      </c>
    </row>
    <row r="794" spans="1:27" x14ac:dyDescent="0.25">
      <c r="A794">
        <v>4132</v>
      </c>
      <c r="B794" t="s">
        <v>42</v>
      </c>
      <c r="C794" t="s">
        <v>29</v>
      </c>
      <c r="D794">
        <v>40</v>
      </c>
      <c r="E794" t="s">
        <v>25</v>
      </c>
      <c r="F794" t="s">
        <v>26</v>
      </c>
      <c r="G794">
        <v>12</v>
      </c>
      <c r="H794" s="1" t="str">
        <f>IF(Table1[[#This Row],[anxiety_score]]&lt;=10, "Normal", IF(Table1[[#This Row],[anxiety_score]]&lt;=20, "Moderate", IF(Table1[[#This Row],[anxiety_score]]&lt;=30, "Severe", "Extremely Severe")))</f>
        <v>Moderate</v>
      </c>
      <c r="I794">
        <v>0.19284514999999999</v>
      </c>
      <c r="J794">
        <v>12</v>
      </c>
      <c r="K794" s="1" t="str">
        <f>IF(Table1[[#This Row],[stress_score]]&lt;=10, "Normal", IF(Table1[[#This Row],[stress_score]]&lt;=20, "Moderate", IF(Table1[[#This Row],[stress_score]]&lt;=30, "Severe", "Extremely Severe")))</f>
        <v>Moderate</v>
      </c>
      <c r="L794">
        <v>5.496318E-3</v>
      </c>
      <c r="M794">
        <v>10</v>
      </c>
      <c r="N794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794">
        <v>-0.14564899000000001</v>
      </c>
      <c r="P794">
        <v>11.333333</v>
      </c>
      <c r="Q794">
        <f>ROUND(Table1[[#This Row],[dass21_raw_score]],0)</f>
        <v>11</v>
      </c>
      <c r="R794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794">
        <v>1.7564159999999999E-2</v>
      </c>
      <c r="T794">
        <v>1.1124741</v>
      </c>
      <c r="U794">
        <v>4000</v>
      </c>
      <c r="V794" s="1">
        <f>ROUND(Table1[[#This Row],[fmpce]],0)</f>
        <v>4000</v>
      </c>
      <c r="W794">
        <v>54.418660000000003</v>
      </c>
      <c r="X794" s="4">
        <f>Table1[[#This Row],[mpce]]*89</f>
        <v>4843.2607400000006</v>
      </c>
      <c r="Y794" s="2" t="s">
        <v>32</v>
      </c>
      <c r="Z794" s="3">
        <f>VLOOKUP(Y794, rmpce_reference!$B$1:$D$7,3,FALSE) * 89</f>
        <v>4450</v>
      </c>
      <c r="AA794" s="1" t="str">
        <f>IF(Table1[rmpce_inr]&lt;=rmpce_reference!$F$2, "Low Income", IF(Table1[rmpce_inr]&lt;=rmpce_reference!$F$3, "Middle Income", "High Income"))</f>
        <v>Low Income</v>
      </c>
    </row>
    <row r="795" spans="1:27" x14ac:dyDescent="0.25">
      <c r="A795">
        <v>4133</v>
      </c>
      <c r="B795" t="s">
        <v>42</v>
      </c>
      <c r="C795" t="s">
        <v>29</v>
      </c>
      <c r="D795">
        <v>37</v>
      </c>
      <c r="E795" t="s">
        <v>22</v>
      </c>
      <c r="F795" t="s">
        <v>30</v>
      </c>
      <c r="G795">
        <v>0</v>
      </c>
      <c r="H795" s="1" t="str">
        <f>IF(Table1[[#This Row],[anxiety_score]]&lt;=10, "Normal", IF(Table1[[#This Row],[anxiety_score]]&lt;=20, "Moderate", IF(Table1[[#This Row],[anxiety_score]]&lt;=30, "Severe", "Extremely Severe")))</f>
        <v>Normal</v>
      </c>
      <c r="I795">
        <v>-1.0134224999999999</v>
      </c>
      <c r="J795">
        <v>0</v>
      </c>
      <c r="K795" s="1" t="str">
        <f>IF(Table1[[#This Row],[stress_score]]&lt;=10, "Normal", IF(Table1[[#This Row],[stress_score]]&lt;=20, "Moderate", IF(Table1[[#This Row],[stress_score]]&lt;=30, "Severe", "Extremely Severe")))</f>
        <v>Normal</v>
      </c>
      <c r="L795">
        <v>-1.1624711999999999</v>
      </c>
      <c r="M795">
        <v>0</v>
      </c>
      <c r="N795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795">
        <v>-1.1088359000000001</v>
      </c>
      <c r="P795">
        <v>0</v>
      </c>
      <c r="Q795">
        <f>ROUND(Table1[[#This Row],[dass21_raw_score]],0)</f>
        <v>0</v>
      </c>
      <c r="R795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795">
        <v>-1.0949099</v>
      </c>
      <c r="T795">
        <v>0</v>
      </c>
      <c r="U795">
        <v>4000</v>
      </c>
      <c r="V795" s="1">
        <f>ROUND(Table1[[#This Row],[fmpce]],0)</f>
        <v>4000</v>
      </c>
      <c r="W795">
        <v>54.418660000000003</v>
      </c>
      <c r="X795" s="4">
        <f>Table1[[#This Row],[mpce]]*89</f>
        <v>4843.2607400000006</v>
      </c>
      <c r="Y795" s="2" t="s">
        <v>32</v>
      </c>
      <c r="Z795" s="3">
        <f>VLOOKUP(Y795, rmpce_reference!$B$1:$D$7,3,FALSE) * 89</f>
        <v>4450</v>
      </c>
      <c r="AA795" s="1" t="str">
        <f>IF(Table1[rmpce_inr]&lt;=rmpce_reference!$F$2, "Low Income", IF(Table1[rmpce_inr]&lt;=rmpce_reference!$F$3, "Middle Income", "High Income"))</f>
        <v>Low Income</v>
      </c>
    </row>
    <row r="796" spans="1:27" x14ac:dyDescent="0.25">
      <c r="A796">
        <v>4134</v>
      </c>
      <c r="B796" t="s">
        <v>42</v>
      </c>
      <c r="C796" t="s">
        <v>29</v>
      </c>
      <c r="D796">
        <v>38</v>
      </c>
      <c r="E796" t="s">
        <v>22</v>
      </c>
      <c r="F796" t="s">
        <v>23</v>
      </c>
      <c r="G796">
        <v>2</v>
      </c>
      <c r="H796" s="1" t="str">
        <f>IF(Table1[[#This Row],[anxiety_score]]&lt;=10, "Normal", IF(Table1[[#This Row],[anxiety_score]]&lt;=20, "Moderate", IF(Table1[[#This Row],[anxiety_score]]&lt;=30, "Severe", "Extremely Severe")))</f>
        <v>Normal</v>
      </c>
      <c r="I796">
        <v>-0.81237789999999999</v>
      </c>
      <c r="J796">
        <v>0</v>
      </c>
      <c r="K796" s="1" t="str">
        <f>IF(Table1[[#This Row],[stress_score]]&lt;=10, "Normal", IF(Table1[[#This Row],[stress_score]]&lt;=20, "Moderate", IF(Table1[[#This Row],[stress_score]]&lt;=30, "Severe", "Extremely Severe")))</f>
        <v>Normal</v>
      </c>
      <c r="L796">
        <v>-1.1624711999999999</v>
      </c>
      <c r="M796">
        <v>2</v>
      </c>
      <c r="N796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796">
        <v>-0.91619854999999994</v>
      </c>
      <c r="P796">
        <v>1.3333333999999999</v>
      </c>
      <c r="Q796">
        <f>ROUND(Table1[[#This Row],[dass21_raw_score]],0)</f>
        <v>1</v>
      </c>
      <c r="R796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796">
        <v>-0.96368253000000004</v>
      </c>
      <c r="T796">
        <v>0.13122737000000001</v>
      </c>
      <c r="U796">
        <v>5000</v>
      </c>
      <c r="V796" s="1">
        <f>ROUND(Table1[[#This Row],[fmpce]],0)</f>
        <v>5000</v>
      </c>
      <c r="W796">
        <v>68.023319999999998</v>
      </c>
      <c r="X796" s="4">
        <f>Table1[[#This Row],[mpce]]*89</f>
        <v>6054.0754799999995</v>
      </c>
      <c r="Y796" s="2" t="s">
        <v>28</v>
      </c>
      <c r="Z796" s="3">
        <f>VLOOKUP(Y796, rmpce_reference!$B$1:$D$7,3,FALSE) * 89</f>
        <v>6230</v>
      </c>
      <c r="AA796" s="1" t="str">
        <f>IF(Table1[rmpce_inr]&lt;=rmpce_reference!$F$2, "Low Income", IF(Table1[rmpce_inr]&lt;=rmpce_reference!$F$3, "Middle Income", "High Income"))</f>
        <v>Middle Income</v>
      </c>
    </row>
    <row r="797" spans="1:27" x14ac:dyDescent="0.25">
      <c r="A797">
        <v>4135</v>
      </c>
      <c r="B797" t="s">
        <v>42</v>
      </c>
      <c r="C797" t="s">
        <v>36</v>
      </c>
      <c r="D797">
        <v>55</v>
      </c>
      <c r="E797" t="s">
        <v>22</v>
      </c>
      <c r="F797" t="s">
        <v>30</v>
      </c>
      <c r="G797">
        <v>4</v>
      </c>
      <c r="H797" s="1" t="str">
        <f>IF(Table1[[#This Row],[anxiety_score]]&lt;=10, "Normal", IF(Table1[[#This Row],[anxiety_score]]&lt;=20, "Moderate", IF(Table1[[#This Row],[anxiety_score]]&lt;=30, "Severe", "Extremely Severe")))</f>
        <v>Normal</v>
      </c>
      <c r="I797">
        <v>-0.61133329999999997</v>
      </c>
      <c r="J797">
        <v>8</v>
      </c>
      <c r="K797" s="1" t="str">
        <f>IF(Table1[[#This Row],[stress_score]]&lt;=10, "Normal", IF(Table1[[#This Row],[stress_score]]&lt;=20, "Moderate", IF(Table1[[#This Row],[stress_score]]&lt;=30, "Severe", "Extremely Severe")))</f>
        <v>Normal</v>
      </c>
      <c r="L797">
        <v>-0.38382620000000001</v>
      </c>
      <c r="M797">
        <v>8</v>
      </c>
      <c r="N797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797">
        <v>-0.33828637</v>
      </c>
      <c r="P797">
        <v>6.6666664999999998</v>
      </c>
      <c r="Q797">
        <f>ROUND(Table1[[#This Row],[dass21_raw_score]],0)</f>
        <v>7</v>
      </c>
      <c r="R797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797">
        <v>-0.44448197</v>
      </c>
      <c r="T797">
        <v>0.65042794000000004</v>
      </c>
      <c r="U797">
        <v>6666.6665000000003</v>
      </c>
      <c r="V797" s="1">
        <f>ROUND(Table1[[#This Row],[fmpce]],0)</f>
        <v>6667</v>
      </c>
      <c r="W797">
        <v>90.697760000000002</v>
      </c>
      <c r="X797" s="4">
        <f>Table1[[#This Row],[mpce]]*89</f>
        <v>8072.1006400000006</v>
      </c>
      <c r="Y797" s="2" t="s">
        <v>31</v>
      </c>
      <c r="Z797" s="3">
        <f>VLOOKUP(Y797, rmpce_reference!$B$1:$D$7,3,FALSE) * 89</f>
        <v>8010</v>
      </c>
      <c r="AA797" s="1" t="str">
        <f>IF(Table1[rmpce_inr]&lt;=rmpce_reference!$F$2, "Low Income", IF(Table1[rmpce_inr]&lt;=rmpce_reference!$F$3, "Middle Income", "High Income"))</f>
        <v>High Income</v>
      </c>
    </row>
    <row r="798" spans="1:27" x14ac:dyDescent="0.25">
      <c r="A798">
        <v>4136</v>
      </c>
      <c r="B798" t="s">
        <v>42</v>
      </c>
      <c r="C798" t="s">
        <v>21</v>
      </c>
      <c r="D798">
        <v>43</v>
      </c>
      <c r="E798" t="s">
        <v>22</v>
      </c>
      <c r="F798" t="s">
        <v>23</v>
      </c>
      <c r="G798">
        <v>8</v>
      </c>
      <c r="H798" s="1" t="str">
        <f>IF(Table1[[#This Row],[anxiety_score]]&lt;=10, "Normal", IF(Table1[[#This Row],[anxiety_score]]&lt;=20, "Moderate", IF(Table1[[#This Row],[anxiety_score]]&lt;=30, "Severe", "Extremely Severe")))</f>
        <v>Normal</v>
      </c>
      <c r="I798">
        <v>-0.20924408999999999</v>
      </c>
      <c r="J798">
        <v>6</v>
      </c>
      <c r="K798" s="1" t="str">
        <f>IF(Table1[[#This Row],[stress_score]]&lt;=10, "Normal", IF(Table1[[#This Row],[stress_score]]&lt;=20, "Moderate", IF(Table1[[#This Row],[stress_score]]&lt;=30, "Severe", "Extremely Severe")))</f>
        <v>Normal</v>
      </c>
      <c r="L798">
        <v>-0.57848745999999995</v>
      </c>
      <c r="M798">
        <v>0</v>
      </c>
      <c r="N798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798">
        <v>-1.1088359000000001</v>
      </c>
      <c r="P798">
        <v>4.6666664999999998</v>
      </c>
      <c r="Q798">
        <f>ROUND(Table1[[#This Row],[dass21_raw_score]],0)</f>
        <v>5</v>
      </c>
      <c r="R798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798">
        <v>-0.63218914999999998</v>
      </c>
      <c r="T798">
        <v>0.46272075000000001</v>
      </c>
      <c r="U798">
        <v>6000</v>
      </c>
      <c r="V798" s="1">
        <f>ROUND(Table1[[#This Row],[fmpce]],0)</f>
        <v>6000</v>
      </c>
      <c r="W798">
        <v>81.627989999999997</v>
      </c>
      <c r="X798" s="4">
        <f>Table1[[#This Row],[mpce]]*89</f>
        <v>7264.8911099999996</v>
      </c>
      <c r="Y798" s="2" t="s">
        <v>31</v>
      </c>
      <c r="Z798" s="3">
        <f>VLOOKUP(Y798, rmpce_reference!$B$1:$D$7,3,FALSE) * 89</f>
        <v>8010</v>
      </c>
      <c r="AA798" s="1" t="str">
        <f>IF(Table1[rmpce_inr]&lt;=rmpce_reference!$F$2, "Low Income", IF(Table1[rmpce_inr]&lt;=rmpce_reference!$F$3, "Middle Income", "High Income"))</f>
        <v>High Income</v>
      </c>
    </row>
    <row r="799" spans="1:27" x14ac:dyDescent="0.25">
      <c r="A799">
        <v>4137</v>
      </c>
      <c r="B799" t="s">
        <v>42</v>
      </c>
      <c r="C799" t="s">
        <v>29</v>
      </c>
      <c r="D799">
        <v>40</v>
      </c>
      <c r="E799" t="s">
        <v>22</v>
      </c>
      <c r="F799" t="s">
        <v>30</v>
      </c>
      <c r="G799">
        <v>6</v>
      </c>
      <c r="H799" s="1" t="str">
        <f>IF(Table1[[#This Row],[anxiety_score]]&lt;=10, "Normal", IF(Table1[[#This Row],[anxiety_score]]&lt;=20, "Moderate", IF(Table1[[#This Row],[anxiety_score]]&lt;=30, "Severe", "Extremely Severe")))</f>
        <v>Normal</v>
      </c>
      <c r="I799">
        <v>-0.41028870000000001</v>
      </c>
      <c r="J799">
        <v>10</v>
      </c>
      <c r="K799" s="1" t="str">
        <f>IF(Table1[[#This Row],[stress_score]]&lt;=10, "Normal", IF(Table1[[#This Row],[stress_score]]&lt;=20, "Moderate", IF(Table1[[#This Row],[stress_score]]&lt;=30, "Severe", "Extremely Severe")))</f>
        <v>Normal</v>
      </c>
      <c r="L799">
        <v>-0.18916494</v>
      </c>
      <c r="M799">
        <v>4</v>
      </c>
      <c r="N799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799">
        <v>-0.72356116999999998</v>
      </c>
      <c r="P799">
        <v>6.6666664999999998</v>
      </c>
      <c r="Q799">
        <f>ROUND(Table1[[#This Row],[dass21_raw_score]],0)</f>
        <v>7</v>
      </c>
      <c r="R799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799">
        <v>-0.44100493000000002</v>
      </c>
      <c r="T799">
        <v>0.65390499999999996</v>
      </c>
      <c r="U799">
        <v>3333.3332999999998</v>
      </c>
      <c r="V799" s="1">
        <f>ROUND(Table1[[#This Row],[fmpce]],0)</f>
        <v>3333</v>
      </c>
      <c r="W799">
        <v>45.348880000000001</v>
      </c>
      <c r="X799" s="4">
        <f>Table1[[#This Row],[mpce]]*89</f>
        <v>4036.0503200000003</v>
      </c>
      <c r="Y799" s="2" t="s">
        <v>32</v>
      </c>
      <c r="Z799" s="3">
        <f>VLOOKUP(Y799, rmpce_reference!$B$1:$D$7,3,FALSE) * 89</f>
        <v>4450</v>
      </c>
      <c r="AA799" s="1" t="str">
        <f>IF(Table1[rmpce_inr]&lt;=rmpce_reference!$F$2, "Low Income", IF(Table1[rmpce_inr]&lt;=rmpce_reference!$F$3, "Middle Income", "High Income"))</f>
        <v>Low Income</v>
      </c>
    </row>
    <row r="800" spans="1:27" x14ac:dyDescent="0.25">
      <c r="A800">
        <v>4138</v>
      </c>
      <c r="B800" t="s">
        <v>42</v>
      </c>
      <c r="C800" t="s">
        <v>33</v>
      </c>
      <c r="D800">
        <v>29</v>
      </c>
      <c r="E800" t="s">
        <v>22</v>
      </c>
      <c r="F800" t="s">
        <v>30</v>
      </c>
      <c r="G800">
        <v>4</v>
      </c>
      <c r="H800" s="1" t="str">
        <f>IF(Table1[[#This Row],[anxiety_score]]&lt;=10, "Normal", IF(Table1[[#This Row],[anxiety_score]]&lt;=20, "Moderate", IF(Table1[[#This Row],[anxiety_score]]&lt;=30, "Severe", "Extremely Severe")))</f>
        <v>Normal</v>
      </c>
      <c r="I800">
        <v>-0.61133329999999997</v>
      </c>
      <c r="J800">
        <v>6</v>
      </c>
      <c r="K800" s="1" t="str">
        <f>IF(Table1[[#This Row],[stress_score]]&lt;=10, "Normal", IF(Table1[[#This Row],[stress_score]]&lt;=20, "Moderate", IF(Table1[[#This Row],[stress_score]]&lt;=30, "Severe", "Extremely Severe")))</f>
        <v>Normal</v>
      </c>
      <c r="L800">
        <v>-0.57848745999999995</v>
      </c>
      <c r="M800">
        <v>8</v>
      </c>
      <c r="N800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800">
        <v>-0.33828637</v>
      </c>
      <c r="P800">
        <v>6</v>
      </c>
      <c r="Q800">
        <f>ROUND(Table1[[#This Row],[dass21_raw_score]],0)</f>
        <v>6</v>
      </c>
      <c r="R800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800">
        <v>-0.50936899999999996</v>
      </c>
      <c r="T800">
        <v>0.58554090000000003</v>
      </c>
      <c r="U800">
        <v>5000</v>
      </c>
      <c r="V800" s="1">
        <f>ROUND(Table1[[#This Row],[fmpce]],0)</f>
        <v>5000</v>
      </c>
      <c r="W800">
        <v>68.023319999999998</v>
      </c>
      <c r="X800" s="4">
        <f>Table1[[#This Row],[mpce]]*89</f>
        <v>6054.0754799999995</v>
      </c>
      <c r="Y800" s="2" t="s">
        <v>28</v>
      </c>
      <c r="Z800" s="3">
        <f>VLOOKUP(Y800, rmpce_reference!$B$1:$D$7,3,FALSE) * 89</f>
        <v>6230</v>
      </c>
      <c r="AA800" s="1" t="str">
        <f>IF(Table1[rmpce_inr]&lt;=rmpce_reference!$F$2, "Low Income", IF(Table1[rmpce_inr]&lt;=rmpce_reference!$F$3, "Middle Income", "High Income"))</f>
        <v>Middle Income</v>
      </c>
    </row>
    <row r="801" spans="1:27" x14ac:dyDescent="0.25">
      <c r="A801">
        <v>4139</v>
      </c>
      <c r="B801" t="s">
        <v>42</v>
      </c>
      <c r="C801" t="s">
        <v>33</v>
      </c>
      <c r="D801">
        <v>26</v>
      </c>
      <c r="E801" t="s">
        <v>25</v>
      </c>
      <c r="F801" t="s">
        <v>30</v>
      </c>
      <c r="G801">
        <v>2</v>
      </c>
      <c r="H801" s="1" t="str">
        <f>IF(Table1[[#This Row],[anxiety_score]]&lt;=10, "Normal", IF(Table1[[#This Row],[anxiety_score]]&lt;=20, "Moderate", IF(Table1[[#This Row],[anxiety_score]]&lt;=30, "Severe", "Extremely Severe")))</f>
        <v>Normal</v>
      </c>
      <c r="I801">
        <v>-0.81237789999999999</v>
      </c>
      <c r="J801">
        <v>10</v>
      </c>
      <c r="K801" s="1" t="str">
        <f>IF(Table1[[#This Row],[stress_score]]&lt;=10, "Normal", IF(Table1[[#This Row],[stress_score]]&lt;=20, "Moderate", IF(Table1[[#This Row],[stress_score]]&lt;=30, "Severe", "Extremely Severe")))</f>
        <v>Normal</v>
      </c>
      <c r="L801">
        <v>-0.18916494</v>
      </c>
      <c r="M801">
        <v>4</v>
      </c>
      <c r="N801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801">
        <v>-0.72356116999999998</v>
      </c>
      <c r="P801">
        <v>5.3333335000000002</v>
      </c>
      <c r="Q801">
        <f>ROUND(Table1[[#This Row],[dass21_raw_score]],0)</f>
        <v>5</v>
      </c>
      <c r="R801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801">
        <v>-0.57503470000000001</v>
      </c>
      <c r="T801">
        <v>0.51987519999999998</v>
      </c>
      <c r="U801">
        <v>2666.6667000000002</v>
      </c>
      <c r="V801" s="1">
        <f>ROUND(Table1[[#This Row],[fmpce]],0)</f>
        <v>2667</v>
      </c>
      <c r="W801">
        <v>36.279105999999999</v>
      </c>
      <c r="X801" s="4">
        <f>Table1[[#This Row],[mpce]]*89</f>
        <v>3228.8404339999997</v>
      </c>
      <c r="Y801" s="2" t="s">
        <v>34</v>
      </c>
      <c r="Z801" s="3">
        <f>VLOOKUP(Y801, rmpce_reference!$B$1:$D$7,3,FALSE) * 89</f>
        <v>2848</v>
      </c>
      <c r="AA801" s="1" t="str">
        <f>IF(Table1[rmpce_inr]&lt;=rmpce_reference!$F$2, "Low Income", IF(Table1[rmpce_inr]&lt;=rmpce_reference!$F$3, "Middle Income", "High Income"))</f>
        <v>Low Income</v>
      </c>
    </row>
    <row r="802" spans="1:27" x14ac:dyDescent="0.25">
      <c r="A802">
        <v>4140</v>
      </c>
      <c r="B802" t="s">
        <v>42</v>
      </c>
      <c r="C802" t="s">
        <v>29</v>
      </c>
      <c r="D802">
        <v>32</v>
      </c>
      <c r="E802" t="s">
        <v>22</v>
      </c>
      <c r="F802" t="s">
        <v>30</v>
      </c>
      <c r="G802">
        <v>6</v>
      </c>
      <c r="H802" s="1" t="str">
        <f>IF(Table1[[#This Row],[anxiety_score]]&lt;=10, "Normal", IF(Table1[[#This Row],[anxiety_score]]&lt;=20, "Moderate", IF(Table1[[#This Row],[anxiety_score]]&lt;=30, "Severe", "Extremely Severe")))</f>
        <v>Normal</v>
      </c>
      <c r="I802">
        <v>-0.41028870000000001</v>
      </c>
      <c r="J802">
        <v>4</v>
      </c>
      <c r="K802" s="1" t="str">
        <f>IF(Table1[[#This Row],[stress_score]]&lt;=10, "Normal", IF(Table1[[#This Row],[stress_score]]&lt;=20, "Moderate", IF(Table1[[#This Row],[stress_score]]&lt;=30, "Severe", "Extremely Severe")))</f>
        <v>Normal</v>
      </c>
      <c r="L802">
        <v>-0.77314866000000004</v>
      </c>
      <c r="M802">
        <v>8</v>
      </c>
      <c r="N802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802">
        <v>-0.33828637</v>
      </c>
      <c r="P802">
        <v>6</v>
      </c>
      <c r="Q802">
        <f>ROUND(Table1[[#This Row],[dass21_raw_score]],0)</f>
        <v>6</v>
      </c>
      <c r="R802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802">
        <v>-0.50724124999999998</v>
      </c>
      <c r="T802">
        <v>0.58766865999999995</v>
      </c>
      <c r="U802">
        <v>2222.2222000000002</v>
      </c>
      <c r="V802" s="1">
        <f>ROUND(Table1[[#This Row],[fmpce]],0)</f>
        <v>2222</v>
      </c>
      <c r="W802">
        <v>30.232588</v>
      </c>
      <c r="X802" s="4">
        <f>Table1[[#This Row],[mpce]]*89</f>
        <v>2690.7003319999999</v>
      </c>
      <c r="Y802" s="2" t="s">
        <v>34</v>
      </c>
      <c r="Z802" s="3">
        <f>VLOOKUP(Y802, rmpce_reference!$B$1:$D$7,3,FALSE) * 89</f>
        <v>2848</v>
      </c>
      <c r="AA802" s="1" t="str">
        <f>IF(Table1[rmpce_inr]&lt;=rmpce_reference!$F$2, "Low Income", IF(Table1[rmpce_inr]&lt;=rmpce_reference!$F$3, "Middle Income", "High Income"))</f>
        <v>Low Income</v>
      </c>
    </row>
    <row r="803" spans="1:27" x14ac:dyDescent="0.25">
      <c r="A803">
        <v>4141</v>
      </c>
      <c r="B803" t="s">
        <v>42</v>
      </c>
      <c r="C803" t="s">
        <v>29</v>
      </c>
      <c r="D803">
        <v>35</v>
      </c>
      <c r="E803" t="s">
        <v>25</v>
      </c>
      <c r="F803" t="s">
        <v>26</v>
      </c>
      <c r="G803">
        <v>2</v>
      </c>
      <c r="H803" s="1" t="str">
        <f>IF(Table1[[#This Row],[anxiety_score]]&lt;=10, "Normal", IF(Table1[[#This Row],[anxiety_score]]&lt;=20, "Moderate", IF(Table1[[#This Row],[anxiety_score]]&lt;=30, "Severe", "Extremely Severe")))</f>
        <v>Normal</v>
      </c>
      <c r="I803">
        <v>-0.81237789999999999</v>
      </c>
      <c r="J803">
        <v>4</v>
      </c>
      <c r="K803" s="1" t="str">
        <f>IF(Table1[[#This Row],[stress_score]]&lt;=10, "Normal", IF(Table1[[#This Row],[stress_score]]&lt;=20, "Moderate", IF(Table1[[#This Row],[stress_score]]&lt;=30, "Severe", "Extremely Severe")))</f>
        <v>Normal</v>
      </c>
      <c r="L803">
        <v>-0.77314866000000004</v>
      </c>
      <c r="M803">
        <v>0</v>
      </c>
      <c r="N803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803">
        <v>-1.1088359000000001</v>
      </c>
      <c r="P803">
        <v>2</v>
      </c>
      <c r="Q803">
        <f>ROUND(Table1[[#This Row],[dass21_raw_score]],0)</f>
        <v>2</v>
      </c>
      <c r="R803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803">
        <v>-0.89812080000000005</v>
      </c>
      <c r="T803">
        <v>0.19678909</v>
      </c>
      <c r="U803">
        <v>2500</v>
      </c>
      <c r="V803" s="1">
        <f>ROUND(Table1[[#This Row],[fmpce]],0)</f>
        <v>2500</v>
      </c>
      <c r="W803">
        <v>34.011659999999999</v>
      </c>
      <c r="X803" s="4">
        <f>Table1[[#This Row],[mpce]]*89</f>
        <v>3027.0377399999998</v>
      </c>
      <c r="Y803" s="2" t="s">
        <v>34</v>
      </c>
      <c r="Z803" s="3">
        <f>VLOOKUP(Y803, rmpce_reference!$B$1:$D$7,3,FALSE) * 89</f>
        <v>2848</v>
      </c>
      <c r="AA803" s="1" t="str">
        <f>IF(Table1[rmpce_inr]&lt;=rmpce_reference!$F$2, "Low Income", IF(Table1[rmpce_inr]&lt;=rmpce_reference!$F$3, "Middle Income", "High Income"))</f>
        <v>Low Income</v>
      </c>
    </row>
    <row r="804" spans="1:27" x14ac:dyDescent="0.25">
      <c r="A804">
        <v>4142</v>
      </c>
      <c r="B804" t="s">
        <v>42</v>
      </c>
      <c r="C804" t="s">
        <v>29</v>
      </c>
      <c r="D804">
        <v>35</v>
      </c>
      <c r="E804" t="s">
        <v>25</v>
      </c>
      <c r="F804" t="s">
        <v>26</v>
      </c>
      <c r="G804">
        <v>8</v>
      </c>
      <c r="H804" s="1" t="str">
        <f>IF(Table1[[#This Row],[anxiety_score]]&lt;=10, "Normal", IF(Table1[[#This Row],[anxiety_score]]&lt;=20, "Moderate", IF(Table1[[#This Row],[anxiety_score]]&lt;=30, "Severe", "Extremely Severe")))</f>
        <v>Normal</v>
      </c>
      <c r="I804">
        <v>-0.20924408999999999</v>
      </c>
      <c r="J804">
        <v>6</v>
      </c>
      <c r="K804" s="1" t="str">
        <f>IF(Table1[[#This Row],[stress_score]]&lt;=10, "Normal", IF(Table1[[#This Row],[stress_score]]&lt;=20, "Moderate", IF(Table1[[#This Row],[stress_score]]&lt;=30, "Severe", "Extremely Severe")))</f>
        <v>Normal</v>
      </c>
      <c r="L804">
        <v>-0.57848745999999995</v>
      </c>
      <c r="M804">
        <v>12</v>
      </c>
      <c r="N804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804">
        <v>4.6988415999999998E-2</v>
      </c>
      <c r="P804">
        <v>8.6666670000000003</v>
      </c>
      <c r="Q804">
        <f>ROUND(Table1[[#This Row],[dass21_raw_score]],0)</f>
        <v>9</v>
      </c>
      <c r="R804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804">
        <v>-0.24691436999999999</v>
      </c>
      <c r="T804">
        <v>0.84799550000000001</v>
      </c>
      <c r="U804">
        <v>5000</v>
      </c>
      <c r="V804" s="1">
        <f>ROUND(Table1[[#This Row],[fmpce]],0)</f>
        <v>5000</v>
      </c>
      <c r="W804">
        <v>68.023319999999998</v>
      </c>
      <c r="X804" s="4">
        <f>Table1[[#This Row],[mpce]]*89</f>
        <v>6054.0754799999995</v>
      </c>
      <c r="Y804" s="2" t="s">
        <v>28</v>
      </c>
      <c r="Z804" s="3">
        <f>VLOOKUP(Y804, rmpce_reference!$B$1:$D$7,3,FALSE) * 89</f>
        <v>6230</v>
      </c>
      <c r="AA804" s="1" t="str">
        <f>IF(Table1[rmpce_inr]&lt;=rmpce_reference!$F$2, "Low Income", IF(Table1[rmpce_inr]&lt;=rmpce_reference!$F$3, "Middle Income", "High Income"))</f>
        <v>Middle Income</v>
      </c>
    </row>
    <row r="805" spans="1:27" x14ac:dyDescent="0.25">
      <c r="A805">
        <v>4143</v>
      </c>
      <c r="B805" t="s">
        <v>42</v>
      </c>
      <c r="C805" t="s">
        <v>29</v>
      </c>
      <c r="D805">
        <v>32</v>
      </c>
      <c r="E805" t="s">
        <v>22</v>
      </c>
      <c r="F805" t="s">
        <v>30</v>
      </c>
      <c r="G805">
        <v>6</v>
      </c>
      <c r="H805" s="1" t="str">
        <f>IF(Table1[[#This Row],[anxiety_score]]&lt;=10, "Normal", IF(Table1[[#This Row],[anxiety_score]]&lt;=20, "Moderate", IF(Table1[[#This Row],[anxiety_score]]&lt;=30, "Severe", "Extremely Severe")))</f>
        <v>Normal</v>
      </c>
      <c r="I805">
        <v>-0.41028870000000001</v>
      </c>
      <c r="J805">
        <v>8</v>
      </c>
      <c r="K805" s="1" t="str">
        <f>IF(Table1[[#This Row],[stress_score]]&lt;=10, "Normal", IF(Table1[[#This Row],[stress_score]]&lt;=20, "Moderate", IF(Table1[[#This Row],[stress_score]]&lt;=30, "Severe", "Extremely Severe")))</f>
        <v>Normal</v>
      </c>
      <c r="L805">
        <v>-0.38382620000000001</v>
      </c>
      <c r="M805">
        <v>4</v>
      </c>
      <c r="N805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805">
        <v>-0.72356116999999998</v>
      </c>
      <c r="P805">
        <v>6</v>
      </c>
      <c r="Q805">
        <f>ROUND(Table1[[#This Row],[dass21_raw_score]],0)</f>
        <v>6</v>
      </c>
      <c r="R805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805">
        <v>-0.50589203999999999</v>
      </c>
      <c r="T805">
        <v>0.58901787000000005</v>
      </c>
      <c r="U805">
        <v>5000</v>
      </c>
      <c r="V805" s="1">
        <f>ROUND(Table1[[#This Row],[fmpce]],0)</f>
        <v>5000</v>
      </c>
      <c r="W805">
        <v>68.023319999999998</v>
      </c>
      <c r="X805" s="4">
        <f>Table1[[#This Row],[mpce]]*89</f>
        <v>6054.0754799999995</v>
      </c>
      <c r="Y805" s="2" t="s">
        <v>28</v>
      </c>
      <c r="Z805" s="3">
        <f>VLOOKUP(Y805, rmpce_reference!$B$1:$D$7,3,FALSE) * 89</f>
        <v>6230</v>
      </c>
      <c r="AA805" s="1" t="str">
        <f>IF(Table1[rmpce_inr]&lt;=rmpce_reference!$F$2, "Low Income", IF(Table1[rmpce_inr]&lt;=rmpce_reference!$F$3, "Middle Income", "High Income"))</f>
        <v>Middle Income</v>
      </c>
    </row>
    <row r="806" spans="1:27" x14ac:dyDescent="0.25">
      <c r="A806">
        <v>4144</v>
      </c>
      <c r="B806" t="s">
        <v>42</v>
      </c>
      <c r="C806" t="s">
        <v>33</v>
      </c>
      <c r="D806">
        <v>28</v>
      </c>
      <c r="E806" t="s">
        <v>25</v>
      </c>
      <c r="F806" t="s">
        <v>26</v>
      </c>
      <c r="G806">
        <v>10</v>
      </c>
      <c r="H806" s="1" t="str">
        <f>IF(Table1[[#This Row],[anxiety_score]]&lt;=10, "Normal", IF(Table1[[#This Row],[anxiety_score]]&lt;=20, "Moderate", IF(Table1[[#This Row],[anxiety_score]]&lt;=30, "Severe", "Extremely Severe")))</f>
        <v>Normal</v>
      </c>
      <c r="I806">
        <v>-8.1994660000000007E-3</v>
      </c>
      <c r="J806">
        <v>6</v>
      </c>
      <c r="K806" s="1" t="str">
        <f>IF(Table1[[#This Row],[stress_score]]&lt;=10, "Normal", IF(Table1[[#This Row],[stress_score]]&lt;=20, "Moderate", IF(Table1[[#This Row],[stress_score]]&lt;=30, "Severe", "Extremely Severe")))</f>
        <v>Normal</v>
      </c>
      <c r="L806">
        <v>-0.57848745999999995</v>
      </c>
      <c r="M806">
        <v>6</v>
      </c>
      <c r="N806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806">
        <v>-0.53092379999999995</v>
      </c>
      <c r="P806">
        <v>7.3333335000000002</v>
      </c>
      <c r="Q806">
        <f>ROUND(Table1[[#This Row],[dass21_raw_score]],0)</f>
        <v>7</v>
      </c>
      <c r="R806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806">
        <v>-0.3725369</v>
      </c>
      <c r="T806">
        <v>0.72237300000000004</v>
      </c>
      <c r="U806">
        <v>4000</v>
      </c>
      <c r="V806" s="1">
        <f>ROUND(Table1[[#This Row],[fmpce]],0)</f>
        <v>4000</v>
      </c>
      <c r="W806">
        <v>54.418660000000003</v>
      </c>
      <c r="X806" s="4">
        <f>Table1[[#This Row],[mpce]]*89</f>
        <v>4843.2607400000006</v>
      </c>
      <c r="Y806" s="2" t="s">
        <v>32</v>
      </c>
      <c r="Z806" s="3">
        <f>VLOOKUP(Y806, rmpce_reference!$B$1:$D$7,3,FALSE) * 89</f>
        <v>4450</v>
      </c>
      <c r="AA806" s="1" t="str">
        <f>IF(Table1[rmpce_inr]&lt;=rmpce_reference!$F$2, "Low Income", IF(Table1[rmpce_inr]&lt;=rmpce_reference!$F$3, "Middle Income", "High Income"))</f>
        <v>Low Income</v>
      </c>
    </row>
    <row r="807" spans="1:27" x14ac:dyDescent="0.25">
      <c r="A807">
        <v>4145</v>
      </c>
      <c r="B807" t="s">
        <v>42</v>
      </c>
      <c r="C807" t="s">
        <v>21</v>
      </c>
      <c r="D807">
        <v>45</v>
      </c>
      <c r="E807" t="s">
        <v>25</v>
      </c>
      <c r="F807" t="s">
        <v>30</v>
      </c>
      <c r="G807">
        <v>20</v>
      </c>
      <c r="H807" s="1" t="str">
        <f>IF(Table1[[#This Row],[anxiety_score]]&lt;=10, "Normal", IF(Table1[[#This Row],[anxiety_score]]&lt;=20, "Moderate", IF(Table1[[#This Row],[anxiety_score]]&lt;=30, "Severe", "Extremely Severe")))</f>
        <v>Moderate</v>
      </c>
      <c r="I807">
        <v>0.99702360000000001</v>
      </c>
      <c r="J807">
        <v>10</v>
      </c>
      <c r="K807" s="1" t="str">
        <f>IF(Table1[[#This Row],[stress_score]]&lt;=10, "Normal", IF(Table1[[#This Row],[stress_score]]&lt;=20, "Moderate", IF(Table1[[#This Row],[stress_score]]&lt;=30, "Severe", "Extremely Severe")))</f>
        <v>Normal</v>
      </c>
      <c r="L807">
        <v>-0.18916494</v>
      </c>
      <c r="M807">
        <v>8</v>
      </c>
      <c r="N807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807">
        <v>-0.33828637</v>
      </c>
      <c r="P807">
        <v>12.666667</v>
      </c>
      <c r="Q807">
        <f>ROUND(Table1[[#This Row],[dass21_raw_score]],0)</f>
        <v>13</v>
      </c>
      <c r="R807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807">
        <v>0.15652409</v>
      </c>
      <c r="T807">
        <v>1.2514339999999999</v>
      </c>
      <c r="U807">
        <v>6250</v>
      </c>
      <c r="V807" s="1">
        <f>ROUND(Table1[[#This Row],[fmpce]],0)</f>
        <v>6250</v>
      </c>
      <c r="W807">
        <v>85.029150000000001</v>
      </c>
      <c r="X807" s="4">
        <f>Table1[[#This Row],[mpce]]*89</f>
        <v>7567.5943500000003</v>
      </c>
      <c r="Y807" s="2" t="s">
        <v>31</v>
      </c>
      <c r="Z807" s="3">
        <f>VLOOKUP(Y807, rmpce_reference!$B$1:$D$7,3,FALSE) * 89</f>
        <v>8010</v>
      </c>
      <c r="AA807" s="1" t="str">
        <f>IF(Table1[rmpce_inr]&lt;=rmpce_reference!$F$2, "Low Income", IF(Table1[rmpce_inr]&lt;=rmpce_reference!$F$3, "Middle Income", "High Income"))</f>
        <v>High Income</v>
      </c>
    </row>
    <row r="808" spans="1:27" x14ac:dyDescent="0.25">
      <c r="A808">
        <v>4146</v>
      </c>
      <c r="B808" t="s">
        <v>42</v>
      </c>
      <c r="C808" t="s">
        <v>29</v>
      </c>
      <c r="D808">
        <v>35</v>
      </c>
      <c r="E808" t="s">
        <v>25</v>
      </c>
      <c r="F808" t="s">
        <v>26</v>
      </c>
      <c r="G808">
        <v>16</v>
      </c>
      <c r="H808" s="1" t="str">
        <f>IF(Table1[[#This Row],[anxiety_score]]&lt;=10, "Normal", IF(Table1[[#This Row],[anxiety_score]]&lt;=20, "Moderate", IF(Table1[[#This Row],[anxiety_score]]&lt;=30, "Severe", "Extremely Severe")))</f>
        <v>Moderate</v>
      </c>
      <c r="I808">
        <v>0.59493434000000001</v>
      </c>
      <c r="J808">
        <v>8</v>
      </c>
      <c r="K808" s="1" t="str">
        <f>IF(Table1[[#This Row],[stress_score]]&lt;=10, "Normal", IF(Table1[[#This Row],[stress_score]]&lt;=20, "Moderate", IF(Table1[[#This Row],[stress_score]]&lt;=30, "Severe", "Extremely Severe")))</f>
        <v>Normal</v>
      </c>
      <c r="L808">
        <v>-0.38382620000000001</v>
      </c>
      <c r="M808">
        <v>8</v>
      </c>
      <c r="N808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808">
        <v>-0.33828637</v>
      </c>
      <c r="P808">
        <v>10.666667</v>
      </c>
      <c r="Q808">
        <f>ROUND(Table1[[#This Row],[dass21_raw_score]],0)</f>
        <v>11</v>
      </c>
      <c r="R808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808">
        <v>-4.2392741999999997E-2</v>
      </c>
      <c r="T808">
        <v>1.0525172</v>
      </c>
      <c r="U808">
        <v>5000</v>
      </c>
      <c r="V808" s="1">
        <f>ROUND(Table1[[#This Row],[fmpce]],0)</f>
        <v>5000</v>
      </c>
      <c r="W808">
        <v>68.023319999999998</v>
      </c>
      <c r="X808" s="4">
        <f>Table1[[#This Row],[mpce]]*89</f>
        <v>6054.0754799999995</v>
      </c>
      <c r="Y808" s="2" t="s">
        <v>28</v>
      </c>
      <c r="Z808" s="3">
        <f>VLOOKUP(Y808, rmpce_reference!$B$1:$D$7,3,FALSE) * 89</f>
        <v>6230</v>
      </c>
      <c r="AA808" s="1" t="str">
        <f>IF(Table1[rmpce_inr]&lt;=rmpce_reference!$F$2, "Low Income", IF(Table1[rmpce_inr]&lt;=rmpce_reference!$F$3, "Middle Income", "High Income"))</f>
        <v>Middle Income</v>
      </c>
    </row>
    <row r="809" spans="1:27" x14ac:dyDescent="0.25">
      <c r="A809">
        <v>4147</v>
      </c>
      <c r="B809" t="s">
        <v>42</v>
      </c>
      <c r="C809" t="s">
        <v>29</v>
      </c>
      <c r="D809">
        <v>35</v>
      </c>
      <c r="E809" t="s">
        <v>25</v>
      </c>
      <c r="F809" t="s">
        <v>23</v>
      </c>
      <c r="G809">
        <v>18</v>
      </c>
      <c r="H809" s="1" t="str">
        <f>IF(Table1[[#This Row],[anxiety_score]]&lt;=10, "Normal", IF(Table1[[#This Row],[anxiety_score]]&lt;=20, "Moderate", IF(Table1[[#This Row],[anxiety_score]]&lt;=30, "Severe", "Extremely Severe")))</f>
        <v>Moderate</v>
      </c>
      <c r="I809">
        <v>0.79597896000000001</v>
      </c>
      <c r="J809">
        <v>12</v>
      </c>
      <c r="K809" s="1" t="str">
        <f>IF(Table1[[#This Row],[stress_score]]&lt;=10, "Normal", IF(Table1[[#This Row],[stress_score]]&lt;=20, "Moderate", IF(Table1[[#This Row],[stress_score]]&lt;=30, "Severe", "Extremely Severe")))</f>
        <v>Moderate</v>
      </c>
      <c r="L809">
        <v>5.496318E-3</v>
      </c>
      <c r="M809">
        <v>8</v>
      </c>
      <c r="N809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809">
        <v>-0.33828637</v>
      </c>
      <c r="P809">
        <v>12.666667</v>
      </c>
      <c r="Q809">
        <f>ROUND(Table1[[#This Row],[dass21_raw_score]],0)</f>
        <v>13</v>
      </c>
      <c r="R809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809">
        <v>0.15439631000000001</v>
      </c>
      <c r="T809">
        <v>1.2493061999999999</v>
      </c>
      <c r="U809">
        <v>5000</v>
      </c>
      <c r="V809" s="1">
        <f>ROUND(Table1[[#This Row],[fmpce]],0)</f>
        <v>5000</v>
      </c>
      <c r="W809">
        <v>68.023319999999998</v>
      </c>
      <c r="X809" s="4">
        <f>Table1[[#This Row],[mpce]]*89</f>
        <v>6054.0754799999995</v>
      </c>
      <c r="Y809" s="2" t="s">
        <v>28</v>
      </c>
      <c r="Z809" s="3">
        <f>VLOOKUP(Y809, rmpce_reference!$B$1:$D$7,3,FALSE) * 89</f>
        <v>6230</v>
      </c>
      <c r="AA809" s="1" t="str">
        <f>IF(Table1[rmpce_inr]&lt;=rmpce_reference!$F$2, "Low Income", IF(Table1[rmpce_inr]&lt;=rmpce_reference!$F$3, "Middle Income", "High Income"))</f>
        <v>Middle Income</v>
      </c>
    </row>
    <row r="810" spans="1:27" x14ac:dyDescent="0.25">
      <c r="A810">
        <v>4148</v>
      </c>
      <c r="B810" t="s">
        <v>42</v>
      </c>
      <c r="C810" t="s">
        <v>29</v>
      </c>
      <c r="D810">
        <v>32</v>
      </c>
      <c r="E810" t="s">
        <v>25</v>
      </c>
      <c r="F810" t="s">
        <v>26</v>
      </c>
      <c r="G810">
        <v>12</v>
      </c>
      <c r="H810" s="1" t="str">
        <f>IF(Table1[[#This Row],[anxiety_score]]&lt;=10, "Normal", IF(Table1[[#This Row],[anxiety_score]]&lt;=20, "Moderate", IF(Table1[[#This Row],[anxiety_score]]&lt;=30, "Severe", "Extremely Severe")))</f>
        <v>Moderate</v>
      </c>
      <c r="I810">
        <v>0.19284514999999999</v>
      </c>
      <c r="J810">
        <v>10</v>
      </c>
      <c r="K810" s="1" t="str">
        <f>IF(Table1[[#This Row],[stress_score]]&lt;=10, "Normal", IF(Table1[[#This Row],[stress_score]]&lt;=20, "Moderate", IF(Table1[[#This Row],[stress_score]]&lt;=30, "Severe", "Extremely Severe")))</f>
        <v>Normal</v>
      </c>
      <c r="L810">
        <v>-0.18916494</v>
      </c>
      <c r="M810">
        <v>10</v>
      </c>
      <c r="N810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810">
        <v>-0.14564899000000001</v>
      </c>
      <c r="P810">
        <v>10.666667</v>
      </c>
      <c r="Q810">
        <f>ROUND(Table1[[#This Row],[dass21_raw_score]],0)</f>
        <v>11</v>
      </c>
      <c r="R810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810">
        <v>-4.7322925000000002E-2</v>
      </c>
      <c r="T810">
        <v>1.047587</v>
      </c>
      <c r="U810">
        <v>5000</v>
      </c>
      <c r="V810" s="1">
        <f>ROUND(Table1[[#This Row],[fmpce]],0)</f>
        <v>5000</v>
      </c>
      <c r="W810">
        <v>68.023319999999998</v>
      </c>
      <c r="X810" s="4">
        <f>Table1[[#This Row],[mpce]]*89</f>
        <v>6054.0754799999995</v>
      </c>
      <c r="Y810" s="2" t="s">
        <v>28</v>
      </c>
      <c r="Z810" s="3">
        <f>VLOOKUP(Y810, rmpce_reference!$B$1:$D$7,3,FALSE) * 89</f>
        <v>6230</v>
      </c>
      <c r="AA810" s="1" t="str">
        <f>IF(Table1[rmpce_inr]&lt;=rmpce_reference!$F$2, "Low Income", IF(Table1[rmpce_inr]&lt;=rmpce_reference!$F$3, "Middle Income", "High Income"))</f>
        <v>Middle Income</v>
      </c>
    </row>
    <row r="811" spans="1:27" x14ac:dyDescent="0.25">
      <c r="A811">
        <v>4149</v>
      </c>
      <c r="B811" t="s">
        <v>42</v>
      </c>
      <c r="C811" t="s">
        <v>21</v>
      </c>
      <c r="D811">
        <v>45</v>
      </c>
      <c r="E811" t="s">
        <v>25</v>
      </c>
      <c r="F811" t="s">
        <v>26</v>
      </c>
      <c r="G811">
        <v>22</v>
      </c>
      <c r="H811" s="1" t="str">
        <f>IF(Table1[[#This Row],[anxiety_score]]&lt;=10, "Normal", IF(Table1[[#This Row],[anxiety_score]]&lt;=20, "Moderate", IF(Table1[[#This Row],[anxiety_score]]&lt;=30, "Severe", "Extremely Severe")))</f>
        <v>Severe</v>
      </c>
      <c r="I811">
        <v>1.1980683000000001</v>
      </c>
      <c r="J811">
        <v>24</v>
      </c>
      <c r="K811" s="1" t="str">
        <f>IF(Table1[[#This Row],[stress_score]]&lt;=10, "Normal", IF(Table1[[#This Row],[stress_score]]&lt;=20, "Moderate", IF(Table1[[#This Row],[stress_score]]&lt;=30, "Severe", "Extremely Severe")))</f>
        <v>Severe</v>
      </c>
      <c r="L811">
        <v>1.1734637999999999</v>
      </c>
      <c r="M811">
        <v>10</v>
      </c>
      <c r="N811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811">
        <v>-0.14564899000000001</v>
      </c>
      <c r="P811">
        <v>18.666665999999999</v>
      </c>
      <c r="Q811">
        <f>ROUND(Table1[[#This Row],[dass21_raw_score]],0)</f>
        <v>19</v>
      </c>
      <c r="R811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811">
        <v>0.74196099999999998</v>
      </c>
      <c r="T811">
        <v>1.8368709000000001</v>
      </c>
      <c r="U811">
        <v>5000</v>
      </c>
      <c r="V811" s="1">
        <f>ROUND(Table1[[#This Row],[fmpce]],0)</f>
        <v>5000</v>
      </c>
      <c r="W811">
        <v>68.023319999999998</v>
      </c>
      <c r="X811" s="4">
        <f>Table1[[#This Row],[mpce]]*89</f>
        <v>6054.0754799999995</v>
      </c>
      <c r="Y811" s="2" t="s">
        <v>28</v>
      </c>
      <c r="Z811" s="3">
        <f>VLOOKUP(Y811, rmpce_reference!$B$1:$D$7,3,FALSE) * 89</f>
        <v>6230</v>
      </c>
      <c r="AA811" s="1" t="str">
        <f>IF(Table1[rmpce_inr]&lt;=rmpce_reference!$F$2, "Low Income", IF(Table1[rmpce_inr]&lt;=rmpce_reference!$F$3, "Middle Income", "High Income"))</f>
        <v>Middle Income</v>
      </c>
    </row>
    <row r="812" spans="1:27" x14ac:dyDescent="0.25">
      <c r="A812">
        <v>4150</v>
      </c>
      <c r="B812" t="s">
        <v>42</v>
      </c>
      <c r="C812" t="s">
        <v>21</v>
      </c>
      <c r="D812">
        <v>50</v>
      </c>
      <c r="E812" t="s">
        <v>25</v>
      </c>
      <c r="F812" t="s">
        <v>26</v>
      </c>
      <c r="G812">
        <v>16</v>
      </c>
      <c r="H812" s="1" t="str">
        <f>IF(Table1[[#This Row],[anxiety_score]]&lt;=10, "Normal", IF(Table1[[#This Row],[anxiety_score]]&lt;=20, "Moderate", IF(Table1[[#This Row],[anxiety_score]]&lt;=30, "Severe", "Extremely Severe")))</f>
        <v>Moderate</v>
      </c>
      <c r="I812">
        <v>0.59493434000000001</v>
      </c>
      <c r="J812">
        <v>6</v>
      </c>
      <c r="K812" s="1" t="str">
        <f>IF(Table1[[#This Row],[stress_score]]&lt;=10, "Normal", IF(Table1[[#This Row],[stress_score]]&lt;=20, "Moderate", IF(Table1[[#This Row],[stress_score]]&lt;=30, "Severe", "Extremely Severe")))</f>
        <v>Normal</v>
      </c>
      <c r="L812">
        <v>-0.57848745999999995</v>
      </c>
      <c r="M812">
        <v>4</v>
      </c>
      <c r="N812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812">
        <v>-0.72356116999999998</v>
      </c>
      <c r="P812">
        <v>8.6666670000000003</v>
      </c>
      <c r="Q812">
        <f>ROUND(Table1[[#This Row],[dass21_raw_score]],0)</f>
        <v>9</v>
      </c>
      <c r="R812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812">
        <v>-0.23570476000000001</v>
      </c>
      <c r="T812">
        <v>0.85920510000000005</v>
      </c>
      <c r="U812">
        <v>3750</v>
      </c>
      <c r="V812" s="1">
        <f>ROUND(Table1[[#This Row],[fmpce]],0)</f>
        <v>3750</v>
      </c>
      <c r="W812">
        <v>51.017493999999999</v>
      </c>
      <c r="X812" s="4">
        <f>Table1[[#This Row],[mpce]]*89</f>
        <v>4540.5569660000001</v>
      </c>
      <c r="Y812" s="2" t="s">
        <v>32</v>
      </c>
      <c r="Z812" s="3">
        <f>VLOOKUP(Y812, rmpce_reference!$B$1:$D$7,3,FALSE) * 89</f>
        <v>4450</v>
      </c>
      <c r="AA812" s="1" t="str">
        <f>IF(Table1[rmpce_inr]&lt;=rmpce_reference!$F$2, "Low Income", IF(Table1[rmpce_inr]&lt;=rmpce_reference!$F$3, "Middle Income", "High Income"))</f>
        <v>Low Income</v>
      </c>
    </row>
    <row r="813" spans="1:27" x14ac:dyDescent="0.25">
      <c r="A813">
        <v>4151</v>
      </c>
      <c r="B813" t="s">
        <v>42</v>
      </c>
      <c r="C813" t="s">
        <v>29</v>
      </c>
      <c r="D813">
        <v>35</v>
      </c>
      <c r="E813" t="s">
        <v>25</v>
      </c>
      <c r="F813" t="s">
        <v>23</v>
      </c>
      <c r="G813">
        <v>12</v>
      </c>
      <c r="H813" s="1" t="str">
        <f>IF(Table1[[#This Row],[anxiety_score]]&lt;=10, "Normal", IF(Table1[[#This Row],[anxiety_score]]&lt;=20, "Moderate", IF(Table1[[#This Row],[anxiety_score]]&lt;=30, "Severe", "Extremely Severe")))</f>
        <v>Moderate</v>
      </c>
      <c r="I813">
        <v>0.19284514999999999</v>
      </c>
      <c r="J813">
        <v>6</v>
      </c>
      <c r="K813" s="1" t="str">
        <f>IF(Table1[[#This Row],[stress_score]]&lt;=10, "Normal", IF(Table1[[#This Row],[stress_score]]&lt;=20, "Moderate", IF(Table1[[#This Row],[stress_score]]&lt;=30, "Severe", "Extremely Severe")))</f>
        <v>Normal</v>
      </c>
      <c r="L813">
        <v>-0.57848745999999995</v>
      </c>
      <c r="M813">
        <v>12</v>
      </c>
      <c r="N813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813">
        <v>4.6988415999999998E-2</v>
      </c>
      <c r="P813">
        <v>10</v>
      </c>
      <c r="Q813">
        <f>ROUND(Table1[[#This Row],[dass21_raw_score]],0)</f>
        <v>10</v>
      </c>
      <c r="R813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813">
        <v>-0.112884626</v>
      </c>
      <c r="T813">
        <v>0.98202526999999995</v>
      </c>
      <c r="U813">
        <v>5000</v>
      </c>
      <c r="V813" s="1">
        <f>ROUND(Table1[[#This Row],[fmpce]],0)</f>
        <v>5000</v>
      </c>
      <c r="W813">
        <v>68.023319999999998</v>
      </c>
      <c r="X813" s="4">
        <f>Table1[[#This Row],[mpce]]*89</f>
        <v>6054.0754799999995</v>
      </c>
      <c r="Y813" s="2" t="s">
        <v>28</v>
      </c>
      <c r="Z813" s="3">
        <f>VLOOKUP(Y813, rmpce_reference!$B$1:$D$7,3,FALSE) * 89</f>
        <v>6230</v>
      </c>
      <c r="AA813" s="1" t="str">
        <f>IF(Table1[rmpce_inr]&lt;=rmpce_reference!$F$2, "Low Income", IF(Table1[rmpce_inr]&lt;=rmpce_reference!$F$3, "Middle Income", "High Income"))</f>
        <v>Middle Income</v>
      </c>
    </row>
    <row r="814" spans="1:27" x14ac:dyDescent="0.25">
      <c r="A814">
        <v>4152</v>
      </c>
      <c r="B814" t="s">
        <v>42</v>
      </c>
      <c r="C814" t="s">
        <v>29</v>
      </c>
      <c r="D814">
        <v>35</v>
      </c>
      <c r="E814" t="s">
        <v>25</v>
      </c>
      <c r="F814" t="s">
        <v>26</v>
      </c>
      <c r="G814">
        <v>8</v>
      </c>
      <c r="H814" s="1" t="str">
        <f>IF(Table1[[#This Row],[anxiety_score]]&lt;=10, "Normal", IF(Table1[[#This Row],[anxiety_score]]&lt;=20, "Moderate", IF(Table1[[#This Row],[anxiety_score]]&lt;=30, "Severe", "Extremely Severe")))</f>
        <v>Normal</v>
      </c>
      <c r="I814">
        <v>-0.20924408999999999</v>
      </c>
      <c r="J814">
        <v>6</v>
      </c>
      <c r="K814" s="1" t="str">
        <f>IF(Table1[[#This Row],[stress_score]]&lt;=10, "Normal", IF(Table1[[#This Row],[stress_score]]&lt;=20, "Moderate", IF(Table1[[#This Row],[stress_score]]&lt;=30, "Severe", "Extremely Severe")))</f>
        <v>Normal</v>
      </c>
      <c r="L814">
        <v>-0.57848745999999995</v>
      </c>
      <c r="M814">
        <v>8</v>
      </c>
      <c r="N814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814">
        <v>-0.33828637</v>
      </c>
      <c r="P814">
        <v>7.3333335000000002</v>
      </c>
      <c r="Q814">
        <f>ROUND(Table1[[#This Row],[dass21_raw_score]],0)</f>
        <v>7</v>
      </c>
      <c r="R814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814">
        <v>-0.37533929999999999</v>
      </c>
      <c r="T814">
        <v>0.71957064000000004</v>
      </c>
      <c r="U814">
        <v>5000</v>
      </c>
      <c r="V814" s="1">
        <f>ROUND(Table1[[#This Row],[fmpce]],0)</f>
        <v>5000</v>
      </c>
      <c r="W814">
        <v>68.023319999999998</v>
      </c>
      <c r="X814" s="4">
        <f>Table1[[#This Row],[mpce]]*89</f>
        <v>6054.0754799999995</v>
      </c>
      <c r="Y814" s="2" t="s">
        <v>28</v>
      </c>
      <c r="Z814" s="3">
        <f>VLOOKUP(Y814, rmpce_reference!$B$1:$D$7,3,FALSE) * 89</f>
        <v>6230</v>
      </c>
      <c r="AA814" s="1" t="str">
        <f>IF(Table1[rmpce_inr]&lt;=rmpce_reference!$F$2, "Low Income", IF(Table1[rmpce_inr]&lt;=rmpce_reference!$F$3, "Middle Income", "High Income"))</f>
        <v>Middle Income</v>
      </c>
    </row>
    <row r="815" spans="1:27" x14ac:dyDescent="0.25">
      <c r="A815">
        <v>4153</v>
      </c>
      <c r="B815" t="s">
        <v>42</v>
      </c>
      <c r="C815" t="s">
        <v>21</v>
      </c>
      <c r="D815">
        <v>42</v>
      </c>
      <c r="E815" t="s">
        <v>25</v>
      </c>
      <c r="F815" t="s">
        <v>30</v>
      </c>
      <c r="G815">
        <v>16</v>
      </c>
      <c r="H815" s="1" t="str">
        <f>IF(Table1[[#This Row],[anxiety_score]]&lt;=10, "Normal", IF(Table1[[#This Row],[anxiety_score]]&lt;=20, "Moderate", IF(Table1[[#This Row],[anxiety_score]]&lt;=30, "Severe", "Extremely Severe")))</f>
        <v>Moderate</v>
      </c>
      <c r="I815">
        <v>0.59493434000000001</v>
      </c>
      <c r="J815">
        <v>8</v>
      </c>
      <c r="K815" s="1" t="str">
        <f>IF(Table1[[#This Row],[stress_score]]&lt;=10, "Normal", IF(Table1[[#This Row],[stress_score]]&lt;=20, "Moderate", IF(Table1[[#This Row],[stress_score]]&lt;=30, "Severe", "Extremely Severe")))</f>
        <v>Normal</v>
      </c>
      <c r="L815">
        <v>-0.38382620000000001</v>
      </c>
      <c r="M815">
        <v>6</v>
      </c>
      <c r="N815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815">
        <v>-0.53092379999999995</v>
      </c>
      <c r="P815">
        <v>10</v>
      </c>
      <c r="Q815">
        <f>ROUND(Table1[[#This Row],[dass21_raw_score]],0)</f>
        <v>10</v>
      </c>
      <c r="R815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815">
        <v>-0.10660521000000001</v>
      </c>
      <c r="T815">
        <v>0.98830470000000004</v>
      </c>
      <c r="U815">
        <v>5000</v>
      </c>
      <c r="V815" s="1">
        <f>ROUND(Table1[[#This Row],[fmpce]],0)</f>
        <v>5000</v>
      </c>
      <c r="W815">
        <v>68.023319999999998</v>
      </c>
      <c r="X815" s="4">
        <f>Table1[[#This Row],[mpce]]*89</f>
        <v>6054.0754799999995</v>
      </c>
      <c r="Y815" s="2" t="s">
        <v>28</v>
      </c>
      <c r="Z815" s="3">
        <f>VLOOKUP(Y815, rmpce_reference!$B$1:$D$7,3,FALSE) * 89</f>
        <v>6230</v>
      </c>
      <c r="AA815" s="1" t="str">
        <f>IF(Table1[rmpce_inr]&lt;=rmpce_reference!$F$2, "Low Income", IF(Table1[rmpce_inr]&lt;=rmpce_reference!$F$3, "Middle Income", "High Income"))</f>
        <v>Middle Income</v>
      </c>
    </row>
    <row r="816" spans="1:27" x14ac:dyDescent="0.25">
      <c r="A816">
        <v>4154</v>
      </c>
      <c r="B816" t="s">
        <v>42</v>
      </c>
      <c r="C816" t="s">
        <v>29</v>
      </c>
      <c r="D816">
        <v>35</v>
      </c>
      <c r="E816" t="s">
        <v>25</v>
      </c>
      <c r="F816" t="s">
        <v>26</v>
      </c>
      <c r="G816">
        <v>16</v>
      </c>
      <c r="H816" s="1" t="str">
        <f>IF(Table1[[#This Row],[anxiety_score]]&lt;=10, "Normal", IF(Table1[[#This Row],[anxiety_score]]&lt;=20, "Moderate", IF(Table1[[#This Row],[anxiety_score]]&lt;=30, "Severe", "Extremely Severe")))</f>
        <v>Moderate</v>
      </c>
      <c r="I816">
        <v>0.59493434000000001</v>
      </c>
      <c r="J816">
        <v>12</v>
      </c>
      <c r="K816" s="1" t="str">
        <f>IF(Table1[[#This Row],[stress_score]]&lt;=10, "Normal", IF(Table1[[#This Row],[stress_score]]&lt;=20, "Moderate", IF(Table1[[#This Row],[stress_score]]&lt;=30, "Severe", "Extremely Severe")))</f>
        <v>Moderate</v>
      </c>
      <c r="L816">
        <v>5.496318E-3</v>
      </c>
      <c r="M816">
        <v>12</v>
      </c>
      <c r="N816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816">
        <v>4.6988415999999998E-2</v>
      </c>
      <c r="P816">
        <v>13.333333</v>
      </c>
      <c r="Q816">
        <f>ROUND(Table1[[#This Row],[dass21_raw_score]],0)</f>
        <v>13</v>
      </c>
      <c r="R816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816">
        <v>0.21580637</v>
      </c>
      <c r="T816">
        <v>1.3107162999999999</v>
      </c>
      <c r="U816">
        <v>6250</v>
      </c>
      <c r="V816" s="1">
        <f>ROUND(Table1[[#This Row],[fmpce]],0)</f>
        <v>6250</v>
      </c>
      <c r="W816">
        <v>85.029150000000001</v>
      </c>
      <c r="X816" s="4">
        <f>Table1[[#This Row],[mpce]]*89</f>
        <v>7567.5943500000003</v>
      </c>
      <c r="Y816" s="2" t="s">
        <v>31</v>
      </c>
      <c r="Z816" s="3">
        <f>VLOOKUP(Y816, rmpce_reference!$B$1:$D$7,3,FALSE) * 89</f>
        <v>8010</v>
      </c>
      <c r="AA816" s="1" t="str">
        <f>IF(Table1[rmpce_inr]&lt;=rmpce_reference!$F$2, "Low Income", IF(Table1[rmpce_inr]&lt;=rmpce_reference!$F$3, "Middle Income", "High Income"))</f>
        <v>High Income</v>
      </c>
    </row>
    <row r="817" spans="1:27" x14ac:dyDescent="0.25">
      <c r="A817">
        <v>4155</v>
      </c>
      <c r="B817" t="s">
        <v>42</v>
      </c>
      <c r="C817" t="s">
        <v>29</v>
      </c>
      <c r="D817">
        <v>35</v>
      </c>
      <c r="E817" t="s">
        <v>25</v>
      </c>
      <c r="F817" t="s">
        <v>26</v>
      </c>
      <c r="G817">
        <v>14</v>
      </c>
      <c r="H817" s="1" t="str">
        <f>IF(Table1[[#This Row],[anxiety_score]]&lt;=10, "Normal", IF(Table1[[#This Row],[anxiety_score]]&lt;=20, "Moderate", IF(Table1[[#This Row],[anxiety_score]]&lt;=30, "Severe", "Extremely Severe")))</f>
        <v>Moderate</v>
      </c>
      <c r="I817">
        <v>0.39388975999999998</v>
      </c>
      <c r="J817">
        <v>4</v>
      </c>
      <c r="K817" s="1" t="str">
        <f>IF(Table1[[#This Row],[stress_score]]&lt;=10, "Normal", IF(Table1[[#This Row],[stress_score]]&lt;=20, "Moderate", IF(Table1[[#This Row],[stress_score]]&lt;=30, "Severe", "Extremely Severe")))</f>
        <v>Normal</v>
      </c>
      <c r="L817">
        <v>-0.77314866000000004</v>
      </c>
      <c r="M817">
        <v>4</v>
      </c>
      <c r="N817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817">
        <v>-0.72356116999999998</v>
      </c>
      <c r="P817">
        <v>7.3333335000000002</v>
      </c>
      <c r="Q817">
        <f>ROUND(Table1[[#This Row],[dass21_raw_score]],0)</f>
        <v>7</v>
      </c>
      <c r="R817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817">
        <v>-0.36760670000000001</v>
      </c>
      <c r="T817">
        <v>0.72730320000000004</v>
      </c>
      <c r="U817">
        <v>4000</v>
      </c>
      <c r="V817" s="1">
        <f>ROUND(Table1[[#This Row],[fmpce]],0)</f>
        <v>4000</v>
      </c>
      <c r="W817">
        <v>54.418660000000003</v>
      </c>
      <c r="X817" s="4">
        <f>Table1[[#This Row],[mpce]]*89</f>
        <v>4843.2607400000006</v>
      </c>
      <c r="Y817" s="2" t="s">
        <v>32</v>
      </c>
      <c r="Z817" s="3">
        <f>VLOOKUP(Y817, rmpce_reference!$B$1:$D$7,3,FALSE) * 89</f>
        <v>4450</v>
      </c>
      <c r="AA817" s="1" t="str">
        <f>IF(Table1[rmpce_inr]&lt;=rmpce_reference!$F$2, "Low Income", IF(Table1[rmpce_inr]&lt;=rmpce_reference!$F$3, "Middle Income", "High Income"))</f>
        <v>Low Income</v>
      </c>
    </row>
    <row r="818" spans="1:27" x14ac:dyDescent="0.25">
      <c r="A818">
        <v>4156</v>
      </c>
      <c r="B818" t="s">
        <v>42</v>
      </c>
      <c r="C818" t="s">
        <v>36</v>
      </c>
      <c r="D818">
        <v>59</v>
      </c>
      <c r="E818" t="s">
        <v>22</v>
      </c>
      <c r="F818" t="s">
        <v>30</v>
      </c>
      <c r="G818">
        <v>4</v>
      </c>
      <c r="H818" s="1" t="str">
        <f>IF(Table1[[#This Row],[anxiety_score]]&lt;=10, "Normal", IF(Table1[[#This Row],[anxiety_score]]&lt;=20, "Moderate", IF(Table1[[#This Row],[anxiety_score]]&lt;=30, "Severe", "Extremely Severe")))</f>
        <v>Normal</v>
      </c>
      <c r="I818">
        <v>-0.61133329999999997</v>
      </c>
      <c r="J818">
        <v>8</v>
      </c>
      <c r="K818" s="1" t="str">
        <f>IF(Table1[[#This Row],[stress_score]]&lt;=10, "Normal", IF(Table1[[#This Row],[stress_score]]&lt;=20, "Moderate", IF(Table1[[#This Row],[stress_score]]&lt;=30, "Severe", "Extremely Severe")))</f>
        <v>Normal</v>
      </c>
      <c r="L818">
        <v>-0.38382620000000001</v>
      </c>
      <c r="M818">
        <v>8</v>
      </c>
      <c r="N818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818">
        <v>-0.33828637</v>
      </c>
      <c r="P818">
        <v>6.6666664999999998</v>
      </c>
      <c r="Q818">
        <f>ROUND(Table1[[#This Row],[dass21_raw_score]],0)</f>
        <v>7</v>
      </c>
      <c r="R818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818">
        <v>-0.44448197</v>
      </c>
      <c r="T818">
        <v>0.65042794000000004</v>
      </c>
      <c r="U818">
        <v>15000</v>
      </c>
      <c r="V818" s="1">
        <f>ROUND(Table1[[#This Row],[fmpce]],0)</f>
        <v>15000</v>
      </c>
      <c r="W818">
        <v>204.06997999999999</v>
      </c>
      <c r="X818" s="4">
        <f>Table1[[#This Row],[mpce]]*89</f>
        <v>18162.228219999997</v>
      </c>
      <c r="Y818" s="2" t="s">
        <v>35</v>
      </c>
      <c r="Z818" s="3">
        <f>VLOOKUP(Y818, rmpce_reference!$B$1:$D$7,3,FALSE) * 89</f>
        <v>9790</v>
      </c>
      <c r="AA818" s="1" t="str">
        <f>IF(Table1[rmpce_inr]&lt;=rmpce_reference!$F$2, "Low Income", IF(Table1[rmpce_inr]&lt;=rmpce_reference!$F$3, "Middle Income", "High Income"))</f>
        <v>High Income</v>
      </c>
    </row>
    <row r="819" spans="1:27" x14ac:dyDescent="0.25">
      <c r="A819">
        <v>4157</v>
      </c>
      <c r="B819" t="s">
        <v>42</v>
      </c>
      <c r="C819" t="s">
        <v>29</v>
      </c>
      <c r="D819">
        <v>35</v>
      </c>
      <c r="E819" t="s">
        <v>22</v>
      </c>
      <c r="F819" t="s">
        <v>23</v>
      </c>
      <c r="G819">
        <v>8</v>
      </c>
      <c r="H819" s="1" t="str">
        <f>IF(Table1[[#This Row],[anxiety_score]]&lt;=10, "Normal", IF(Table1[[#This Row],[anxiety_score]]&lt;=20, "Moderate", IF(Table1[[#This Row],[anxiety_score]]&lt;=30, "Severe", "Extremely Severe")))</f>
        <v>Normal</v>
      </c>
      <c r="I819">
        <v>-0.20924408999999999</v>
      </c>
      <c r="J819">
        <v>4</v>
      </c>
      <c r="K819" s="1" t="str">
        <f>IF(Table1[[#This Row],[stress_score]]&lt;=10, "Normal", IF(Table1[[#This Row],[stress_score]]&lt;=20, "Moderate", IF(Table1[[#This Row],[stress_score]]&lt;=30, "Severe", "Extremely Severe")))</f>
        <v>Normal</v>
      </c>
      <c r="L819">
        <v>-0.77314866000000004</v>
      </c>
      <c r="M819">
        <v>6</v>
      </c>
      <c r="N819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819">
        <v>-0.53092379999999995</v>
      </c>
      <c r="P819">
        <v>6</v>
      </c>
      <c r="Q819">
        <f>ROUND(Table1[[#This Row],[dass21_raw_score]],0)</f>
        <v>6</v>
      </c>
      <c r="R819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819">
        <v>-0.50443879999999996</v>
      </c>
      <c r="T819">
        <v>0.59047110000000003</v>
      </c>
      <c r="U819">
        <v>6250</v>
      </c>
      <c r="V819" s="1">
        <f>ROUND(Table1[[#This Row],[fmpce]],0)</f>
        <v>6250</v>
      </c>
      <c r="W819">
        <v>85.029150000000001</v>
      </c>
      <c r="X819" s="4">
        <f>Table1[[#This Row],[mpce]]*89</f>
        <v>7567.5943500000003</v>
      </c>
      <c r="Y819" s="2" t="s">
        <v>31</v>
      </c>
      <c r="Z819" s="3">
        <f>VLOOKUP(Y819, rmpce_reference!$B$1:$D$7,3,FALSE) * 89</f>
        <v>8010</v>
      </c>
      <c r="AA819" s="1" t="str">
        <f>IF(Table1[rmpce_inr]&lt;=rmpce_reference!$F$2, "Low Income", IF(Table1[rmpce_inr]&lt;=rmpce_reference!$F$3, "Middle Income", "High Income"))</f>
        <v>High Income</v>
      </c>
    </row>
    <row r="820" spans="1:27" x14ac:dyDescent="0.25">
      <c r="A820">
        <v>4158</v>
      </c>
      <c r="B820" t="s">
        <v>42</v>
      </c>
      <c r="C820" t="s">
        <v>33</v>
      </c>
      <c r="D820">
        <v>25</v>
      </c>
      <c r="E820" t="s">
        <v>22</v>
      </c>
      <c r="F820" t="s">
        <v>23</v>
      </c>
      <c r="G820">
        <v>6</v>
      </c>
      <c r="H820" s="1" t="str">
        <f>IF(Table1[[#This Row],[anxiety_score]]&lt;=10, "Normal", IF(Table1[[#This Row],[anxiety_score]]&lt;=20, "Moderate", IF(Table1[[#This Row],[anxiety_score]]&lt;=30, "Severe", "Extremely Severe")))</f>
        <v>Normal</v>
      </c>
      <c r="I820">
        <v>-0.41028870000000001</v>
      </c>
      <c r="J820">
        <v>4</v>
      </c>
      <c r="K820" s="1" t="str">
        <f>IF(Table1[[#This Row],[stress_score]]&lt;=10, "Normal", IF(Table1[[#This Row],[stress_score]]&lt;=20, "Moderate", IF(Table1[[#This Row],[stress_score]]&lt;=30, "Severe", "Extremely Severe")))</f>
        <v>Normal</v>
      </c>
      <c r="L820">
        <v>-0.77314866000000004</v>
      </c>
      <c r="M820">
        <v>4</v>
      </c>
      <c r="N820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820">
        <v>-0.72356116999999998</v>
      </c>
      <c r="P820">
        <v>4.6666664999999998</v>
      </c>
      <c r="Q820">
        <f>ROUND(Table1[[#This Row],[dass21_raw_score]],0)</f>
        <v>5</v>
      </c>
      <c r="R820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820">
        <v>-0.63566619999999996</v>
      </c>
      <c r="T820">
        <v>0.45924369999999998</v>
      </c>
      <c r="U820">
        <v>10000</v>
      </c>
      <c r="V820" s="1">
        <f>ROUND(Table1[[#This Row],[fmpce]],0)</f>
        <v>10000</v>
      </c>
      <c r="W820">
        <v>136.04665</v>
      </c>
      <c r="X820" s="4">
        <f>Table1[[#This Row],[mpce]]*89</f>
        <v>12108.15185</v>
      </c>
      <c r="Y820" s="2" t="s">
        <v>35</v>
      </c>
      <c r="Z820" s="3">
        <f>VLOOKUP(Y820, rmpce_reference!$B$1:$D$7,3,FALSE) * 89</f>
        <v>9790</v>
      </c>
      <c r="AA820" s="1" t="str">
        <f>IF(Table1[rmpce_inr]&lt;=rmpce_reference!$F$2, "Low Income", IF(Table1[rmpce_inr]&lt;=rmpce_reference!$F$3, "Middle Income", "High Income"))</f>
        <v>High Income</v>
      </c>
    </row>
    <row r="821" spans="1:27" x14ac:dyDescent="0.25">
      <c r="A821">
        <v>4159</v>
      </c>
      <c r="B821" t="s">
        <v>42</v>
      </c>
      <c r="C821" t="s">
        <v>29</v>
      </c>
      <c r="D821">
        <v>33</v>
      </c>
      <c r="E821" t="s">
        <v>22</v>
      </c>
      <c r="F821" t="s">
        <v>30</v>
      </c>
      <c r="G821">
        <v>6</v>
      </c>
      <c r="H821" s="1" t="str">
        <f>IF(Table1[[#This Row],[anxiety_score]]&lt;=10, "Normal", IF(Table1[[#This Row],[anxiety_score]]&lt;=20, "Moderate", IF(Table1[[#This Row],[anxiety_score]]&lt;=30, "Severe", "Extremely Severe")))</f>
        <v>Normal</v>
      </c>
      <c r="I821">
        <v>-0.41028870000000001</v>
      </c>
      <c r="J821">
        <v>8</v>
      </c>
      <c r="K821" s="1" t="str">
        <f>IF(Table1[[#This Row],[stress_score]]&lt;=10, "Normal", IF(Table1[[#This Row],[stress_score]]&lt;=20, "Moderate", IF(Table1[[#This Row],[stress_score]]&lt;=30, "Severe", "Extremely Severe")))</f>
        <v>Normal</v>
      </c>
      <c r="L821">
        <v>-0.38382620000000001</v>
      </c>
      <c r="M821">
        <v>10</v>
      </c>
      <c r="N821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821">
        <v>-0.14564899000000001</v>
      </c>
      <c r="P821">
        <v>8</v>
      </c>
      <c r="Q821">
        <f>ROUND(Table1[[#This Row],[dass21_raw_score]],0)</f>
        <v>8</v>
      </c>
      <c r="R821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821">
        <v>-0.31325461999999998</v>
      </c>
      <c r="T821">
        <v>0.78165530000000005</v>
      </c>
      <c r="U821">
        <v>5000</v>
      </c>
      <c r="V821" s="1">
        <f>ROUND(Table1[[#This Row],[fmpce]],0)</f>
        <v>5000</v>
      </c>
      <c r="W821">
        <v>68.023319999999998</v>
      </c>
      <c r="X821" s="4">
        <f>Table1[[#This Row],[mpce]]*89</f>
        <v>6054.0754799999995</v>
      </c>
      <c r="Y821" s="2" t="s">
        <v>28</v>
      </c>
      <c r="Z821" s="3">
        <f>VLOOKUP(Y821, rmpce_reference!$B$1:$D$7,3,FALSE) * 89</f>
        <v>6230</v>
      </c>
      <c r="AA821" s="1" t="str">
        <f>IF(Table1[rmpce_inr]&lt;=rmpce_reference!$F$2, "Low Income", IF(Table1[rmpce_inr]&lt;=rmpce_reference!$F$3, "Middle Income", "High Income"))</f>
        <v>Middle Income</v>
      </c>
    </row>
    <row r="822" spans="1:27" x14ac:dyDescent="0.25">
      <c r="A822">
        <v>4160</v>
      </c>
      <c r="B822" t="s">
        <v>42</v>
      </c>
      <c r="C822" t="s">
        <v>29</v>
      </c>
      <c r="D822">
        <v>35</v>
      </c>
      <c r="E822" t="s">
        <v>25</v>
      </c>
      <c r="F822" t="s">
        <v>26</v>
      </c>
      <c r="G822">
        <v>14</v>
      </c>
      <c r="H822" s="1" t="str">
        <f>IF(Table1[[#This Row],[anxiety_score]]&lt;=10, "Normal", IF(Table1[[#This Row],[anxiety_score]]&lt;=20, "Moderate", IF(Table1[[#This Row],[anxiety_score]]&lt;=30, "Severe", "Extremely Severe")))</f>
        <v>Moderate</v>
      </c>
      <c r="I822">
        <v>0.39388975999999998</v>
      </c>
      <c r="J822">
        <v>2</v>
      </c>
      <c r="K822" s="1" t="str">
        <f>IF(Table1[[#This Row],[stress_score]]&lt;=10, "Normal", IF(Table1[[#This Row],[stress_score]]&lt;=20, "Moderate", IF(Table1[[#This Row],[stress_score]]&lt;=30, "Severe", "Extremely Severe")))</f>
        <v>Normal</v>
      </c>
      <c r="L822">
        <v>-0.9678099</v>
      </c>
      <c r="M822">
        <v>6</v>
      </c>
      <c r="N822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822">
        <v>-0.53092379999999995</v>
      </c>
      <c r="P822">
        <v>7.3333335000000002</v>
      </c>
      <c r="Q822">
        <f>ROUND(Table1[[#This Row],[dass21_raw_score]],0)</f>
        <v>7</v>
      </c>
      <c r="R822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822">
        <v>-0.36828129999999998</v>
      </c>
      <c r="T822">
        <v>0.72662859999999996</v>
      </c>
      <c r="U822">
        <v>6000</v>
      </c>
      <c r="V822" s="1">
        <f>ROUND(Table1[[#This Row],[fmpce]],0)</f>
        <v>6000</v>
      </c>
      <c r="W822">
        <v>81.627989999999997</v>
      </c>
      <c r="X822" s="4">
        <f>Table1[[#This Row],[mpce]]*89</f>
        <v>7264.8911099999996</v>
      </c>
      <c r="Y822" s="2" t="s">
        <v>31</v>
      </c>
      <c r="Z822" s="3">
        <f>VLOOKUP(Y822, rmpce_reference!$B$1:$D$7,3,FALSE) * 89</f>
        <v>8010</v>
      </c>
      <c r="AA822" s="1" t="str">
        <f>IF(Table1[rmpce_inr]&lt;=rmpce_reference!$F$2, "Low Income", IF(Table1[rmpce_inr]&lt;=rmpce_reference!$F$3, "Middle Income", "High Income"))</f>
        <v>High Income</v>
      </c>
    </row>
    <row r="823" spans="1:27" x14ac:dyDescent="0.25">
      <c r="A823">
        <v>4161</v>
      </c>
      <c r="B823" t="s">
        <v>42</v>
      </c>
      <c r="C823" t="s">
        <v>33</v>
      </c>
      <c r="D823">
        <v>28</v>
      </c>
      <c r="E823" t="s">
        <v>25</v>
      </c>
      <c r="F823" t="s">
        <v>30</v>
      </c>
      <c r="G823">
        <v>14</v>
      </c>
      <c r="H823" s="1" t="str">
        <f>IF(Table1[[#This Row],[anxiety_score]]&lt;=10, "Normal", IF(Table1[[#This Row],[anxiety_score]]&lt;=20, "Moderate", IF(Table1[[#This Row],[anxiety_score]]&lt;=30, "Severe", "Extremely Severe")))</f>
        <v>Moderate</v>
      </c>
      <c r="I823">
        <v>0.39388975999999998</v>
      </c>
      <c r="J823">
        <v>6</v>
      </c>
      <c r="K823" s="1" t="str">
        <f>IF(Table1[[#This Row],[stress_score]]&lt;=10, "Normal", IF(Table1[[#This Row],[stress_score]]&lt;=20, "Moderate", IF(Table1[[#This Row],[stress_score]]&lt;=30, "Severe", "Extremely Severe")))</f>
        <v>Normal</v>
      </c>
      <c r="L823">
        <v>-0.57848745999999995</v>
      </c>
      <c r="M823">
        <v>8</v>
      </c>
      <c r="N823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823">
        <v>-0.33828637</v>
      </c>
      <c r="P823">
        <v>9.3333329999999997</v>
      </c>
      <c r="Q823">
        <f>ROUND(Table1[[#This Row],[dass21_raw_score]],0)</f>
        <v>9</v>
      </c>
      <c r="R823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823">
        <v>-0.1742947</v>
      </c>
      <c r="T823">
        <v>0.92061519999999997</v>
      </c>
      <c r="U823">
        <v>5000</v>
      </c>
      <c r="V823" s="1">
        <f>ROUND(Table1[[#This Row],[fmpce]],0)</f>
        <v>5000</v>
      </c>
      <c r="W823">
        <v>68.023319999999998</v>
      </c>
      <c r="X823" s="4">
        <f>Table1[[#This Row],[mpce]]*89</f>
        <v>6054.0754799999995</v>
      </c>
      <c r="Y823" s="2" t="s">
        <v>28</v>
      </c>
      <c r="Z823" s="3">
        <f>VLOOKUP(Y823, rmpce_reference!$B$1:$D$7,3,FALSE) * 89</f>
        <v>6230</v>
      </c>
      <c r="AA823" s="1" t="str">
        <f>IF(Table1[rmpce_inr]&lt;=rmpce_reference!$F$2, "Low Income", IF(Table1[rmpce_inr]&lt;=rmpce_reference!$F$3, "Middle Income", "High Income"))</f>
        <v>Middle Income</v>
      </c>
    </row>
    <row r="824" spans="1:27" x14ac:dyDescent="0.25">
      <c r="A824">
        <v>4162</v>
      </c>
      <c r="B824" t="s">
        <v>42</v>
      </c>
      <c r="C824" t="s">
        <v>29</v>
      </c>
      <c r="D824">
        <v>32</v>
      </c>
      <c r="E824" t="s">
        <v>25</v>
      </c>
      <c r="F824" t="s">
        <v>30</v>
      </c>
      <c r="G824">
        <v>4</v>
      </c>
      <c r="H824" s="1" t="str">
        <f>IF(Table1[[#This Row],[anxiety_score]]&lt;=10, "Normal", IF(Table1[[#This Row],[anxiety_score]]&lt;=20, "Moderate", IF(Table1[[#This Row],[anxiety_score]]&lt;=30, "Severe", "Extremely Severe")))</f>
        <v>Normal</v>
      </c>
      <c r="I824">
        <v>-0.61133329999999997</v>
      </c>
      <c r="J824">
        <v>14</v>
      </c>
      <c r="K824" s="1" t="str">
        <f>IF(Table1[[#This Row],[stress_score]]&lt;=10, "Normal", IF(Table1[[#This Row],[stress_score]]&lt;=20, "Moderate", IF(Table1[[#This Row],[stress_score]]&lt;=30, "Severe", "Extremely Severe")))</f>
        <v>Moderate</v>
      </c>
      <c r="L824">
        <v>0.20015757000000001</v>
      </c>
      <c r="M824">
        <v>4</v>
      </c>
      <c r="N824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824">
        <v>-0.72356116999999998</v>
      </c>
      <c r="P824">
        <v>7.3333335000000002</v>
      </c>
      <c r="Q824">
        <f>ROUND(Table1[[#This Row],[dass21_raw_score]],0)</f>
        <v>7</v>
      </c>
      <c r="R824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824">
        <v>-0.37824564999999999</v>
      </c>
      <c r="T824">
        <v>0.71666425</v>
      </c>
      <c r="U824">
        <v>5000</v>
      </c>
      <c r="V824" s="1">
        <f>ROUND(Table1[[#This Row],[fmpce]],0)</f>
        <v>5000</v>
      </c>
      <c r="W824">
        <v>68.023319999999998</v>
      </c>
      <c r="X824" s="4">
        <f>Table1[[#This Row],[mpce]]*89</f>
        <v>6054.0754799999995</v>
      </c>
      <c r="Y824" s="2" t="s">
        <v>28</v>
      </c>
      <c r="Z824" s="3">
        <f>VLOOKUP(Y824, rmpce_reference!$B$1:$D$7,3,FALSE) * 89</f>
        <v>6230</v>
      </c>
      <c r="AA824" s="1" t="str">
        <f>IF(Table1[rmpce_inr]&lt;=rmpce_reference!$F$2, "Low Income", IF(Table1[rmpce_inr]&lt;=rmpce_reference!$F$3, "Middle Income", "High Income"))</f>
        <v>Middle Income</v>
      </c>
    </row>
    <row r="825" spans="1:27" x14ac:dyDescent="0.25">
      <c r="A825">
        <v>4163</v>
      </c>
      <c r="B825" t="s">
        <v>42</v>
      </c>
      <c r="C825" t="s">
        <v>33</v>
      </c>
      <c r="D825">
        <v>28</v>
      </c>
      <c r="E825" t="s">
        <v>25</v>
      </c>
      <c r="F825" t="s">
        <v>30</v>
      </c>
      <c r="G825">
        <v>10</v>
      </c>
      <c r="H825" s="1" t="str">
        <f>IF(Table1[[#This Row],[anxiety_score]]&lt;=10, "Normal", IF(Table1[[#This Row],[anxiety_score]]&lt;=20, "Moderate", IF(Table1[[#This Row],[anxiety_score]]&lt;=30, "Severe", "Extremely Severe")))</f>
        <v>Normal</v>
      </c>
      <c r="I825">
        <v>-8.1994660000000007E-3</v>
      </c>
      <c r="J825">
        <v>4</v>
      </c>
      <c r="K825" s="1" t="str">
        <f>IF(Table1[[#This Row],[stress_score]]&lt;=10, "Normal", IF(Table1[[#This Row],[stress_score]]&lt;=20, "Moderate", IF(Table1[[#This Row],[stress_score]]&lt;=30, "Severe", "Extremely Severe")))</f>
        <v>Normal</v>
      </c>
      <c r="L825">
        <v>-0.77314866000000004</v>
      </c>
      <c r="M825">
        <v>6</v>
      </c>
      <c r="N825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825">
        <v>-0.53092379999999995</v>
      </c>
      <c r="P825">
        <v>6.6666664999999998</v>
      </c>
      <c r="Q825">
        <f>ROUND(Table1[[#This Row],[dass21_raw_score]],0)</f>
        <v>7</v>
      </c>
      <c r="R825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825">
        <v>-0.43742397</v>
      </c>
      <c r="T825">
        <v>0.65748596000000004</v>
      </c>
      <c r="U825">
        <v>10000</v>
      </c>
      <c r="V825" s="1">
        <f>ROUND(Table1[[#This Row],[fmpce]],0)</f>
        <v>10000</v>
      </c>
      <c r="W825">
        <v>136.04665</v>
      </c>
      <c r="X825" s="4">
        <f>Table1[[#This Row],[mpce]]*89</f>
        <v>12108.15185</v>
      </c>
      <c r="Y825" s="2" t="s">
        <v>35</v>
      </c>
      <c r="Z825" s="3">
        <f>VLOOKUP(Y825, rmpce_reference!$B$1:$D$7,3,FALSE) * 89</f>
        <v>9790</v>
      </c>
      <c r="AA825" s="1" t="str">
        <f>IF(Table1[rmpce_inr]&lt;=rmpce_reference!$F$2, "Low Income", IF(Table1[rmpce_inr]&lt;=rmpce_reference!$F$3, "Middle Income", "High Income"))</f>
        <v>High Income</v>
      </c>
    </row>
    <row r="826" spans="1:27" x14ac:dyDescent="0.25">
      <c r="A826">
        <v>4164</v>
      </c>
      <c r="B826" t="s">
        <v>42</v>
      </c>
      <c r="C826" t="s">
        <v>29</v>
      </c>
      <c r="D826">
        <v>35</v>
      </c>
      <c r="E826" t="s">
        <v>25</v>
      </c>
      <c r="F826" t="s">
        <v>26</v>
      </c>
      <c r="G826">
        <v>12</v>
      </c>
      <c r="H826" s="1" t="str">
        <f>IF(Table1[[#This Row],[anxiety_score]]&lt;=10, "Normal", IF(Table1[[#This Row],[anxiety_score]]&lt;=20, "Moderate", IF(Table1[[#This Row],[anxiety_score]]&lt;=30, "Severe", "Extremely Severe")))</f>
        <v>Moderate</v>
      </c>
      <c r="I826">
        <v>0.19284514999999999</v>
      </c>
      <c r="J826">
        <v>2</v>
      </c>
      <c r="K826" s="1" t="str">
        <f>IF(Table1[[#This Row],[stress_score]]&lt;=10, "Normal", IF(Table1[[#This Row],[stress_score]]&lt;=20, "Moderate", IF(Table1[[#This Row],[stress_score]]&lt;=30, "Severe", "Extremely Severe")))</f>
        <v>Normal</v>
      </c>
      <c r="L826">
        <v>-0.9678099</v>
      </c>
      <c r="M826">
        <v>10</v>
      </c>
      <c r="N826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826">
        <v>-0.14564899000000001</v>
      </c>
      <c r="P826">
        <v>8</v>
      </c>
      <c r="Q826">
        <f>ROUND(Table1[[#This Row],[dass21_raw_score]],0)</f>
        <v>8</v>
      </c>
      <c r="R826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826">
        <v>-0.30687123999999999</v>
      </c>
      <c r="T826">
        <v>0.78803869999999998</v>
      </c>
      <c r="U826">
        <v>10000</v>
      </c>
      <c r="V826" s="1">
        <f>ROUND(Table1[[#This Row],[fmpce]],0)</f>
        <v>10000</v>
      </c>
      <c r="W826">
        <v>136.04665</v>
      </c>
      <c r="X826" s="4">
        <f>Table1[[#This Row],[mpce]]*89</f>
        <v>12108.15185</v>
      </c>
      <c r="Y826" s="2" t="s">
        <v>35</v>
      </c>
      <c r="Z826" s="3">
        <f>VLOOKUP(Y826, rmpce_reference!$B$1:$D$7,3,FALSE) * 89</f>
        <v>9790</v>
      </c>
      <c r="AA826" s="1" t="str">
        <f>IF(Table1[rmpce_inr]&lt;=rmpce_reference!$F$2, "Low Income", IF(Table1[rmpce_inr]&lt;=rmpce_reference!$F$3, "Middle Income", "High Income"))</f>
        <v>High Income</v>
      </c>
    </row>
    <row r="827" spans="1:27" x14ac:dyDescent="0.25">
      <c r="A827">
        <v>4165</v>
      </c>
      <c r="B827" t="s">
        <v>42</v>
      </c>
      <c r="C827" t="s">
        <v>33</v>
      </c>
      <c r="D827">
        <v>30</v>
      </c>
      <c r="E827" t="s">
        <v>22</v>
      </c>
      <c r="F827" t="s">
        <v>30</v>
      </c>
      <c r="G827">
        <v>12</v>
      </c>
      <c r="H827" s="1" t="str">
        <f>IF(Table1[[#This Row],[anxiety_score]]&lt;=10, "Normal", IF(Table1[[#This Row],[anxiety_score]]&lt;=20, "Moderate", IF(Table1[[#This Row],[anxiety_score]]&lt;=30, "Severe", "Extremely Severe")))</f>
        <v>Moderate</v>
      </c>
      <c r="I827">
        <v>0.19284514999999999</v>
      </c>
      <c r="J827">
        <v>6</v>
      </c>
      <c r="K827" s="1" t="str">
        <f>IF(Table1[[#This Row],[stress_score]]&lt;=10, "Normal", IF(Table1[[#This Row],[stress_score]]&lt;=20, "Moderate", IF(Table1[[#This Row],[stress_score]]&lt;=30, "Severe", "Extremely Severe")))</f>
        <v>Normal</v>
      </c>
      <c r="L827">
        <v>-0.57848745999999995</v>
      </c>
      <c r="M827">
        <v>6</v>
      </c>
      <c r="N827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827">
        <v>-0.53092379999999995</v>
      </c>
      <c r="P827">
        <v>8</v>
      </c>
      <c r="Q827">
        <f>ROUND(Table1[[#This Row],[dass21_raw_score]],0)</f>
        <v>8</v>
      </c>
      <c r="R827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827">
        <v>-0.30552202000000001</v>
      </c>
      <c r="T827">
        <v>0.78938790000000003</v>
      </c>
      <c r="U827">
        <v>3000</v>
      </c>
      <c r="V827" s="1">
        <f>ROUND(Table1[[#This Row],[fmpce]],0)</f>
        <v>3000</v>
      </c>
      <c r="W827">
        <v>40.813994999999998</v>
      </c>
      <c r="X827" s="4">
        <f>Table1[[#This Row],[mpce]]*89</f>
        <v>3632.4455549999998</v>
      </c>
      <c r="Y827" s="2" t="s">
        <v>32</v>
      </c>
      <c r="Z827" s="3">
        <f>VLOOKUP(Y827, rmpce_reference!$B$1:$D$7,3,FALSE) * 89</f>
        <v>4450</v>
      </c>
      <c r="AA827" s="1" t="str">
        <f>IF(Table1[rmpce_inr]&lt;=rmpce_reference!$F$2, "Low Income", IF(Table1[rmpce_inr]&lt;=rmpce_reference!$F$3, "Middle Income", "High Income"))</f>
        <v>Low Income</v>
      </c>
    </row>
    <row r="828" spans="1:27" x14ac:dyDescent="0.25">
      <c r="A828">
        <v>4166</v>
      </c>
      <c r="B828" t="s">
        <v>42</v>
      </c>
      <c r="C828" t="s">
        <v>33</v>
      </c>
      <c r="D828">
        <v>30</v>
      </c>
      <c r="E828" t="s">
        <v>22</v>
      </c>
      <c r="F828" t="s">
        <v>30</v>
      </c>
      <c r="G828">
        <v>6</v>
      </c>
      <c r="H828" s="1" t="str">
        <f>IF(Table1[[#This Row],[anxiety_score]]&lt;=10, "Normal", IF(Table1[[#This Row],[anxiety_score]]&lt;=20, "Moderate", IF(Table1[[#This Row],[anxiety_score]]&lt;=30, "Severe", "Extremely Severe")))</f>
        <v>Normal</v>
      </c>
      <c r="I828">
        <v>-0.41028870000000001</v>
      </c>
      <c r="J828">
        <v>8</v>
      </c>
      <c r="K828" s="1" t="str">
        <f>IF(Table1[[#This Row],[stress_score]]&lt;=10, "Normal", IF(Table1[[#This Row],[stress_score]]&lt;=20, "Moderate", IF(Table1[[#This Row],[stress_score]]&lt;=30, "Severe", "Extremely Severe")))</f>
        <v>Normal</v>
      </c>
      <c r="L828">
        <v>-0.38382620000000001</v>
      </c>
      <c r="M828">
        <v>6</v>
      </c>
      <c r="N828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828">
        <v>-0.53092379999999995</v>
      </c>
      <c r="P828">
        <v>6.6666664999999998</v>
      </c>
      <c r="Q828">
        <f>ROUND(Table1[[#This Row],[dass21_raw_score]],0)</f>
        <v>7</v>
      </c>
      <c r="R828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828">
        <v>-0.44167957000000002</v>
      </c>
      <c r="T828">
        <v>0.65323030000000004</v>
      </c>
      <c r="U828">
        <v>4166.6665000000003</v>
      </c>
      <c r="V828" s="1">
        <f>ROUND(Table1[[#This Row],[fmpce]],0)</f>
        <v>4167</v>
      </c>
      <c r="W828">
        <v>56.686100000000003</v>
      </c>
      <c r="X828" s="4">
        <f>Table1[[#This Row],[mpce]]*89</f>
        <v>5045.0628999999999</v>
      </c>
      <c r="Y828" s="2" t="s">
        <v>32</v>
      </c>
      <c r="Z828" s="3">
        <f>VLOOKUP(Y828, rmpce_reference!$B$1:$D$7,3,FALSE) * 89</f>
        <v>4450</v>
      </c>
      <c r="AA828" s="1" t="str">
        <f>IF(Table1[rmpce_inr]&lt;=rmpce_reference!$F$2, "Low Income", IF(Table1[rmpce_inr]&lt;=rmpce_reference!$F$3, "Middle Income", "High Income"))</f>
        <v>Low Income</v>
      </c>
    </row>
    <row r="829" spans="1:27" x14ac:dyDescent="0.25">
      <c r="A829">
        <v>4167</v>
      </c>
      <c r="B829" t="s">
        <v>42</v>
      </c>
      <c r="C829" t="s">
        <v>33</v>
      </c>
      <c r="D829">
        <v>30</v>
      </c>
      <c r="E829" t="s">
        <v>25</v>
      </c>
      <c r="F829" t="s">
        <v>23</v>
      </c>
      <c r="G829">
        <v>4</v>
      </c>
      <c r="H829" s="1" t="str">
        <f>IF(Table1[[#This Row],[anxiety_score]]&lt;=10, "Normal", IF(Table1[[#This Row],[anxiety_score]]&lt;=20, "Moderate", IF(Table1[[#This Row],[anxiety_score]]&lt;=30, "Severe", "Extremely Severe")))</f>
        <v>Normal</v>
      </c>
      <c r="I829">
        <v>-0.61133329999999997</v>
      </c>
      <c r="J829">
        <v>8</v>
      </c>
      <c r="K829" s="1" t="str">
        <f>IF(Table1[[#This Row],[stress_score]]&lt;=10, "Normal", IF(Table1[[#This Row],[stress_score]]&lt;=20, "Moderate", IF(Table1[[#This Row],[stress_score]]&lt;=30, "Severe", "Extremely Severe")))</f>
        <v>Normal</v>
      </c>
      <c r="L829">
        <v>-0.38382620000000001</v>
      </c>
      <c r="M829">
        <v>8</v>
      </c>
      <c r="N829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829">
        <v>-0.33828637</v>
      </c>
      <c r="P829">
        <v>6.6666664999999998</v>
      </c>
      <c r="Q829">
        <f>ROUND(Table1[[#This Row],[dass21_raw_score]],0)</f>
        <v>7</v>
      </c>
      <c r="R829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829">
        <v>-0.44448197</v>
      </c>
      <c r="T829">
        <v>0.65042794000000004</v>
      </c>
      <c r="U829">
        <v>3000</v>
      </c>
      <c r="V829" s="1">
        <f>ROUND(Table1[[#This Row],[fmpce]],0)</f>
        <v>3000</v>
      </c>
      <c r="W829">
        <v>40.813994999999998</v>
      </c>
      <c r="X829" s="4">
        <f>Table1[[#This Row],[mpce]]*89</f>
        <v>3632.4455549999998</v>
      </c>
      <c r="Y829" s="2" t="s">
        <v>32</v>
      </c>
      <c r="Z829" s="3">
        <f>VLOOKUP(Y829, rmpce_reference!$B$1:$D$7,3,FALSE) * 89</f>
        <v>4450</v>
      </c>
      <c r="AA829" s="1" t="str">
        <f>IF(Table1[rmpce_inr]&lt;=rmpce_reference!$F$2, "Low Income", IF(Table1[rmpce_inr]&lt;=rmpce_reference!$F$3, "Middle Income", "High Income"))</f>
        <v>Low Income</v>
      </c>
    </row>
    <row r="830" spans="1:27" x14ac:dyDescent="0.25">
      <c r="A830">
        <v>4168</v>
      </c>
      <c r="B830" t="s">
        <v>42</v>
      </c>
      <c r="C830" t="s">
        <v>33</v>
      </c>
      <c r="D830">
        <v>30</v>
      </c>
      <c r="E830" t="s">
        <v>25</v>
      </c>
      <c r="F830" t="s">
        <v>26</v>
      </c>
      <c r="G830">
        <v>4</v>
      </c>
      <c r="H830" s="1" t="str">
        <f>IF(Table1[[#This Row],[anxiety_score]]&lt;=10, "Normal", IF(Table1[[#This Row],[anxiety_score]]&lt;=20, "Moderate", IF(Table1[[#This Row],[anxiety_score]]&lt;=30, "Severe", "Extremely Severe")))</f>
        <v>Normal</v>
      </c>
      <c r="I830">
        <v>-0.61133329999999997</v>
      </c>
      <c r="J830">
        <v>4</v>
      </c>
      <c r="K830" s="1" t="str">
        <f>IF(Table1[[#This Row],[stress_score]]&lt;=10, "Normal", IF(Table1[[#This Row],[stress_score]]&lt;=20, "Moderate", IF(Table1[[#This Row],[stress_score]]&lt;=30, "Severe", "Extremely Severe")))</f>
        <v>Normal</v>
      </c>
      <c r="L830">
        <v>-0.77314866000000004</v>
      </c>
      <c r="M830">
        <v>0</v>
      </c>
      <c r="N830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830">
        <v>-1.1088359000000001</v>
      </c>
      <c r="P830">
        <v>2.6666666999999999</v>
      </c>
      <c r="Q830">
        <f>ROUND(Table1[[#This Row],[dass21_raw_score]],0)</f>
        <v>3</v>
      </c>
      <c r="R830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830">
        <v>-0.83110594999999998</v>
      </c>
      <c r="T830">
        <v>0.26380396</v>
      </c>
      <c r="U830">
        <v>3000</v>
      </c>
      <c r="V830" s="1">
        <f>ROUND(Table1[[#This Row],[fmpce]],0)</f>
        <v>3000</v>
      </c>
      <c r="W830">
        <v>40.813994999999998</v>
      </c>
      <c r="X830" s="4">
        <f>Table1[[#This Row],[mpce]]*89</f>
        <v>3632.4455549999998</v>
      </c>
      <c r="Y830" s="2" t="s">
        <v>32</v>
      </c>
      <c r="Z830" s="3">
        <f>VLOOKUP(Y830, rmpce_reference!$B$1:$D$7,3,FALSE) * 89</f>
        <v>4450</v>
      </c>
      <c r="AA830" s="1" t="str">
        <f>IF(Table1[rmpce_inr]&lt;=rmpce_reference!$F$2, "Low Income", IF(Table1[rmpce_inr]&lt;=rmpce_reference!$F$3, "Middle Income", "High Income"))</f>
        <v>Low Income</v>
      </c>
    </row>
    <row r="831" spans="1:27" x14ac:dyDescent="0.25">
      <c r="A831">
        <v>4169</v>
      </c>
      <c r="B831" t="s">
        <v>42</v>
      </c>
      <c r="C831" t="s">
        <v>29</v>
      </c>
      <c r="D831">
        <v>34</v>
      </c>
      <c r="E831" t="s">
        <v>25</v>
      </c>
      <c r="F831" t="s">
        <v>26</v>
      </c>
      <c r="G831">
        <v>4</v>
      </c>
      <c r="H831" s="1" t="str">
        <f>IF(Table1[[#This Row],[anxiety_score]]&lt;=10, "Normal", IF(Table1[[#This Row],[anxiety_score]]&lt;=20, "Moderate", IF(Table1[[#This Row],[anxiety_score]]&lt;=30, "Severe", "Extremely Severe")))</f>
        <v>Normal</v>
      </c>
      <c r="I831">
        <v>-0.61133329999999997</v>
      </c>
      <c r="J831">
        <v>2</v>
      </c>
      <c r="K831" s="1" t="str">
        <f>IF(Table1[[#This Row],[stress_score]]&lt;=10, "Normal", IF(Table1[[#This Row],[stress_score]]&lt;=20, "Moderate", IF(Table1[[#This Row],[stress_score]]&lt;=30, "Severe", "Extremely Severe")))</f>
        <v>Normal</v>
      </c>
      <c r="L831">
        <v>-0.9678099</v>
      </c>
      <c r="M831">
        <v>0</v>
      </c>
      <c r="N831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831">
        <v>-1.1088359000000001</v>
      </c>
      <c r="P831">
        <v>2</v>
      </c>
      <c r="Q831">
        <f>ROUND(Table1[[#This Row],[dass21_raw_score]],0)</f>
        <v>2</v>
      </c>
      <c r="R831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831">
        <v>-0.89599304999999996</v>
      </c>
      <c r="T831">
        <v>0.19891685000000001</v>
      </c>
      <c r="U831">
        <v>3750</v>
      </c>
      <c r="V831" s="1">
        <f>ROUND(Table1[[#This Row],[fmpce]],0)</f>
        <v>3750</v>
      </c>
      <c r="W831">
        <v>51.017493999999999</v>
      </c>
      <c r="X831" s="4">
        <f>Table1[[#This Row],[mpce]]*89</f>
        <v>4540.5569660000001</v>
      </c>
      <c r="Y831" s="2" t="s">
        <v>32</v>
      </c>
      <c r="Z831" s="3">
        <f>VLOOKUP(Y831, rmpce_reference!$B$1:$D$7,3,FALSE) * 89</f>
        <v>4450</v>
      </c>
      <c r="AA831" s="1" t="str">
        <f>IF(Table1[rmpce_inr]&lt;=rmpce_reference!$F$2, "Low Income", IF(Table1[rmpce_inr]&lt;=rmpce_reference!$F$3, "Middle Income", "High Income"))</f>
        <v>Low Income</v>
      </c>
    </row>
    <row r="832" spans="1:27" x14ac:dyDescent="0.25">
      <c r="A832">
        <v>4170</v>
      </c>
      <c r="B832" t="s">
        <v>42</v>
      </c>
      <c r="C832" t="s">
        <v>29</v>
      </c>
      <c r="D832">
        <v>33</v>
      </c>
      <c r="E832" t="s">
        <v>25</v>
      </c>
      <c r="F832" t="s">
        <v>26</v>
      </c>
      <c r="G832">
        <v>4</v>
      </c>
      <c r="H832" s="1" t="str">
        <f>IF(Table1[[#This Row],[anxiety_score]]&lt;=10, "Normal", IF(Table1[[#This Row],[anxiety_score]]&lt;=20, "Moderate", IF(Table1[[#This Row],[anxiety_score]]&lt;=30, "Severe", "Extremely Severe")))</f>
        <v>Normal</v>
      </c>
      <c r="I832">
        <v>-0.61133329999999997</v>
      </c>
      <c r="J832">
        <v>6</v>
      </c>
      <c r="K832" s="1" t="str">
        <f>IF(Table1[[#This Row],[stress_score]]&lt;=10, "Normal", IF(Table1[[#This Row],[stress_score]]&lt;=20, "Moderate", IF(Table1[[#This Row],[stress_score]]&lt;=30, "Severe", "Extremely Severe")))</f>
        <v>Normal</v>
      </c>
      <c r="L832">
        <v>-0.57848745999999995</v>
      </c>
      <c r="M832">
        <v>2</v>
      </c>
      <c r="N832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832">
        <v>-0.91619854999999994</v>
      </c>
      <c r="P832">
        <v>4</v>
      </c>
      <c r="Q832">
        <f>ROUND(Table1[[#This Row],[dass21_raw_score]],0)</f>
        <v>4</v>
      </c>
      <c r="R832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832">
        <v>-0.70200646</v>
      </c>
      <c r="T832">
        <v>0.39290344999999999</v>
      </c>
      <c r="U832">
        <v>5000</v>
      </c>
      <c r="V832" s="1">
        <f>ROUND(Table1[[#This Row],[fmpce]],0)</f>
        <v>5000</v>
      </c>
      <c r="W832">
        <v>68.023319999999998</v>
      </c>
      <c r="X832" s="4">
        <f>Table1[[#This Row],[mpce]]*89</f>
        <v>6054.0754799999995</v>
      </c>
      <c r="Y832" s="2" t="s">
        <v>28</v>
      </c>
      <c r="Z832" s="3">
        <f>VLOOKUP(Y832, rmpce_reference!$B$1:$D$7,3,FALSE) * 89</f>
        <v>6230</v>
      </c>
      <c r="AA832" s="1" t="str">
        <f>IF(Table1[rmpce_inr]&lt;=rmpce_reference!$F$2, "Low Income", IF(Table1[rmpce_inr]&lt;=rmpce_reference!$F$3, "Middle Income", "High Income"))</f>
        <v>Middle Income</v>
      </c>
    </row>
    <row r="833" spans="1:27" x14ac:dyDescent="0.25">
      <c r="A833">
        <v>4171</v>
      </c>
      <c r="B833" t="s">
        <v>42</v>
      </c>
      <c r="C833" t="s">
        <v>29</v>
      </c>
      <c r="D833">
        <v>32</v>
      </c>
      <c r="E833" t="s">
        <v>25</v>
      </c>
      <c r="F833" t="s">
        <v>26</v>
      </c>
      <c r="G833">
        <v>2</v>
      </c>
      <c r="H833" s="1" t="str">
        <f>IF(Table1[[#This Row],[anxiety_score]]&lt;=10, "Normal", IF(Table1[[#This Row],[anxiety_score]]&lt;=20, "Moderate", IF(Table1[[#This Row],[anxiety_score]]&lt;=30, "Severe", "Extremely Severe")))</f>
        <v>Normal</v>
      </c>
      <c r="I833">
        <v>-0.81237789999999999</v>
      </c>
      <c r="J833">
        <v>6</v>
      </c>
      <c r="K833" s="1" t="str">
        <f>IF(Table1[[#This Row],[stress_score]]&lt;=10, "Normal", IF(Table1[[#This Row],[stress_score]]&lt;=20, "Moderate", IF(Table1[[#This Row],[stress_score]]&lt;=30, "Severe", "Extremely Severe")))</f>
        <v>Normal</v>
      </c>
      <c r="L833">
        <v>-0.57848745999999995</v>
      </c>
      <c r="M833">
        <v>2</v>
      </c>
      <c r="N833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833">
        <v>-0.91619854999999994</v>
      </c>
      <c r="P833">
        <v>3.3333333000000001</v>
      </c>
      <c r="Q833">
        <f>ROUND(Table1[[#This Row],[dass21_raw_score]],0)</f>
        <v>3</v>
      </c>
      <c r="R833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833">
        <v>-0.76902132999999995</v>
      </c>
      <c r="T833">
        <v>0.32588856999999999</v>
      </c>
      <c r="U833">
        <v>5000</v>
      </c>
      <c r="V833" s="1">
        <f>ROUND(Table1[[#This Row],[fmpce]],0)</f>
        <v>5000</v>
      </c>
      <c r="W833">
        <v>68.023319999999998</v>
      </c>
      <c r="X833" s="4">
        <f>Table1[[#This Row],[mpce]]*89</f>
        <v>6054.0754799999995</v>
      </c>
      <c r="Y833" s="2" t="s">
        <v>28</v>
      </c>
      <c r="Z833" s="3">
        <f>VLOOKUP(Y833, rmpce_reference!$B$1:$D$7,3,FALSE) * 89</f>
        <v>6230</v>
      </c>
      <c r="AA833" s="1" t="str">
        <f>IF(Table1[rmpce_inr]&lt;=rmpce_reference!$F$2, "Low Income", IF(Table1[rmpce_inr]&lt;=rmpce_reference!$F$3, "Middle Income", "High Income"))</f>
        <v>Middle Income</v>
      </c>
    </row>
    <row r="834" spans="1:27" x14ac:dyDescent="0.25">
      <c r="A834">
        <v>4172</v>
      </c>
      <c r="B834" t="s">
        <v>42</v>
      </c>
      <c r="C834" t="s">
        <v>29</v>
      </c>
      <c r="D834">
        <v>33</v>
      </c>
      <c r="E834" t="s">
        <v>22</v>
      </c>
      <c r="F834" t="s">
        <v>30</v>
      </c>
      <c r="G834">
        <v>6</v>
      </c>
      <c r="H834" s="1" t="str">
        <f>IF(Table1[[#This Row],[anxiety_score]]&lt;=10, "Normal", IF(Table1[[#This Row],[anxiety_score]]&lt;=20, "Moderate", IF(Table1[[#This Row],[anxiety_score]]&lt;=30, "Severe", "Extremely Severe")))</f>
        <v>Normal</v>
      </c>
      <c r="I834">
        <v>-0.41028870000000001</v>
      </c>
      <c r="J834">
        <v>4</v>
      </c>
      <c r="K834" s="1" t="str">
        <f>IF(Table1[[#This Row],[stress_score]]&lt;=10, "Normal", IF(Table1[[#This Row],[stress_score]]&lt;=20, "Moderate", IF(Table1[[#This Row],[stress_score]]&lt;=30, "Severe", "Extremely Severe")))</f>
        <v>Normal</v>
      </c>
      <c r="L834">
        <v>-0.77314866000000004</v>
      </c>
      <c r="M834">
        <v>8</v>
      </c>
      <c r="N834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834">
        <v>-0.33828637</v>
      </c>
      <c r="P834">
        <v>6</v>
      </c>
      <c r="Q834">
        <f>ROUND(Table1[[#This Row],[dass21_raw_score]],0)</f>
        <v>6</v>
      </c>
      <c r="R834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834">
        <v>-0.50724124999999998</v>
      </c>
      <c r="T834">
        <v>0.58766865999999995</v>
      </c>
      <c r="U834">
        <v>5000</v>
      </c>
      <c r="V834" s="1">
        <f>ROUND(Table1[[#This Row],[fmpce]],0)</f>
        <v>5000</v>
      </c>
      <c r="W834">
        <v>68.023319999999998</v>
      </c>
      <c r="X834" s="4">
        <f>Table1[[#This Row],[mpce]]*89</f>
        <v>6054.0754799999995</v>
      </c>
      <c r="Y834" s="2" t="s">
        <v>28</v>
      </c>
      <c r="Z834" s="3">
        <f>VLOOKUP(Y834, rmpce_reference!$B$1:$D$7,3,FALSE) * 89</f>
        <v>6230</v>
      </c>
      <c r="AA834" s="1" t="str">
        <f>IF(Table1[rmpce_inr]&lt;=rmpce_reference!$F$2, "Low Income", IF(Table1[rmpce_inr]&lt;=rmpce_reference!$F$3, "Middle Income", "High Income"))</f>
        <v>Middle Income</v>
      </c>
    </row>
    <row r="835" spans="1:27" x14ac:dyDescent="0.25">
      <c r="A835">
        <v>4173</v>
      </c>
      <c r="B835" t="s">
        <v>42</v>
      </c>
      <c r="C835" t="s">
        <v>33</v>
      </c>
      <c r="D835">
        <v>27</v>
      </c>
      <c r="E835" t="s">
        <v>25</v>
      </c>
      <c r="F835" t="s">
        <v>30</v>
      </c>
      <c r="G835">
        <v>8</v>
      </c>
      <c r="H835" s="1" t="str">
        <f>IF(Table1[[#This Row],[anxiety_score]]&lt;=10, "Normal", IF(Table1[[#This Row],[anxiety_score]]&lt;=20, "Moderate", IF(Table1[[#This Row],[anxiety_score]]&lt;=30, "Severe", "Extremely Severe")))</f>
        <v>Normal</v>
      </c>
      <c r="I835">
        <v>-0.20924408999999999</v>
      </c>
      <c r="J835">
        <v>4</v>
      </c>
      <c r="K835" s="1" t="str">
        <f>IF(Table1[[#This Row],[stress_score]]&lt;=10, "Normal", IF(Table1[[#This Row],[stress_score]]&lt;=20, "Moderate", IF(Table1[[#This Row],[stress_score]]&lt;=30, "Severe", "Extremely Severe")))</f>
        <v>Normal</v>
      </c>
      <c r="L835">
        <v>-0.77314866000000004</v>
      </c>
      <c r="M835">
        <v>4</v>
      </c>
      <c r="N835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835">
        <v>-0.72356116999999998</v>
      </c>
      <c r="P835">
        <v>5.3333335000000002</v>
      </c>
      <c r="Q835">
        <f>ROUND(Table1[[#This Row],[dass21_raw_score]],0)</f>
        <v>5</v>
      </c>
      <c r="R835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835">
        <v>-0.56865129999999997</v>
      </c>
      <c r="T835">
        <v>0.52625860000000002</v>
      </c>
      <c r="U835">
        <v>5000</v>
      </c>
      <c r="V835" s="1">
        <f>ROUND(Table1[[#This Row],[fmpce]],0)</f>
        <v>5000</v>
      </c>
      <c r="W835">
        <v>68.023319999999998</v>
      </c>
      <c r="X835" s="4">
        <f>Table1[[#This Row],[mpce]]*89</f>
        <v>6054.0754799999995</v>
      </c>
      <c r="Y835" s="2" t="s">
        <v>28</v>
      </c>
      <c r="Z835" s="3">
        <f>VLOOKUP(Y835, rmpce_reference!$B$1:$D$7,3,FALSE) * 89</f>
        <v>6230</v>
      </c>
      <c r="AA835" s="1" t="str">
        <f>IF(Table1[rmpce_inr]&lt;=rmpce_reference!$F$2, "Low Income", IF(Table1[rmpce_inr]&lt;=rmpce_reference!$F$3, "Middle Income", "High Income"))</f>
        <v>Middle Income</v>
      </c>
    </row>
    <row r="836" spans="1:27" x14ac:dyDescent="0.25">
      <c r="A836">
        <v>4174</v>
      </c>
      <c r="B836" t="s">
        <v>42</v>
      </c>
      <c r="C836" t="s">
        <v>29</v>
      </c>
      <c r="D836">
        <v>35</v>
      </c>
      <c r="E836" t="s">
        <v>25</v>
      </c>
      <c r="F836" t="s">
        <v>26</v>
      </c>
      <c r="G836">
        <v>12</v>
      </c>
      <c r="H836" s="1" t="str">
        <f>IF(Table1[[#This Row],[anxiety_score]]&lt;=10, "Normal", IF(Table1[[#This Row],[anxiety_score]]&lt;=20, "Moderate", IF(Table1[[#This Row],[anxiety_score]]&lt;=30, "Severe", "Extremely Severe")))</f>
        <v>Moderate</v>
      </c>
      <c r="I836">
        <v>0.19284514999999999</v>
      </c>
      <c r="J836">
        <v>10</v>
      </c>
      <c r="K836" s="1" t="str">
        <f>IF(Table1[[#This Row],[stress_score]]&lt;=10, "Normal", IF(Table1[[#This Row],[stress_score]]&lt;=20, "Moderate", IF(Table1[[#This Row],[stress_score]]&lt;=30, "Severe", "Extremely Severe")))</f>
        <v>Normal</v>
      </c>
      <c r="L836">
        <v>-0.18916494</v>
      </c>
      <c r="M836">
        <v>6</v>
      </c>
      <c r="N836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836">
        <v>-0.53092379999999995</v>
      </c>
      <c r="P836">
        <v>9.3333329999999997</v>
      </c>
      <c r="Q836">
        <f>ROUND(Table1[[#This Row],[dass21_raw_score]],0)</f>
        <v>9</v>
      </c>
      <c r="R836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836">
        <v>-0.17574786000000001</v>
      </c>
      <c r="T836">
        <v>0.91916202999999996</v>
      </c>
      <c r="U836">
        <v>8333.3330000000005</v>
      </c>
      <c r="V836" s="1">
        <f>ROUND(Table1[[#This Row],[fmpce]],0)</f>
        <v>8333</v>
      </c>
      <c r="W836">
        <v>113.37220000000001</v>
      </c>
      <c r="X836" s="4">
        <f>Table1[[#This Row],[mpce]]*89</f>
        <v>10090.1258</v>
      </c>
      <c r="Y836" s="2" t="s">
        <v>35</v>
      </c>
      <c r="Z836" s="3">
        <f>VLOOKUP(Y836, rmpce_reference!$B$1:$D$7,3,FALSE) * 89</f>
        <v>9790</v>
      </c>
      <c r="AA836" s="1" t="str">
        <f>IF(Table1[rmpce_inr]&lt;=rmpce_reference!$F$2, "Low Income", IF(Table1[rmpce_inr]&lt;=rmpce_reference!$F$3, "Middle Income", "High Income"))</f>
        <v>High Income</v>
      </c>
    </row>
    <row r="837" spans="1:27" x14ac:dyDescent="0.25">
      <c r="A837">
        <v>4175</v>
      </c>
      <c r="B837" t="s">
        <v>42</v>
      </c>
      <c r="C837" t="s">
        <v>29</v>
      </c>
      <c r="D837">
        <v>37</v>
      </c>
      <c r="E837" t="s">
        <v>25</v>
      </c>
      <c r="F837" t="s">
        <v>30</v>
      </c>
      <c r="G837">
        <v>16</v>
      </c>
      <c r="H837" s="1" t="str">
        <f>IF(Table1[[#This Row],[anxiety_score]]&lt;=10, "Normal", IF(Table1[[#This Row],[anxiety_score]]&lt;=20, "Moderate", IF(Table1[[#This Row],[anxiety_score]]&lt;=30, "Severe", "Extremely Severe")))</f>
        <v>Moderate</v>
      </c>
      <c r="I837">
        <v>0.59493434000000001</v>
      </c>
      <c r="J837">
        <v>4</v>
      </c>
      <c r="K837" s="1" t="str">
        <f>IF(Table1[[#This Row],[stress_score]]&lt;=10, "Normal", IF(Table1[[#This Row],[stress_score]]&lt;=20, "Moderate", IF(Table1[[#This Row],[stress_score]]&lt;=30, "Severe", "Extremely Severe")))</f>
        <v>Normal</v>
      </c>
      <c r="L837">
        <v>-0.77314866000000004</v>
      </c>
      <c r="M837">
        <v>10</v>
      </c>
      <c r="N837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837">
        <v>-0.14564899000000001</v>
      </c>
      <c r="P837">
        <v>10</v>
      </c>
      <c r="Q837">
        <f>ROUND(Table1[[#This Row],[dass21_raw_score]],0)</f>
        <v>10</v>
      </c>
      <c r="R837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837">
        <v>-0.107954435</v>
      </c>
      <c r="T837">
        <v>0.98695546000000001</v>
      </c>
      <c r="U837">
        <v>4000</v>
      </c>
      <c r="V837" s="1">
        <f>ROUND(Table1[[#This Row],[fmpce]],0)</f>
        <v>4000</v>
      </c>
      <c r="W837">
        <v>54.418660000000003</v>
      </c>
      <c r="X837" s="4">
        <f>Table1[[#This Row],[mpce]]*89</f>
        <v>4843.2607400000006</v>
      </c>
      <c r="Y837" s="2" t="s">
        <v>32</v>
      </c>
      <c r="Z837" s="3">
        <f>VLOOKUP(Y837, rmpce_reference!$B$1:$D$7,3,FALSE) * 89</f>
        <v>4450</v>
      </c>
      <c r="AA837" s="1" t="str">
        <f>IF(Table1[rmpce_inr]&lt;=rmpce_reference!$F$2, "Low Income", IF(Table1[rmpce_inr]&lt;=rmpce_reference!$F$3, "Middle Income", "High Income"))</f>
        <v>Low Income</v>
      </c>
    </row>
    <row r="838" spans="1:27" x14ac:dyDescent="0.25">
      <c r="A838">
        <v>4176</v>
      </c>
      <c r="B838" t="s">
        <v>42</v>
      </c>
      <c r="C838" t="s">
        <v>21</v>
      </c>
      <c r="D838">
        <v>50</v>
      </c>
      <c r="E838" t="s">
        <v>25</v>
      </c>
      <c r="F838" t="s">
        <v>26</v>
      </c>
      <c r="G838">
        <v>14</v>
      </c>
      <c r="H838" s="1" t="str">
        <f>IF(Table1[[#This Row],[anxiety_score]]&lt;=10, "Normal", IF(Table1[[#This Row],[anxiety_score]]&lt;=20, "Moderate", IF(Table1[[#This Row],[anxiety_score]]&lt;=30, "Severe", "Extremely Severe")))</f>
        <v>Moderate</v>
      </c>
      <c r="I838">
        <v>0.39388975999999998</v>
      </c>
      <c r="J838">
        <v>10</v>
      </c>
      <c r="K838" s="1" t="str">
        <f>IF(Table1[[#This Row],[stress_score]]&lt;=10, "Normal", IF(Table1[[#This Row],[stress_score]]&lt;=20, "Moderate", IF(Table1[[#This Row],[stress_score]]&lt;=30, "Severe", "Extremely Severe")))</f>
        <v>Normal</v>
      </c>
      <c r="L838">
        <v>-0.18916494</v>
      </c>
      <c r="M838">
        <v>12</v>
      </c>
      <c r="N838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838">
        <v>4.6988415999999998E-2</v>
      </c>
      <c r="P838">
        <v>12</v>
      </c>
      <c r="Q838">
        <f>ROUND(Table1[[#This Row],[dass21_raw_score]],0)</f>
        <v>12</v>
      </c>
      <c r="R838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838">
        <v>8.3904414999999996E-2</v>
      </c>
      <c r="T838">
        <v>1.1788143</v>
      </c>
      <c r="U838">
        <v>6000</v>
      </c>
      <c r="V838" s="1">
        <f>ROUND(Table1[[#This Row],[fmpce]],0)</f>
        <v>6000</v>
      </c>
      <c r="W838">
        <v>81.627989999999997</v>
      </c>
      <c r="X838" s="4">
        <f>Table1[[#This Row],[mpce]]*89</f>
        <v>7264.8911099999996</v>
      </c>
      <c r="Y838" s="2" t="s">
        <v>31</v>
      </c>
      <c r="Z838" s="3">
        <f>VLOOKUP(Y838, rmpce_reference!$B$1:$D$7,3,FALSE) * 89</f>
        <v>8010</v>
      </c>
      <c r="AA838" s="1" t="str">
        <f>IF(Table1[rmpce_inr]&lt;=rmpce_reference!$F$2, "Low Income", IF(Table1[rmpce_inr]&lt;=rmpce_reference!$F$3, "Middle Income", "High Income"))</f>
        <v>High Income</v>
      </c>
    </row>
    <row r="839" spans="1:27" x14ac:dyDescent="0.25">
      <c r="A839">
        <v>4177</v>
      </c>
      <c r="B839" t="s">
        <v>42</v>
      </c>
      <c r="C839" t="s">
        <v>36</v>
      </c>
      <c r="D839">
        <v>55</v>
      </c>
      <c r="E839" t="s">
        <v>22</v>
      </c>
      <c r="F839" t="s">
        <v>23</v>
      </c>
      <c r="G839">
        <v>16</v>
      </c>
      <c r="H839" s="1" t="str">
        <f>IF(Table1[[#This Row],[anxiety_score]]&lt;=10, "Normal", IF(Table1[[#This Row],[anxiety_score]]&lt;=20, "Moderate", IF(Table1[[#This Row],[anxiety_score]]&lt;=30, "Severe", "Extremely Severe")))</f>
        <v>Moderate</v>
      </c>
      <c r="I839">
        <v>0.59493434000000001</v>
      </c>
      <c r="J839">
        <v>2</v>
      </c>
      <c r="K839" s="1" t="str">
        <f>IF(Table1[[#This Row],[stress_score]]&lt;=10, "Normal", IF(Table1[[#This Row],[stress_score]]&lt;=20, "Moderate", IF(Table1[[#This Row],[stress_score]]&lt;=30, "Severe", "Extremely Severe")))</f>
        <v>Normal</v>
      </c>
      <c r="L839">
        <v>-0.9678099</v>
      </c>
      <c r="M839">
        <v>6</v>
      </c>
      <c r="N839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839">
        <v>-0.53092379999999995</v>
      </c>
      <c r="P839">
        <v>8</v>
      </c>
      <c r="Q839">
        <f>ROUND(Table1[[#This Row],[dass21_raw_score]],0)</f>
        <v>8</v>
      </c>
      <c r="R839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839">
        <v>-0.30126646000000001</v>
      </c>
      <c r="T839">
        <v>0.79364349999999995</v>
      </c>
      <c r="U839">
        <v>10000</v>
      </c>
      <c r="V839" s="1">
        <f>ROUND(Table1[[#This Row],[fmpce]],0)</f>
        <v>10000</v>
      </c>
      <c r="W839">
        <v>136.04665</v>
      </c>
      <c r="X839" s="4">
        <f>Table1[[#This Row],[mpce]]*89</f>
        <v>12108.15185</v>
      </c>
      <c r="Y839" s="2" t="s">
        <v>35</v>
      </c>
      <c r="Z839" s="3">
        <f>VLOOKUP(Y839, rmpce_reference!$B$1:$D$7,3,FALSE) * 89</f>
        <v>9790</v>
      </c>
      <c r="AA839" s="1" t="str">
        <f>IF(Table1[rmpce_inr]&lt;=rmpce_reference!$F$2, "Low Income", IF(Table1[rmpce_inr]&lt;=rmpce_reference!$F$3, "Middle Income", "High Income"))</f>
        <v>High Income</v>
      </c>
    </row>
    <row r="840" spans="1:27" x14ac:dyDescent="0.25">
      <c r="A840">
        <v>4178</v>
      </c>
      <c r="B840" t="s">
        <v>42</v>
      </c>
      <c r="C840" t="s">
        <v>21</v>
      </c>
      <c r="D840">
        <v>50</v>
      </c>
      <c r="E840" t="s">
        <v>22</v>
      </c>
      <c r="F840" t="s">
        <v>23</v>
      </c>
      <c r="G840">
        <v>14</v>
      </c>
      <c r="H840" s="1" t="str">
        <f>IF(Table1[[#This Row],[anxiety_score]]&lt;=10, "Normal", IF(Table1[[#This Row],[anxiety_score]]&lt;=20, "Moderate", IF(Table1[[#This Row],[anxiety_score]]&lt;=30, "Severe", "Extremely Severe")))</f>
        <v>Moderate</v>
      </c>
      <c r="I840">
        <v>0.39388975999999998</v>
      </c>
      <c r="J840">
        <v>4</v>
      </c>
      <c r="K840" s="1" t="str">
        <f>IF(Table1[[#This Row],[stress_score]]&lt;=10, "Normal", IF(Table1[[#This Row],[stress_score]]&lt;=20, "Moderate", IF(Table1[[#This Row],[stress_score]]&lt;=30, "Severe", "Extremely Severe")))</f>
        <v>Normal</v>
      </c>
      <c r="L840">
        <v>-0.77314866000000004</v>
      </c>
      <c r="M840">
        <v>6</v>
      </c>
      <c r="N840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840">
        <v>-0.53092379999999995</v>
      </c>
      <c r="P840">
        <v>8</v>
      </c>
      <c r="Q840">
        <f>ROUND(Table1[[#This Row],[dass21_raw_score]],0)</f>
        <v>8</v>
      </c>
      <c r="R840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840">
        <v>-0.30339422999999999</v>
      </c>
      <c r="T840">
        <v>0.79151570000000004</v>
      </c>
      <c r="U840">
        <v>12500</v>
      </c>
      <c r="V840" s="1">
        <f>ROUND(Table1[[#This Row],[fmpce]],0)</f>
        <v>12500</v>
      </c>
      <c r="W840">
        <v>170.0583</v>
      </c>
      <c r="X840" s="4">
        <f>Table1[[#This Row],[mpce]]*89</f>
        <v>15135.188700000001</v>
      </c>
      <c r="Y840" s="2" t="s">
        <v>35</v>
      </c>
      <c r="Z840" s="3">
        <f>VLOOKUP(Y840, rmpce_reference!$B$1:$D$7,3,FALSE) * 89</f>
        <v>9790</v>
      </c>
      <c r="AA840" s="1" t="str">
        <f>IF(Table1[rmpce_inr]&lt;=rmpce_reference!$F$2, "Low Income", IF(Table1[rmpce_inr]&lt;=rmpce_reference!$F$3, "Middle Income", "High Income"))</f>
        <v>High Income</v>
      </c>
    </row>
    <row r="841" spans="1:27" x14ac:dyDescent="0.25">
      <c r="A841">
        <v>4179</v>
      </c>
      <c r="B841" t="s">
        <v>42</v>
      </c>
      <c r="C841" t="s">
        <v>29</v>
      </c>
      <c r="D841">
        <v>40</v>
      </c>
      <c r="E841" t="s">
        <v>22</v>
      </c>
      <c r="F841" t="s">
        <v>23</v>
      </c>
      <c r="G841">
        <v>10</v>
      </c>
      <c r="H841" s="1" t="str">
        <f>IF(Table1[[#This Row],[anxiety_score]]&lt;=10, "Normal", IF(Table1[[#This Row],[anxiety_score]]&lt;=20, "Moderate", IF(Table1[[#This Row],[anxiety_score]]&lt;=30, "Severe", "Extremely Severe")))</f>
        <v>Normal</v>
      </c>
      <c r="I841">
        <v>-8.1994660000000007E-3</v>
      </c>
      <c r="J841">
        <v>8</v>
      </c>
      <c r="K841" s="1" t="str">
        <f>IF(Table1[[#This Row],[stress_score]]&lt;=10, "Normal", IF(Table1[[#This Row],[stress_score]]&lt;=20, "Moderate", IF(Table1[[#This Row],[stress_score]]&lt;=30, "Severe", "Extremely Severe")))</f>
        <v>Normal</v>
      </c>
      <c r="L841">
        <v>-0.38382620000000001</v>
      </c>
      <c r="M841">
        <v>8</v>
      </c>
      <c r="N841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841">
        <v>-0.33828637</v>
      </c>
      <c r="P841">
        <v>8.6666670000000003</v>
      </c>
      <c r="Q841">
        <f>ROUND(Table1[[#This Row],[dass21_raw_score]],0)</f>
        <v>9</v>
      </c>
      <c r="R841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841">
        <v>-0.24343735</v>
      </c>
      <c r="T841">
        <v>0.85147256000000004</v>
      </c>
      <c r="U841">
        <v>10000</v>
      </c>
      <c r="V841" s="1">
        <f>ROUND(Table1[[#This Row],[fmpce]],0)</f>
        <v>10000</v>
      </c>
      <c r="W841">
        <v>136.04665</v>
      </c>
      <c r="X841" s="4">
        <f>Table1[[#This Row],[mpce]]*89</f>
        <v>12108.15185</v>
      </c>
      <c r="Y841" s="2" t="s">
        <v>35</v>
      </c>
      <c r="Z841" s="3">
        <f>VLOOKUP(Y841, rmpce_reference!$B$1:$D$7,3,FALSE) * 89</f>
        <v>9790</v>
      </c>
      <c r="AA841" s="1" t="str">
        <f>IF(Table1[rmpce_inr]&lt;=rmpce_reference!$F$2, "Low Income", IF(Table1[rmpce_inr]&lt;=rmpce_reference!$F$3, "Middle Income", "High Income"))</f>
        <v>High Income</v>
      </c>
    </row>
    <row r="842" spans="1:27" x14ac:dyDescent="0.25">
      <c r="A842">
        <v>4180</v>
      </c>
      <c r="B842" t="s">
        <v>42</v>
      </c>
      <c r="C842" t="s">
        <v>36</v>
      </c>
      <c r="D842">
        <v>59</v>
      </c>
      <c r="E842" t="s">
        <v>22</v>
      </c>
      <c r="F842" t="s">
        <v>23</v>
      </c>
      <c r="G842">
        <v>6</v>
      </c>
      <c r="H842" s="1" t="str">
        <f>IF(Table1[[#This Row],[anxiety_score]]&lt;=10, "Normal", IF(Table1[[#This Row],[anxiety_score]]&lt;=20, "Moderate", IF(Table1[[#This Row],[anxiety_score]]&lt;=30, "Severe", "Extremely Severe")))</f>
        <v>Normal</v>
      </c>
      <c r="I842">
        <v>-0.41028870000000001</v>
      </c>
      <c r="J842">
        <v>2</v>
      </c>
      <c r="K842" s="1" t="str">
        <f>IF(Table1[[#This Row],[stress_score]]&lt;=10, "Normal", IF(Table1[[#This Row],[stress_score]]&lt;=20, "Moderate", IF(Table1[[#This Row],[stress_score]]&lt;=30, "Severe", "Extremely Severe")))</f>
        <v>Normal</v>
      </c>
      <c r="L842">
        <v>-0.9678099</v>
      </c>
      <c r="M842">
        <v>6</v>
      </c>
      <c r="N842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842">
        <v>-0.53092379999999995</v>
      </c>
      <c r="P842">
        <v>4.6666664999999998</v>
      </c>
      <c r="Q842">
        <f>ROUND(Table1[[#This Row],[dass21_raw_score]],0)</f>
        <v>5</v>
      </c>
      <c r="R842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842">
        <v>-0.63634080000000004</v>
      </c>
      <c r="T842">
        <v>0.45856910000000001</v>
      </c>
      <c r="U842">
        <v>3000</v>
      </c>
      <c r="V842" s="1">
        <f>ROUND(Table1[[#This Row],[fmpce]],0)</f>
        <v>3000</v>
      </c>
      <c r="W842">
        <v>40.813994999999998</v>
      </c>
      <c r="X842" s="4">
        <f>Table1[[#This Row],[mpce]]*89</f>
        <v>3632.4455549999998</v>
      </c>
      <c r="Y842" s="2" t="s">
        <v>32</v>
      </c>
      <c r="Z842" s="3">
        <f>VLOOKUP(Y842, rmpce_reference!$B$1:$D$7,3,FALSE) * 89</f>
        <v>4450</v>
      </c>
      <c r="AA842" s="1" t="str">
        <f>IF(Table1[rmpce_inr]&lt;=rmpce_reference!$F$2, "Low Income", IF(Table1[rmpce_inr]&lt;=rmpce_reference!$F$3, "Middle Income", "High Income"))</f>
        <v>Low Income</v>
      </c>
    </row>
    <row r="843" spans="1:27" x14ac:dyDescent="0.25">
      <c r="A843">
        <v>4181</v>
      </c>
      <c r="B843" t="s">
        <v>42</v>
      </c>
      <c r="C843" t="s">
        <v>29</v>
      </c>
      <c r="D843">
        <v>38</v>
      </c>
      <c r="E843" t="s">
        <v>22</v>
      </c>
      <c r="F843" t="s">
        <v>23</v>
      </c>
      <c r="G843">
        <v>2</v>
      </c>
      <c r="H843" s="1" t="str">
        <f>IF(Table1[[#This Row],[anxiety_score]]&lt;=10, "Normal", IF(Table1[[#This Row],[anxiety_score]]&lt;=20, "Moderate", IF(Table1[[#This Row],[anxiety_score]]&lt;=30, "Severe", "Extremely Severe")))</f>
        <v>Normal</v>
      </c>
      <c r="I843">
        <v>-0.81237789999999999</v>
      </c>
      <c r="J843">
        <v>8</v>
      </c>
      <c r="K843" s="1" t="str">
        <f>IF(Table1[[#This Row],[stress_score]]&lt;=10, "Normal", IF(Table1[[#This Row],[stress_score]]&lt;=20, "Moderate", IF(Table1[[#This Row],[stress_score]]&lt;=30, "Severe", "Extremely Severe")))</f>
        <v>Normal</v>
      </c>
      <c r="L843">
        <v>-0.38382620000000001</v>
      </c>
      <c r="M843">
        <v>4</v>
      </c>
      <c r="N843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843">
        <v>-0.72356116999999998</v>
      </c>
      <c r="P843">
        <v>4.6666664999999998</v>
      </c>
      <c r="Q843">
        <f>ROUND(Table1[[#This Row],[dass21_raw_score]],0)</f>
        <v>5</v>
      </c>
      <c r="R843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843">
        <v>-0.63992179999999999</v>
      </c>
      <c r="T843">
        <v>0.45498812</v>
      </c>
      <c r="U843">
        <v>4166.6665000000003</v>
      </c>
      <c r="V843" s="1">
        <f>ROUND(Table1[[#This Row],[fmpce]],0)</f>
        <v>4167</v>
      </c>
      <c r="W843">
        <v>56.686100000000003</v>
      </c>
      <c r="X843" s="4">
        <f>Table1[[#This Row],[mpce]]*89</f>
        <v>5045.0628999999999</v>
      </c>
      <c r="Y843" s="2" t="s">
        <v>32</v>
      </c>
      <c r="Z843" s="3">
        <f>VLOOKUP(Y843, rmpce_reference!$B$1:$D$7,3,FALSE) * 89</f>
        <v>4450</v>
      </c>
      <c r="AA843" s="1" t="str">
        <f>IF(Table1[rmpce_inr]&lt;=rmpce_reference!$F$2, "Low Income", IF(Table1[rmpce_inr]&lt;=rmpce_reference!$F$3, "Middle Income", "High Income"))</f>
        <v>Low Income</v>
      </c>
    </row>
    <row r="844" spans="1:27" x14ac:dyDescent="0.25">
      <c r="A844">
        <v>4182</v>
      </c>
      <c r="B844" t="s">
        <v>42</v>
      </c>
      <c r="C844" t="s">
        <v>29</v>
      </c>
      <c r="D844">
        <v>40</v>
      </c>
      <c r="E844" t="s">
        <v>22</v>
      </c>
      <c r="F844" t="s">
        <v>37</v>
      </c>
      <c r="G844">
        <v>8</v>
      </c>
      <c r="H844" s="1" t="str">
        <f>IF(Table1[[#This Row],[anxiety_score]]&lt;=10, "Normal", IF(Table1[[#This Row],[anxiety_score]]&lt;=20, "Moderate", IF(Table1[[#This Row],[anxiety_score]]&lt;=30, "Severe", "Extremely Severe")))</f>
        <v>Normal</v>
      </c>
      <c r="I844">
        <v>-0.20924408999999999</v>
      </c>
      <c r="J844">
        <v>8</v>
      </c>
      <c r="K844" s="1" t="str">
        <f>IF(Table1[[#This Row],[stress_score]]&lt;=10, "Normal", IF(Table1[[#This Row],[stress_score]]&lt;=20, "Moderate", IF(Table1[[#This Row],[stress_score]]&lt;=30, "Severe", "Extremely Severe")))</f>
        <v>Normal</v>
      </c>
      <c r="L844">
        <v>-0.38382620000000001</v>
      </c>
      <c r="M844">
        <v>4</v>
      </c>
      <c r="N844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844">
        <v>-0.72356116999999998</v>
      </c>
      <c r="P844">
        <v>6.6666664999999998</v>
      </c>
      <c r="Q844">
        <f>ROUND(Table1[[#This Row],[dass21_raw_score]],0)</f>
        <v>7</v>
      </c>
      <c r="R844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844">
        <v>-0.43887716999999998</v>
      </c>
      <c r="T844">
        <v>0.65603274</v>
      </c>
      <c r="U844">
        <v>3000</v>
      </c>
      <c r="V844" s="1">
        <f>ROUND(Table1[[#This Row],[fmpce]],0)</f>
        <v>3000</v>
      </c>
      <c r="W844">
        <v>40.813994999999998</v>
      </c>
      <c r="X844" s="4">
        <f>Table1[[#This Row],[mpce]]*89</f>
        <v>3632.4455549999998</v>
      </c>
      <c r="Y844" s="2" t="s">
        <v>32</v>
      </c>
      <c r="Z844" s="3">
        <f>VLOOKUP(Y844, rmpce_reference!$B$1:$D$7,3,FALSE) * 89</f>
        <v>4450</v>
      </c>
      <c r="AA844" s="1" t="str">
        <f>IF(Table1[rmpce_inr]&lt;=rmpce_reference!$F$2, "Low Income", IF(Table1[rmpce_inr]&lt;=rmpce_reference!$F$3, "Middle Income", "High Income"))</f>
        <v>Low Income</v>
      </c>
    </row>
    <row r="845" spans="1:27" x14ac:dyDescent="0.25">
      <c r="A845">
        <v>4183</v>
      </c>
      <c r="B845" t="s">
        <v>42</v>
      </c>
      <c r="C845" t="s">
        <v>21</v>
      </c>
      <c r="D845">
        <v>47</v>
      </c>
      <c r="E845" t="s">
        <v>22</v>
      </c>
      <c r="F845" t="s">
        <v>23</v>
      </c>
      <c r="G845">
        <v>12</v>
      </c>
      <c r="H845" s="1" t="str">
        <f>IF(Table1[[#This Row],[anxiety_score]]&lt;=10, "Normal", IF(Table1[[#This Row],[anxiety_score]]&lt;=20, "Moderate", IF(Table1[[#This Row],[anxiety_score]]&lt;=30, "Severe", "Extremely Severe")))</f>
        <v>Moderate</v>
      </c>
      <c r="I845">
        <v>0.19284514999999999</v>
      </c>
      <c r="J845">
        <v>10</v>
      </c>
      <c r="K845" s="1" t="str">
        <f>IF(Table1[[#This Row],[stress_score]]&lt;=10, "Normal", IF(Table1[[#This Row],[stress_score]]&lt;=20, "Moderate", IF(Table1[[#This Row],[stress_score]]&lt;=30, "Severe", "Extremely Severe")))</f>
        <v>Normal</v>
      </c>
      <c r="L845">
        <v>-0.18916494</v>
      </c>
      <c r="M845">
        <v>8</v>
      </c>
      <c r="N845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845">
        <v>-0.33828637</v>
      </c>
      <c r="P845">
        <v>10</v>
      </c>
      <c r="Q845">
        <f>ROUND(Table1[[#This Row],[dass21_raw_score]],0)</f>
        <v>10</v>
      </c>
      <c r="R845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845">
        <v>-0.111535385</v>
      </c>
      <c r="T845">
        <v>0.98337454000000002</v>
      </c>
      <c r="U845">
        <v>2500</v>
      </c>
      <c r="V845" s="1">
        <f>ROUND(Table1[[#This Row],[fmpce]],0)</f>
        <v>2500</v>
      </c>
      <c r="W845">
        <v>34.011659999999999</v>
      </c>
      <c r="X845" s="4">
        <f>Table1[[#This Row],[mpce]]*89</f>
        <v>3027.0377399999998</v>
      </c>
      <c r="Y845" s="2" t="s">
        <v>34</v>
      </c>
      <c r="Z845" s="3">
        <f>VLOOKUP(Y845, rmpce_reference!$B$1:$D$7,3,FALSE) * 89</f>
        <v>2848</v>
      </c>
      <c r="AA845" s="1" t="str">
        <f>IF(Table1[rmpce_inr]&lt;=rmpce_reference!$F$2, "Low Income", IF(Table1[rmpce_inr]&lt;=rmpce_reference!$F$3, "Middle Income", "High Income"))</f>
        <v>Low Income</v>
      </c>
    </row>
    <row r="846" spans="1:27" x14ac:dyDescent="0.25">
      <c r="A846">
        <v>4184</v>
      </c>
      <c r="B846" t="s">
        <v>42</v>
      </c>
      <c r="C846" t="s">
        <v>21</v>
      </c>
      <c r="D846">
        <v>43</v>
      </c>
      <c r="E846" t="s">
        <v>22</v>
      </c>
      <c r="F846" t="s">
        <v>23</v>
      </c>
      <c r="G846">
        <v>10</v>
      </c>
      <c r="H846" s="1" t="str">
        <f>IF(Table1[[#This Row],[anxiety_score]]&lt;=10, "Normal", IF(Table1[[#This Row],[anxiety_score]]&lt;=20, "Moderate", IF(Table1[[#This Row],[anxiety_score]]&lt;=30, "Severe", "Extremely Severe")))</f>
        <v>Normal</v>
      </c>
      <c r="I846">
        <v>-8.1994660000000007E-3</v>
      </c>
      <c r="J846">
        <v>4</v>
      </c>
      <c r="K846" s="1" t="str">
        <f>IF(Table1[[#This Row],[stress_score]]&lt;=10, "Normal", IF(Table1[[#This Row],[stress_score]]&lt;=20, "Moderate", IF(Table1[[#This Row],[stress_score]]&lt;=30, "Severe", "Extremely Severe")))</f>
        <v>Normal</v>
      </c>
      <c r="L846">
        <v>-0.77314866000000004</v>
      </c>
      <c r="M846">
        <v>10</v>
      </c>
      <c r="N846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846">
        <v>-0.14564899000000001</v>
      </c>
      <c r="P846">
        <v>8</v>
      </c>
      <c r="Q846">
        <f>ROUND(Table1[[#This Row],[dass21_raw_score]],0)</f>
        <v>8</v>
      </c>
      <c r="R846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846">
        <v>-0.30899903000000001</v>
      </c>
      <c r="T846">
        <v>0.78591084</v>
      </c>
      <c r="U846">
        <v>4166.6665000000003</v>
      </c>
      <c r="V846" s="1">
        <f>ROUND(Table1[[#This Row],[fmpce]],0)</f>
        <v>4167</v>
      </c>
      <c r="W846">
        <v>56.686100000000003</v>
      </c>
      <c r="X846" s="4">
        <f>Table1[[#This Row],[mpce]]*89</f>
        <v>5045.0628999999999</v>
      </c>
      <c r="Y846" s="2" t="s">
        <v>32</v>
      </c>
      <c r="Z846" s="3">
        <f>VLOOKUP(Y846, rmpce_reference!$B$1:$D$7,3,FALSE) * 89</f>
        <v>4450</v>
      </c>
      <c r="AA846" s="1" t="str">
        <f>IF(Table1[rmpce_inr]&lt;=rmpce_reference!$F$2, "Low Income", IF(Table1[rmpce_inr]&lt;=rmpce_reference!$F$3, "Middle Income", "High Income"))</f>
        <v>Low Income</v>
      </c>
    </row>
    <row r="847" spans="1:27" x14ac:dyDescent="0.25">
      <c r="A847">
        <v>4185</v>
      </c>
      <c r="B847" t="s">
        <v>42</v>
      </c>
      <c r="C847" t="s">
        <v>36</v>
      </c>
      <c r="D847">
        <v>58</v>
      </c>
      <c r="E847" t="s">
        <v>22</v>
      </c>
      <c r="F847" t="s">
        <v>41</v>
      </c>
      <c r="G847">
        <v>20</v>
      </c>
      <c r="H847" s="1" t="str">
        <f>IF(Table1[[#This Row],[anxiety_score]]&lt;=10, "Normal", IF(Table1[[#This Row],[anxiety_score]]&lt;=20, "Moderate", IF(Table1[[#This Row],[anxiety_score]]&lt;=30, "Severe", "Extremely Severe")))</f>
        <v>Moderate</v>
      </c>
      <c r="I847">
        <v>0.99702360000000001</v>
      </c>
      <c r="J847">
        <v>10</v>
      </c>
      <c r="K847" s="1" t="str">
        <f>IF(Table1[[#This Row],[stress_score]]&lt;=10, "Normal", IF(Table1[[#This Row],[stress_score]]&lt;=20, "Moderate", IF(Table1[[#This Row],[stress_score]]&lt;=30, "Severe", "Extremely Severe")))</f>
        <v>Normal</v>
      </c>
      <c r="L847">
        <v>-0.18916494</v>
      </c>
      <c r="M847">
        <v>8</v>
      </c>
      <c r="N847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847">
        <v>-0.33828637</v>
      </c>
      <c r="P847">
        <v>12.666667</v>
      </c>
      <c r="Q847">
        <f>ROUND(Table1[[#This Row],[dass21_raw_score]],0)</f>
        <v>13</v>
      </c>
      <c r="R847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847">
        <v>0.15652409</v>
      </c>
      <c r="T847">
        <v>1.2514339999999999</v>
      </c>
      <c r="U847">
        <v>10000</v>
      </c>
      <c r="V847" s="1">
        <f>ROUND(Table1[[#This Row],[fmpce]],0)</f>
        <v>10000</v>
      </c>
      <c r="W847">
        <v>136.04665</v>
      </c>
      <c r="X847" s="4">
        <f>Table1[[#This Row],[mpce]]*89</f>
        <v>12108.15185</v>
      </c>
      <c r="Y847" s="2" t="s">
        <v>35</v>
      </c>
      <c r="Z847" s="3">
        <f>VLOOKUP(Y847, rmpce_reference!$B$1:$D$7,3,FALSE) * 89</f>
        <v>9790</v>
      </c>
      <c r="AA847" s="1" t="str">
        <f>IF(Table1[rmpce_inr]&lt;=rmpce_reference!$F$2, "Low Income", IF(Table1[rmpce_inr]&lt;=rmpce_reference!$F$3, "Middle Income", "High Income"))</f>
        <v>High Income</v>
      </c>
    </row>
    <row r="848" spans="1:27" x14ac:dyDescent="0.25">
      <c r="A848">
        <v>4186</v>
      </c>
      <c r="B848" t="s">
        <v>42</v>
      </c>
      <c r="C848" t="s">
        <v>21</v>
      </c>
      <c r="D848">
        <v>41</v>
      </c>
      <c r="E848" t="s">
        <v>22</v>
      </c>
      <c r="F848" t="s">
        <v>23</v>
      </c>
      <c r="G848">
        <v>14</v>
      </c>
      <c r="H848" s="1" t="str">
        <f>IF(Table1[[#This Row],[anxiety_score]]&lt;=10, "Normal", IF(Table1[[#This Row],[anxiety_score]]&lt;=20, "Moderate", IF(Table1[[#This Row],[anxiety_score]]&lt;=30, "Severe", "Extremely Severe")))</f>
        <v>Moderate</v>
      </c>
      <c r="I848">
        <v>0.39388975999999998</v>
      </c>
      <c r="J848">
        <v>6</v>
      </c>
      <c r="K848" s="1" t="str">
        <f>IF(Table1[[#This Row],[stress_score]]&lt;=10, "Normal", IF(Table1[[#This Row],[stress_score]]&lt;=20, "Moderate", IF(Table1[[#This Row],[stress_score]]&lt;=30, "Severe", "Extremely Severe")))</f>
        <v>Normal</v>
      </c>
      <c r="L848">
        <v>-0.57848745999999995</v>
      </c>
      <c r="M848">
        <v>10</v>
      </c>
      <c r="N848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848">
        <v>-0.14564899000000001</v>
      </c>
      <c r="P848">
        <v>10</v>
      </c>
      <c r="Q848">
        <f>ROUND(Table1[[#This Row],[dass21_raw_score]],0)</f>
        <v>10</v>
      </c>
      <c r="R848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848">
        <v>-0.11008223</v>
      </c>
      <c r="T848">
        <v>0.98482769999999997</v>
      </c>
      <c r="U848">
        <v>5000</v>
      </c>
      <c r="V848" s="1">
        <f>ROUND(Table1[[#This Row],[fmpce]],0)</f>
        <v>5000</v>
      </c>
      <c r="W848">
        <v>68.023319999999998</v>
      </c>
      <c r="X848" s="4">
        <f>Table1[[#This Row],[mpce]]*89</f>
        <v>6054.0754799999995</v>
      </c>
      <c r="Y848" s="2" t="s">
        <v>28</v>
      </c>
      <c r="Z848" s="3">
        <f>VLOOKUP(Y848, rmpce_reference!$B$1:$D$7,3,FALSE) * 89</f>
        <v>6230</v>
      </c>
      <c r="AA848" s="1" t="str">
        <f>IF(Table1[rmpce_inr]&lt;=rmpce_reference!$F$2, "Low Income", IF(Table1[rmpce_inr]&lt;=rmpce_reference!$F$3, "Middle Income", "High Income"))</f>
        <v>Middle Income</v>
      </c>
    </row>
    <row r="849" spans="1:27" x14ac:dyDescent="0.25">
      <c r="A849">
        <v>4187</v>
      </c>
      <c r="B849" t="s">
        <v>42</v>
      </c>
      <c r="C849" t="s">
        <v>33</v>
      </c>
      <c r="D849">
        <v>26</v>
      </c>
      <c r="E849" t="s">
        <v>25</v>
      </c>
      <c r="F849" t="s">
        <v>26</v>
      </c>
      <c r="G849">
        <v>4</v>
      </c>
      <c r="H849" s="1" t="str">
        <f>IF(Table1[[#This Row],[anxiety_score]]&lt;=10, "Normal", IF(Table1[[#This Row],[anxiety_score]]&lt;=20, "Moderate", IF(Table1[[#This Row],[anxiety_score]]&lt;=30, "Severe", "Extremely Severe")))</f>
        <v>Normal</v>
      </c>
      <c r="I849">
        <v>-0.61133329999999997</v>
      </c>
      <c r="J849">
        <v>2</v>
      </c>
      <c r="K849" s="1" t="str">
        <f>IF(Table1[[#This Row],[stress_score]]&lt;=10, "Normal", IF(Table1[[#This Row],[stress_score]]&lt;=20, "Moderate", IF(Table1[[#This Row],[stress_score]]&lt;=30, "Severe", "Extremely Severe")))</f>
        <v>Normal</v>
      </c>
      <c r="L849">
        <v>-0.9678099</v>
      </c>
      <c r="M849">
        <v>0</v>
      </c>
      <c r="N849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849">
        <v>-1.1088359000000001</v>
      </c>
      <c r="P849">
        <v>2</v>
      </c>
      <c r="Q849">
        <f>ROUND(Table1[[#This Row],[dass21_raw_score]],0)</f>
        <v>2</v>
      </c>
      <c r="R849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849">
        <v>-0.89599304999999996</v>
      </c>
      <c r="T849">
        <v>0.19891685000000001</v>
      </c>
      <c r="U849">
        <v>3000</v>
      </c>
      <c r="V849" s="1">
        <f>ROUND(Table1[[#This Row],[fmpce]],0)</f>
        <v>3000</v>
      </c>
      <c r="W849">
        <v>40.813994999999998</v>
      </c>
      <c r="X849" s="4">
        <f>Table1[[#This Row],[mpce]]*89</f>
        <v>3632.4455549999998</v>
      </c>
      <c r="Y849" s="2" t="s">
        <v>32</v>
      </c>
      <c r="Z849" s="3">
        <f>VLOOKUP(Y849, rmpce_reference!$B$1:$D$7,3,FALSE) * 89</f>
        <v>4450</v>
      </c>
      <c r="AA849" s="1" t="str">
        <f>IF(Table1[rmpce_inr]&lt;=rmpce_reference!$F$2, "Low Income", IF(Table1[rmpce_inr]&lt;=rmpce_reference!$F$3, "Middle Income", "High Income"))</f>
        <v>Low Income</v>
      </c>
    </row>
    <row r="850" spans="1:27" x14ac:dyDescent="0.25">
      <c r="A850">
        <v>4188</v>
      </c>
      <c r="B850" t="s">
        <v>42</v>
      </c>
      <c r="C850" t="s">
        <v>33</v>
      </c>
      <c r="D850">
        <v>28</v>
      </c>
      <c r="E850" t="s">
        <v>25</v>
      </c>
      <c r="F850" t="s">
        <v>30</v>
      </c>
      <c r="G850">
        <v>2</v>
      </c>
      <c r="H850" s="1" t="str">
        <f>IF(Table1[[#This Row],[anxiety_score]]&lt;=10, "Normal", IF(Table1[[#This Row],[anxiety_score]]&lt;=20, "Moderate", IF(Table1[[#This Row],[anxiety_score]]&lt;=30, "Severe", "Extremely Severe")))</f>
        <v>Normal</v>
      </c>
      <c r="I850">
        <v>-0.81237789999999999</v>
      </c>
      <c r="J850">
        <v>2</v>
      </c>
      <c r="K850" s="1" t="str">
        <f>IF(Table1[[#This Row],[stress_score]]&lt;=10, "Normal", IF(Table1[[#This Row],[stress_score]]&lt;=20, "Moderate", IF(Table1[[#This Row],[stress_score]]&lt;=30, "Severe", "Extremely Severe")))</f>
        <v>Normal</v>
      </c>
      <c r="L850">
        <v>-0.9678099</v>
      </c>
      <c r="M850">
        <v>0</v>
      </c>
      <c r="N850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850">
        <v>-1.1088359000000001</v>
      </c>
      <c r="P850">
        <v>1.3333333999999999</v>
      </c>
      <c r="Q850">
        <f>ROUND(Table1[[#This Row],[dass21_raw_score]],0)</f>
        <v>1</v>
      </c>
      <c r="R850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850">
        <v>-0.96300790000000003</v>
      </c>
      <c r="T850">
        <v>0.13190198</v>
      </c>
      <c r="U850">
        <v>3600</v>
      </c>
      <c r="V850" s="1">
        <f>ROUND(Table1[[#This Row],[fmpce]],0)</f>
        <v>3600</v>
      </c>
      <c r="W850">
        <v>48.976790000000001</v>
      </c>
      <c r="X850" s="4">
        <f>Table1[[#This Row],[mpce]]*89</f>
        <v>4358.9343100000006</v>
      </c>
      <c r="Y850" s="2" t="s">
        <v>32</v>
      </c>
      <c r="Z850" s="3">
        <f>VLOOKUP(Y850, rmpce_reference!$B$1:$D$7,3,FALSE) * 89</f>
        <v>4450</v>
      </c>
      <c r="AA850" s="1" t="str">
        <f>IF(Table1[rmpce_inr]&lt;=rmpce_reference!$F$2, "Low Income", IF(Table1[rmpce_inr]&lt;=rmpce_reference!$F$3, "Middle Income", "High Income"))</f>
        <v>Low Income</v>
      </c>
    </row>
    <row r="851" spans="1:27" x14ac:dyDescent="0.25">
      <c r="A851">
        <v>4189</v>
      </c>
      <c r="B851" t="s">
        <v>42</v>
      </c>
      <c r="C851" t="s">
        <v>29</v>
      </c>
      <c r="D851">
        <v>31</v>
      </c>
      <c r="E851" t="s">
        <v>25</v>
      </c>
      <c r="F851" t="s">
        <v>26</v>
      </c>
      <c r="G851">
        <v>2</v>
      </c>
      <c r="H851" s="1" t="str">
        <f>IF(Table1[[#This Row],[anxiety_score]]&lt;=10, "Normal", IF(Table1[[#This Row],[anxiety_score]]&lt;=20, "Moderate", IF(Table1[[#This Row],[anxiety_score]]&lt;=30, "Severe", "Extremely Severe")))</f>
        <v>Normal</v>
      </c>
      <c r="I851">
        <v>-0.81237789999999999</v>
      </c>
      <c r="J851">
        <v>2</v>
      </c>
      <c r="K851" s="1" t="str">
        <f>IF(Table1[[#This Row],[stress_score]]&lt;=10, "Normal", IF(Table1[[#This Row],[stress_score]]&lt;=20, "Moderate", IF(Table1[[#This Row],[stress_score]]&lt;=30, "Severe", "Extremely Severe")))</f>
        <v>Normal</v>
      </c>
      <c r="L851">
        <v>-0.9678099</v>
      </c>
      <c r="M851">
        <v>0</v>
      </c>
      <c r="N851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851">
        <v>-1.1088359000000001</v>
      </c>
      <c r="P851">
        <v>1.3333333999999999</v>
      </c>
      <c r="Q851">
        <f>ROUND(Table1[[#This Row],[dass21_raw_score]],0)</f>
        <v>1</v>
      </c>
      <c r="R851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851">
        <v>-0.96300790000000003</v>
      </c>
      <c r="T851">
        <v>0.13190198</v>
      </c>
      <c r="U851">
        <v>4000</v>
      </c>
      <c r="V851" s="1">
        <f>ROUND(Table1[[#This Row],[fmpce]],0)</f>
        <v>4000</v>
      </c>
      <c r="W851">
        <v>54.418660000000003</v>
      </c>
      <c r="X851" s="4">
        <f>Table1[[#This Row],[mpce]]*89</f>
        <v>4843.2607400000006</v>
      </c>
      <c r="Y851" s="2" t="s">
        <v>32</v>
      </c>
      <c r="Z851" s="3">
        <f>VLOOKUP(Y851, rmpce_reference!$B$1:$D$7,3,FALSE) * 89</f>
        <v>4450</v>
      </c>
      <c r="AA851" s="1" t="str">
        <f>IF(Table1[rmpce_inr]&lt;=rmpce_reference!$F$2, "Low Income", IF(Table1[rmpce_inr]&lt;=rmpce_reference!$F$3, "Middle Income", "High Income"))</f>
        <v>Low Income</v>
      </c>
    </row>
    <row r="852" spans="1:27" x14ac:dyDescent="0.25">
      <c r="A852">
        <v>4190</v>
      </c>
      <c r="B852" t="s">
        <v>42</v>
      </c>
      <c r="C852" t="s">
        <v>29</v>
      </c>
      <c r="D852">
        <v>40</v>
      </c>
      <c r="E852" t="s">
        <v>25</v>
      </c>
      <c r="F852" t="s">
        <v>26</v>
      </c>
      <c r="G852">
        <v>4</v>
      </c>
      <c r="H852" s="1" t="str">
        <f>IF(Table1[[#This Row],[anxiety_score]]&lt;=10, "Normal", IF(Table1[[#This Row],[anxiety_score]]&lt;=20, "Moderate", IF(Table1[[#This Row],[anxiety_score]]&lt;=30, "Severe", "Extremely Severe")))</f>
        <v>Normal</v>
      </c>
      <c r="I852">
        <v>-0.61133329999999997</v>
      </c>
      <c r="J852">
        <v>2</v>
      </c>
      <c r="K852" s="1" t="str">
        <f>IF(Table1[[#This Row],[stress_score]]&lt;=10, "Normal", IF(Table1[[#This Row],[stress_score]]&lt;=20, "Moderate", IF(Table1[[#This Row],[stress_score]]&lt;=30, "Severe", "Extremely Severe")))</f>
        <v>Normal</v>
      </c>
      <c r="L852">
        <v>-0.9678099</v>
      </c>
      <c r="M852">
        <v>2</v>
      </c>
      <c r="N852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852">
        <v>-0.91619854999999994</v>
      </c>
      <c r="P852">
        <v>2.6666666999999999</v>
      </c>
      <c r="Q852">
        <f>ROUND(Table1[[#This Row],[dass21_raw_score]],0)</f>
        <v>3</v>
      </c>
      <c r="R852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852">
        <v>-0.83178059999999998</v>
      </c>
      <c r="T852">
        <v>0.26312930000000001</v>
      </c>
      <c r="U852">
        <v>5000</v>
      </c>
      <c r="V852" s="1">
        <f>ROUND(Table1[[#This Row],[fmpce]],0)</f>
        <v>5000</v>
      </c>
      <c r="W852">
        <v>68.023319999999998</v>
      </c>
      <c r="X852" s="4">
        <f>Table1[[#This Row],[mpce]]*89</f>
        <v>6054.0754799999995</v>
      </c>
      <c r="Y852" s="2" t="s">
        <v>28</v>
      </c>
      <c r="Z852" s="3">
        <f>VLOOKUP(Y852, rmpce_reference!$B$1:$D$7,3,FALSE) * 89</f>
        <v>6230</v>
      </c>
      <c r="AA852" s="1" t="str">
        <f>IF(Table1[rmpce_inr]&lt;=rmpce_reference!$F$2, "Low Income", IF(Table1[rmpce_inr]&lt;=rmpce_reference!$F$3, "Middle Income", "High Income"))</f>
        <v>Middle Income</v>
      </c>
    </row>
    <row r="853" spans="1:27" x14ac:dyDescent="0.25">
      <c r="A853">
        <v>4191</v>
      </c>
      <c r="B853" t="s">
        <v>42</v>
      </c>
      <c r="C853" t="s">
        <v>33</v>
      </c>
      <c r="D853">
        <v>29</v>
      </c>
      <c r="E853" t="s">
        <v>25</v>
      </c>
      <c r="F853" t="s">
        <v>30</v>
      </c>
      <c r="G853">
        <v>8</v>
      </c>
      <c r="H853" s="1" t="str">
        <f>IF(Table1[[#This Row],[anxiety_score]]&lt;=10, "Normal", IF(Table1[[#This Row],[anxiety_score]]&lt;=20, "Moderate", IF(Table1[[#This Row],[anxiety_score]]&lt;=30, "Severe", "Extremely Severe")))</f>
        <v>Normal</v>
      </c>
      <c r="I853">
        <v>-0.20924408999999999</v>
      </c>
      <c r="J853">
        <v>4</v>
      </c>
      <c r="K853" s="1" t="str">
        <f>IF(Table1[[#This Row],[stress_score]]&lt;=10, "Normal", IF(Table1[[#This Row],[stress_score]]&lt;=20, "Moderate", IF(Table1[[#This Row],[stress_score]]&lt;=30, "Severe", "Extremely Severe")))</f>
        <v>Normal</v>
      </c>
      <c r="L853">
        <v>-0.77314866000000004</v>
      </c>
      <c r="M853">
        <v>4</v>
      </c>
      <c r="N853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853">
        <v>-0.72356116999999998</v>
      </c>
      <c r="P853">
        <v>5.3333335000000002</v>
      </c>
      <c r="Q853">
        <f>ROUND(Table1[[#This Row],[dass21_raw_score]],0)</f>
        <v>5</v>
      </c>
      <c r="R853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853">
        <v>-0.56865129999999997</v>
      </c>
      <c r="T853">
        <v>0.52625860000000002</v>
      </c>
      <c r="U853">
        <v>4000</v>
      </c>
      <c r="V853" s="1">
        <f>ROUND(Table1[[#This Row],[fmpce]],0)</f>
        <v>4000</v>
      </c>
      <c r="W853">
        <v>54.418660000000003</v>
      </c>
      <c r="X853" s="4">
        <f>Table1[[#This Row],[mpce]]*89</f>
        <v>4843.2607400000006</v>
      </c>
      <c r="Y853" s="2" t="s">
        <v>32</v>
      </c>
      <c r="Z853" s="3">
        <f>VLOOKUP(Y853, rmpce_reference!$B$1:$D$7,3,FALSE) * 89</f>
        <v>4450</v>
      </c>
      <c r="AA853" s="1" t="str">
        <f>IF(Table1[rmpce_inr]&lt;=rmpce_reference!$F$2, "Low Income", IF(Table1[rmpce_inr]&lt;=rmpce_reference!$F$3, "Middle Income", "High Income"))</f>
        <v>Low Income</v>
      </c>
    </row>
    <row r="854" spans="1:27" x14ac:dyDescent="0.25">
      <c r="A854">
        <v>4192</v>
      </c>
      <c r="B854" t="s">
        <v>42</v>
      </c>
      <c r="C854" t="s">
        <v>29</v>
      </c>
      <c r="D854">
        <v>40</v>
      </c>
      <c r="E854" t="s">
        <v>25</v>
      </c>
      <c r="F854" t="s">
        <v>26</v>
      </c>
      <c r="G854">
        <v>14</v>
      </c>
      <c r="H854" s="1" t="str">
        <f>IF(Table1[[#This Row],[anxiety_score]]&lt;=10, "Normal", IF(Table1[[#This Row],[anxiety_score]]&lt;=20, "Moderate", IF(Table1[[#This Row],[anxiety_score]]&lt;=30, "Severe", "Extremely Severe")))</f>
        <v>Moderate</v>
      </c>
      <c r="I854">
        <v>0.39388975999999998</v>
      </c>
      <c r="J854">
        <v>8</v>
      </c>
      <c r="K854" s="1" t="str">
        <f>IF(Table1[[#This Row],[stress_score]]&lt;=10, "Normal", IF(Table1[[#This Row],[stress_score]]&lt;=20, "Moderate", IF(Table1[[#This Row],[stress_score]]&lt;=30, "Severe", "Extremely Severe")))</f>
        <v>Normal</v>
      </c>
      <c r="L854">
        <v>-0.38382620000000001</v>
      </c>
      <c r="M854">
        <v>8</v>
      </c>
      <c r="N854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854">
        <v>-0.33828637</v>
      </c>
      <c r="P854">
        <v>10</v>
      </c>
      <c r="Q854">
        <f>ROUND(Table1[[#This Row],[dass21_raw_score]],0)</f>
        <v>10</v>
      </c>
      <c r="R854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854">
        <v>-0.10940760400000001</v>
      </c>
      <c r="T854">
        <v>0.98550230000000005</v>
      </c>
      <c r="U854">
        <v>8333.3330000000005</v>
      </c>
      <c r="V854" s="1">
        <f>ROUND(Table1[[#This Row],[fmpce]],0)</f>
        <v>8333</v>
      </c>
      <c r="W854">
        <v>113.37220000000001</v>
      </c>
      <c r="X854" s="4">
        <f>Table1[[#This Row],[mpce]]*89</f>
        <v>10090.1258</v>
      </c>
      <c r="Y854" s="2" t="s">
        <v>35</v>
      </c>
      <c r="Z854" s="3">
        <f>VLOOKUP(Y854, rmpce_reference!$B$1:$D$7,3,FALSE) * 89</f>
        <v>9790</v>
      </c>
      <c r="AA854" s="1" t="str">
        <f>IF(Table1[rmpce_inr]&lt;=rmpce_reference!$F$2, "Low Income", IF(Table1[rmpce_inr]&lt;=rmpce_reference!$F$3, "Middle Income", "High Income"))</f>
        <v>High Income</v>
      </c>
    </row>
    <row r="855" spans="1:27" x14ac:dyDescent="0.25">
      <c r="A855">
        <v>4193</v>
      </c>
      <c r="B855" t="s">
        <v>42</v>
      </c>
      <c r="C855" t="s">
        <v>33</v>
      </c>
      <c r="D855">
        <v>28</v>
      </c>
      <c r="E855" t="s">
        <v>25</v>
      </c>
      <c r="F855" t="s">
        <v>26</v>
      </c>
      <c r="G855">
        <v>12</v>
      </c>
      <c r="H855" s="1" t="str">
        <f>IF(Table1[[#This Row],[anxiety_score]]&lt;=10, "Normal", IF(Table1[[#This Row],[anxiety_score]]&lt;=20, "Moderate", IF(Table1[[#This Row],[anxiety_score]]&lt;=30, "Severe", "Extremely Severe")))</f>
        <v>Moderate</v>
      </c>
      <c r="I855">
        <v>0.19284514999999999</v>
      </c>
      <c r="J855">
        <v>12</v>
      </c>
      <c r="K855" s="1" t="str">
        <f>IF(Table1[[#This Row],[stress_score]]&lt;=10, "Normal", IF(Table1[[#This Row],[stress_score]]&lt;=20, "Moderate", IF(Table1[[#This Row],[stress_score]]&lt;=30, "Severe", "Extremely Severe")))</f>
        <v>Moderate</v>
      </c>
      <c r="L855">
        <v>5.496318E-3</v>
      </c>
      <c r="M855">
        <v>10</v>
      </c>
      <c r="N855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855">
        <v>-0.14564899000000001</v>
      </c>
      <c r="P855">
        <v>11.333333</v>
      </c>
      <c r="Q855">
        <f>ROUND(Table1[[#This Row],[dass21_raw_score]],0)</f>
        <v>11</v>
      </c>
      <c r="R855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855">
        <v>1.7564159999999999E-2</v>
      </c>
      <c r="T855">
        <v>1.1124741</v>
      </c>
      <c r="U855">
        <v>5000</v>
      </c>
      <c r="V855" s="1">
        <f>ROUND(Table1[[#This Row],[fmpce]],0)</f>
        <v>5000</v>
      </c>
      <c r="W855">
        <v>68.023319999999998</v>
      </c>
      <c r="X855" s="4">
        <f>Table1[[#This Row],[mpce]]*89</f>
        <v>6054.0754799999995</v>
      </c>
      <c r="Y855" s="2" t="s">
        <v>28</v>
      </c>
      <c r="Z855" s="3">
        <f>VLOOKUP(Y855, rmpce_reference!$B$1:$D$7,3,FALSE) * 89</f>
        <v>6230</v>
      </c>
      <c r="AA855" s="1" t="str">
        <f>IF(Table1[rmpce_inr]&lt;=rmpce_reference!$F$2, "Low Income", IF(Table1[rmpce_inr]&lt;=rmpce_reference!$F$3, "Middle Income", "High Income"))</f>
        <v>Middle Income</v>
      </c>
    </row>
    <row r="856" spans="1:27" x14ac:dyDescent="0.25">
      <c r="A856">
        <v>4194</v>
      </c>
      <c r="B856" t="s">
        <v>42</v>
      </c>
      <c r="C856" t="s">
        <v>29</v>
      </c>
      <c r="D856">
        <v>39</v>
      </c>
      <c r="E856" t="s">
        <v>25</v>
      </c>
      <c r="F856" t="s">
        <v>26</v>
      </c>
      <c r="G856">
        <v>6</v>
      </c>
      <c r="H856" s="1" t="str">
        <f>IF(Table1[[#This Row],[anxiety_score]]&lt;=10, "Normal", IF(Table1[[#This Row],[anxiety_score]]&lt;=20, "Moderate", IF(Table1[[#This Row],[anxiety_score]]&lt;=30, "Severe", "Extremely Severe")))</f>
        <v>Normal</v>
      </c>
      <c r="I856">
        <v>-0.41028870000000001</v>
      </c>
      <c r="J856">
        <v>2</v>
      </c>
      <c r="K856" s="1" t="str">
        <f>IF(Table1[[#This Row],[stress_score]]&lt;=10, "Normal", IF(Table1[[#This Row],[stress_score]]&lt;=20, "Moderate", IF(Table1[[#This Row],[stress_score]]&lt;=30, "Severe", "Extremely Severe")))</f>
        <v>Normal</v>
      </c>
      <c r="L856">
        <v>-0.9678099</v>
      </c>
      <c r="M856">
        <v>4</v>
      </c>
      <c r="N856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856">
        <v>-0.72356116999999998</v>
      </c>
      <c r="P856">
        <v>4</v>
      </c>
      <c r="Q856">
        <f>ROUND(Table1[[#This Row],[dass21_raw_score]],0)</f>
        <v>4</v>
      </c>
      <c r="R856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856">
        <v>-0.70055323999999997</v>
      </c>
      <c r="T856">
        <v>0.39435667000000002</v>
      </c>
      <c r="U856">
        <v>4000</v>
      </c>
      <c r="V856" s="1">
        <f>ROUND(Table1[[#This Row],[fmpce]],0)</f>
        <v>4000</v>
      </c>
      <c r="W856">
        <v>54.418660000000003</v>
      </c>
      <c r="X856" s="4">
        <f>Table1[[#This Row],[mpce]]*89</f>
        <v>4843.2607400000006</v>
      </c>
      <c r="Y856" s="2" t="s">
        <v>32</v>
      </c>
      <c r="Z856" s="3">
        <f>VLOOKUP(Y856, rmpce_reference!$B$1:$D$7,3,FALSE) * 89</f>
        <v>4450</v>
      </c>
      <c r="AA856" s="1" t="str">
        <f>IF(Table1[rmpce_inr]&lt;=rmpce_reference!$F$2, "Low Income", IF(Table1[rmpce_inr]&lt;=rmpce_reference!$F$3, "Middle Income", "High Income"))</f>
        <v>Low Income</v>
      </c>
    </row>
    <row r="857" spans="1:27" x14ac:dyDescent="0.25">
      <c r="A857">
        <v>4195</v>
      </c>
      <c r="B857" t="s">
        <v>42</v>
      </c>
      <c r="C857" t="s">
        <v>29</v>
      </c>
      <c r="D857">
        <v>36</v>
      </c>
      <c r="E857" t="s">
        <v>25</v>
      </c>
      <c r="F857" t="s">
        <v>30</v>
      </c>
      <c r="G857">
        <v>4</v>
      </c>
      <c r="H857" s="1" t="str">
        <f>IF(Table1[[#This Row],[anxiety_score]]&lt;=10, "Normal", IF(Table1[[#This Row],[anxiety_score]]&lt;=20, "Moderate", IF(Table1[[#This Row],[anxiety_score]]&lt;=30, "Severe", "Extremely Severe")))</f>
        <v>Normal</v>
      </c>
      <c r="I857">
        <v>-0.61133329999999997</v>
      </c>
      <c r="J857">
        <v>10</v>
      </c>
      <c r="K857" s="1" t="str">
        <f>IF(Table1[[#This Row],[stress_score]]&lt;=10, "Normal", IF(Table1[[#This Row],[stress_score]]&lt;=20, "Moderate", IF(Table1[[#This Row],[stress_score]]&lt;=30, "Severe", "Extremely Severe")))</f>
        <v>Normal</v>
      </c>
      <c r="L857">
        <v>-0.18916494</v>
      </c>
      <c r="M857">
        <v>2</v>
      </c>
      <c r="N857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857">
        <v>-0.91619854999999994</v>
      </c>
      <c r="P857">
        <v>5.3333335000000002</v>
      </c>
      <c r="Q857">
        <f>ROUND(Table1[[#This Row],[dass21_raw_score]],0)</f>
        <v>5</v>
      </c>
      <c r="R857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857">
        <v>-0.57223225</v>
      </c>
      <c r="T857">
        <v>0.52267766000000004</v>
      </c>
      <c r="U857">
        <v>8750</v>
      </c>
      <c r="V857" s="1">
        <f>ROUND(Table1[[#This Row],[fmpce]],0)</f>
        <v>8750</v>
      </c>
      <c r="W857">
        <v>119.04082</v>
      </c>
      <c r="X857" s="4">
        <f>Table1[[#This Row],[mpce]]*89</f>
        <v>10594.63298</v>
      </c>
      <c r="Y857" s="2" t="s">
        <v>35</v>
      </c>
      <c r="Z857" s="3">
        <f>VLOOKUP(Y857, rmpce_reference!$B$1:$D$7,3,FALSE) * 89</f>
        <v>9790</v>
      </c>
      <c r="AA857" s="1" t="str">
        <f>IF(Table1[rmpce_inr]&lt;=rmpce_reference!$F$2, "Low Income", IF(Table1[rmpce_inr]&lt;=rmpce_reference!$F$3, "Middle Income", "High Income"))</f>
        <v>High Income</v>
      </c>
    </row>
    <row r="858" spans="1:27" x14ac:dyDescent="0.25">
      <c r="A858">
        <v>4196</v>
      </c>
      <c r="B858" t="s">
        <v>42</v>
      </c>
      <c r="C858" t="s">
        <v>29</v>
      </c>
      <c r="D858">
        <v>40</v>
      </c>
      <c r="E858" t="s">
        <v>25</v>
      </c>
      <c r="F858" t="s">
        <v>23</v>
      </c>
      <c r="G858">
        <v>4</v>
      </c>
      <c r="H858" s="1" t="str">
        <f>IF(Table1[[#This Row],[anxiety_score]]&lt;=10, "Normal", IF(Table1[[#This Row],[anxiety_score]]&lt;=20, "Moderate", IF(Table1[[#This Row],[anxiety_score]]&lt;=30, "Severe", "Extremely Severe")))</f>
        <v>Normal</v>
      </c>
      <c r="I858">
        <v>-0.61133329999999997</v>
      </c>
      <c r="J858">
        <v>4</v>
      </c>
      <c r="K858" s="1" t="str">
        <f>IF(Table1[[#This Row],[stress_score]]&lt;=10, "Normal", IF(Table1[[#This Row],[stress_score]]&lt;=20, "Moderate", IF(Table1[[#This Row],[stress_score]]&lt;=30, "Severe", "Extremely Severe")))</f>
        <v>Normal</v>
      </c>
      <c r="L858">
        <v>-0.77314866000000004</v>
      </c>
      <c r="M858">
        <v>2</v>
      </c>
      <c r="N858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858">
        <v>-0.91619854999999994</v>
      </c>
      <c r="P858">
        <v>3.3333333000000001</v>
      </c>
      <c r="Q858">
        <f>ROUND(Table1[[#This Row],[dass21_raw_score]],0)</f>
        <v>3</v>
      </c>
      <c r="R858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858">
        <v>-0.76689350000000001</v>
      </c>
      <c r="T858">
        <v>0.32801639999999999</v>
      </c>
      <c r="U858">
        <v>7500</v>
      </c>
      <c r="V858" s="1">
        <f>ROUND(Table1[[#This Row],[fmpce]],0)</f>
        <v>7500</v>
      </c>
      <c r="W858">
        <v>102.03498999999999</v>
      </c>
      <c r="X858" s="4">
        <f>Table1[[#This Row],[mpce]]*89</f>
        <v>9081.1141099999986</v>
      </c>
      <c r="Y858" s="2" t="s">
        <v>35</v>
      </c>
      <c r="Z858" s="3">
        <f>VLOOKUP(Y858, rmpce_reference!$B$1:$D$7,3,FALSE) * 89</f>
        <v>9790</v>
      </c>
      <c r="AA858" s="1" t="str">
        <f>IF(Table1[rmpce_inr]&lt;=rmpce_reference!$F$2, "Low Income", IF(Table1[rmpce_inr]&lt;=rmpce_reference!$F$3, "Middle Income", "High Income"))</f>
        <v>High Income</v>
      </c>
    </row>
    <row r="859" spans="1:27" x14ac:dyDescent="0.25">
      <c r="A859">
        <v>4197</v>
      </c>
      <c r="B859" t="s">
        <v>42</v>
      </c>
      <c r="C859" t="s">
        <v>33</v>
      </c>
      <c r="D859">
        <v>25</v>
      </c>
      <c r="E859" t="s">
        <v>25</v>
      </c>
      <c r="F859" t="s">
        <v>30</v>
      </c>
      <c r="G859">
        <v>6</v>
      </c>
      <c r="H859" s="1" t="str">
        <f>IF(Table1[[#This Row],[anxiety_score]]&lt;=10, "Normal", IF(Table1[[#This Row],[anxiety_score]]&lt;=20, "Moderate", IF(Table1[[#This Row],[anxiety_score]]&lt;=30, "Severe", "Extremely Severe")))</f>
        <v>Normal</v>
      </c>
      <c r="I859">
        <v>-0.41028870000000001</v>
      </c>
      <c r="J859">
        <v>6</v>
      </c>
      <c r="K859" s="1" t="str">
        <f>IF(Table1[[#This Row],[stress_score]]&lt;=10, "Normal", IF(Table1[[#This Row],[stress_score]]&lt;=20, "Moderate", IF(Table1[[#This Row],[stress_score]]&lt;=30, "Severe", "Extremely Severe")))</f>
        <v>Normal</v>
      </c>
      <c r="L859">
        <v>-0.57848745999999995</v>
      </c>
      <c r="M859">
        <v>0</v>
      </c>
      <c r="N859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859">
        <v>-1.1088359000000001</v>
      </c>
      <c r="P859">
        <v>4</v>
      </c>
      <c r="Q859">
        <f>ROUND(Table1[[#This Row],[dass21_raw_score]],0)</f>
        <v>4</v>
      </c>
      <c r="R859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859">
        <v>-0.69920400000000005</v>
      </c>
      <c r="T859">
        <v>0.39570588000000001</v>
      </c>
      <c r="U859">
        <v>10000</v>
      </c>
      <c r="V859" s="1">
        <f>ROUND(Table1[[#This Row],[fmpce]],0)</f>
        <v>10000</v>
      </c>
      <c r="W859">
        <v>136.04665</v>
      </c>
      <c r="X859" s="4">
        <f>Table1[[#This Row],[mpce]]*89</f>
        <v>12108.15185</v>
      </c>
      <c r="Y859" s="2" t="s">
        <v>35</v>
      </c>
      <c r="Z859" s="3">
        <f>VLOOKUP(Y859, rmpce_reference!$B$1:$D$7,3,FALSE) * 89</f>
        <v>9790</v>
      </c>
      <c r="AA859" s="1" t="str">
        <f>IF(Table1[rmpce_inr]&lt;=rmpce_reference!$F$2, "Low Income", IF(Table1[rmpce_inr]&lt;=rmpce_reference!$F$3, "Middle Income", "High Income"))</f>
        <v>High Income</v>
      </c>
    </row>
    <row r="860" spans="1:27" x14ac:dyDescent="0.25">
      <c r="A860">
        <v>4198</v>
      </c>
      <c r="B860" t="s">
        <v>42</v>
      </c>
      <c r="C860" t="s">
        <v>29</v>
      </c>
      <c r="D860">
        <v>38</v>
      </c>
      <c r="E860" t="s">
        <v>22</v>
      </c>
      <c r="F860" t="s">
        <v>23</v>
      </c>
      <c r="G860">
        <v>8</v>
      </c>
      <c r="H860" s="1" t="str">
        <f>IF(Table1[[#This Row],[anxiety_score]]&lt;=10, "Normal", IF(Table1[[#This Row],[anxiety_score]]&lt;=20, "Moderate", IF(Table1[[#This Row],[anxiety_score]]&lt;=30, "Severe", "Extremely Severe")))</f>
        <v>Normal</v>
      </c>
      <c r="I860">
        <v>-0.20924408999999999</v>
      </c>
      <c r="J860">
        <v>10</v>
      </c>
      <c r="K860" s="1" t="str">
        <f>IF(Table1[[#This Row],[stress_score]]&lt;=10, "Normal", IF(Table1[[#This Row],[stress_score]]&lt;=20, "Moderate", IF(Table1[[#This Row],[stress_score]]&lt;=30, "Severe", "Extremely Severe")))</f>
        <v>Normal</v>
      </c>
      <c r="L860">
        <v>-0.18916494</v>
      </c>
      <c r="M860">
        <v>6</v>
      </c>
      <c r="N860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860">
        <v>-0.53092379999999995</v>
      </c>
      <c r="P860">
        <v>8</v>
      </c>
      <c r="Q860">
        <f>ROUND(Table1[[#This Row],[dass21_raw_score]],0)</f>
        <v>8</v>
      </c>
      <c r="R860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860">
        <v>-0.30977761999999998</v>
      </c>
      <c r="T860">
        <v>0.78513230000000001</v>
      </c>
      <c r="U860">
        <v>6000</v>
      </c>
      <c r="V860" s="1">
        <f>ROUND(Table1[[#This Row],[fmpce]],0)</f>
        <v>6000</v>
      </c>
      <c r="W860">
        <v>81.627989999999997</v>
      </c>
      <c r="X860" s="4">
        <f>Table1[[#This Row],[mpce]]*89</f>
        <v>7264.8911099999996</v>
      </c>
      <c r="Y860" s="2" t="s">
        <v>31</v>
      </c>
      <c r="Z860" s="3">
        <f>VLOOKUP(Y860, rmpce_reference!$B$1:$D$7,3,FALSE) * 89</f>
        <v>8010</v>
      </c>
      <c r="AA860" s="1" t="str">
        <f>IF(Table1[rmpce_inr]&lt;=rmpce_reference!$F$2, "Low Income", IF(Table1[rmpce_inr]&lt;=rmpce_reference!$F$3, "Middle Income", "High Income"))</f>
        <v>High Income</v>
      </c>
    </row>
    <row r="861" spans="1:27" x14ac:dyDescent="0.25">
      <c r="A861">
        <v>4199</v>
      </c>
      <c r="B861" t="s">
        <v>42</v>
      </c>
      <c r="C861" t="s">
        <v>33</v>
      </c>
      <c r="D861">
        <v>30</v>
      </c>
      <c r="E861" t="s">
        <v>22</v>
      </c>
      <c r="F861" t="s">
        <v>30</v>
      </c>
      <c r="G861">
        <v>0</v>
      </c>
      <c r="H861" s="1" t="str">
        <f>IF(Table1[[#This Row],[anxiety_score]]&lt;=10, "Normal", IF(Table1[[#This Row],[anxiety_score]]&lt;=20, "Moderate", IF(Table1[[#This Row],[anxiety_score]]&lt;=30, "Severe", "Extremely Severe")))</f>
        <v>Normal</v>
      </c>
      <c r="I861">
        <v>-1.0134224999999999</v>
      </c>
      <c r="J861">
        <v>0</v>
      </c>
      <c r="K861" s="1" t="str">
        <f>IF(Table1[[#This Row],[stress_score]]&lt;=10, "Normal", IF(Table1[[#This Row],[stress_score]]&lt;=20, "Moderate", IF(Table1[[#This Row],[stress_score]]&lt;=30, "Severe", "Extremely Severe")))</f>
        <v>Normal</v>
      </c>
      <c r="L861">
        <v>-1.1624711999999999</v>
      </c>
      <c r="M861">
        <v>0</v>
      </c>
      <c r="N861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861">
        <v>-1.1088359000000001</v>
      </c>
      <c r="P861">
        <v>0</v>
      </c>
      <c r="Q861">
        <f>ROUND(Table1[[#This Row],[dass21_raw_score]],0)</f>
        <v>0</v>
      </c>
      <c r="R861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861">
        <v>-1.0949099</v>
      </c>
      <c r="T861">
        <v>0</v>
      </c>
      <c r="U861">
        <v>3600</v>
      </c>
      <c r="V861" s="1">
        <f>ROUND(Table1[[#This Row],[fmpce]],0)</f>
        <v>3600</v>
      </c>
      <c r="W861">
        <v>48.976790000000001</v>
      </c>
      <c r="X861" s="4">
        <f>Table1[[#This Row],[mpce]]*89</f>
        <v>4358.9343100000006</v>
      </c>
      <c r="Y861" s="2" t="s">
        <v>32</v>
      </c>
      <c r="Z861" s="3">
        <f>VLOOKUP(Y861, rmpce_reference!$B$1:$D$7,3,FALSE) * 89</f>
        <v>4450</v>
      </c>
      <c r="AA861" s="1" t="str">
        <f>IF(Table1[rmpce_inr]&lt;=rmpce_reference!$F$2, "Low Income", IF(Table1[rmpce_inr]&lt;=rmpce_reference!$F$3, "Middle Income", "High Income"))</f>
        <v>Low Income</v>
      </c>
    </row>
    <row r="862" spans="1:27" x14ac:dyDescent="0.25">
      <c r="A862">
        <v>4200</v>
      </c>
      <c r="B862" t="s">
        <v>42</v>
      </c>
      <c r="C862" t="s">
        <v>29</v>
      </c>
      <c r="D862">
        <v>35</v>
      </c>
      <c r="E862" t="s">
        <v>22</v>
      </c>
      <c r="F862" t="s">
        <v>30</v>
      </c>
      <c r="G862">
        <v>8</v>
      </c>
      <c r="H862" s="1" t="str">
        <f>IF(Table1[[#This Row],[anxiety_score]]&lt;=10, "Normal", IF(Table1[[#This Row],[anxiety_score]]&lt;=20, "Moderate", IF(Table1[[#This Row],[anxiety_score]]&lt;=30, "Severe", "Extremely Severe")))</f>
        <v>Normal</v>
      </c>
      <c r="I862">
        <v>-0.20924408999999999</v>
      </c>
      <c r="J862">
        <v>16</v>
      </c>
      <c r="K862" s="1" t="str">
        <f>IF(Table1[[#This Row],[stress_score]]&lt;=10, "Normal", IF(Table1[[#This Row],[stress_score]]&lt;=20, "Moderate", IF(Table1[[#This Row],[stress_score]]&lt;=30, "Severe", "Extremely Severe")))</f>
        <v>Moderate</v>
      </c>
      <c r="L862">
        <v>0.39481880000000003</v>
      </c>
      <c r="M862">
        <v>4</v>
      </c>
      <c r="N862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862">
        <v>-0.72356116999999998</v>
      </c>
      <c r="P862">
        <v>9.3333329999999997</v>
      </c>
      <c r="Q862">
        <f>ROUND(Table1[[#This Row],[dass21_raw_score]],0)</f>
        <v>9</v>
      </c>
      <c r="R862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862">
        <v>-0.17932881000000001</v>
      </c>
      <c r="T862">
        <v>0.91558110000000004</v>
      </c>
      <c r="U862">
        <v>2000</v>
      </c>
      <c r="V862" s="1">
        <f>ROUND(Table1[[#This Row],[fmpce]],0)</f>
        <v>2000</v>
      </c>
      <c r="W862">
        <v>27.209330000000001</v>
      </c>
      <c r="X862" s="4">
        <f>Table1[[#This Row],[mpce]]*89</f>
        <v>2421.6303700000003</v>
      </c>
      <c r="Y862" s="2" t="s">
        <v>34</v>
      </c>
      <c r="Z862" s="3">
        <f>VLOOKUP(Y862, rmpce_reference!$B$1:$D$7,3,FALSE) * 89</f>
        <v>2848</v>
      </c>
      <c r="AA862" s="1" t="str">
        <f>IF(Table1[rmpce_inr]&lt;=rmpce_reference!$F$2, "Low Income", IF(Table1[rmpce_inr]&lt;=rmpce_reference!$F$3, "Middle Income", "High Income"))</f>
        <v>Low Income</v>
      </c>
    </row>
    <row r="863" spans="1:27" x14ac:dyDescent="0.25">
      <c r="A863">
        <v>4201</v>
      </c>
      <c r="B863" t="s">
        <v>42</v>
      </c>
      <c r="C863" t="s">
        <v>29</v>
      </c>
      <c r="D863">
        <v>34</v>
      </c>
      <c r="E863" t="s">
        <v>22</v>
      </c>
      <c r="F863" t="s">
        <v>30</v>
      </c>
      <c r="G863">
        <v>4</v>
      </c>
      <c r="H863" s="1" t="str">
        <f>IF(Table1[[#This Row],[anxiety_score]]&lt;=10, "Normal", IF(Table1[[#This Row],[anxiety_score]]&lt;=20, "Moderate", IF(Table1[[#This Row],[anxiety_score]]&lt;=30, "Severe", "Extremely Severe")))</f>
        <v>Normal</v>
      </c>
      <c r="I863">
        <v>-0.61133329999999997</v>
      </c>
      <c r="J863">
        <v>16</v>
      </c>
      <c r="K863" s="1" t="str">
        <f>IF(Table1[[#This Row],[stress_score]]&lt;=10, "Normal", IF(Table1[[#This Row],[stress_score]]&lt;=20, "Moderate", IF(Table1[[#This Row],[stress_score]]&lt;=30, "Severe", "Extremely Severe")))</f>
        <v>Moderate</v>
      </c>
      <c r="L863">
        <v>0.39481880000000003</v>
      </c>
      <c r="M863">
        <v>14</v>
      </c>
      <c r="N863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863">
        <v>0.23962580999999999</v>
      </c>
      <c r="P863">
        <v>11.333333</v>
      </c>
      <c r="Q863">
        <f>ROUND(Table1[[#This Row],[dass21_raw_score]],0)</f>
        <v>11</v>
      </c>
      <c r="R863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863">
        <v>7.7037709999999999E-3</v>
      </c>
      <c r="T863">
        <v>1.1026137</v>
      </c>
      <c r="U863">
        <v>3750</v>
      </c>
      <c r="V863" s="1">
        <f>ROUND(Table1[[#This Row],[fmpce]],0)</f>
        <v>3750</v>
      </c>
      <c r="W863">
        <v>51.017493999999999</v>
      </c>
      <c r="X863" s="4">
        <f>Table1[[#This Row],[mpce]]*89</f>
        <v>4540.5569660000001</v>
      </c>
      <c r="Y863" s="2" t="s">
        <v>32</v>
      </c>
      <c r="Z863" s="3">
        <f>VLOOKUP(Y863, rmpce_reference!$B$1:$D$7,3,FALSE) * 89</f>
        <v>4450</v>
      </c>
      <c r="AA863" s="1" t="str">
        <f>IF(Table1[rmpce_inr]&lt;=rmpce_reference!$F$2, "Low Income", IF(Table1[rmpce_inr]&lt;=rmpce_reference!$F$3, "Middle Income", "High Income"))</f>
        <v>Low Income</v>
      </c>
    </row>
    <row r="864" spans="1:27" x14ac:dyDescent="0.25">
      <c r="A864">
        <v>4202</v>
      </c>
      <c r="B864" t="s">
        <v>42</v>
      </c>
      <c r="C864" t="s">
        <v>33</v>
      </c>
      <c r="D864">
        <v>27</v>
      </c>
      <c r="E864" t="s">
        <v>25</v>
      </c>
      <c r="F864" t="s">
        <v>26</v>
      </c>
      <c r="G864">
        <v>10</v>
      </c>
      <c r="H864" s="1" t="str">
        <f>IF(Table1[[#This Row],[anxiety_score]]&lt;=10, "Normal", IF(Table1[[#This Row],[anxiety_score]]&lt;=20, "Moderate", IF(Table1[[#This Row],[anxiety_score]]&lt;=30, "Severe", "Extremely Severe")))</f>
        <v>Normal</v>
      </c>
      <c r="I864">
        <v>-8.1994660000000007E-3</v>
      </c>
      <c r="J864">
        <v>14</v>
      </c>
      <c r="K864" s="1" t="str">
        <f>IF(Table1[[#This Row],[stress_score]]&lt;=10, "Normal", IF(Table1[[#This Row],[stress_score]]&lt;=20, "Moderate", IF(Table1[[#This Row],[stress_score]]&lt;=30, "Severe", "Extremely Severe")))</f>
        <v>Moderate</v>
      </c>
      <c r="L864">
        <v>0.20015757000000001</v>
      </c>
      <c r="M864">
        <v>12</v>
      </c>
      <c r="N864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864">
        <v>4.6988415999999998E-2</v>
      </c>
      <c r="P864">
        <v>12</v>
      </c>
      <c r="Q864">
        <f>ROUND(Table1[[#This Row],[dass21_raw_score]],0)</f>
        <v>12</v>
      </c>
      <c r="R864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864">
        <v>7.9648839999999999E-2</v>
      </c>
      <c r="T864">
        <v>1.1745588</v>
      </c>
      <c r="U864">
        <v>2000</v>
      </c>
      <c r="V864" s="1">
        <f>ROUND(Table1[[#This Row],[fmpce]],0)</f>
        <v>2000</v>
      </c>
      <c r="W864">
        <v>27.209330000000001</v>
      </c>
      <c r="X864" s="4">
        <f>Table1[[#This Row],[mpce]]*89</f>
        <v>2421.6303700000003</v>
      </c>
      <c r="Y864" s="2" t="s">
        <v>34</v>
      </c>
      <c r="Z864" s="3">
        <f>VLOOKUP(Y864, rmpce_reference!$B$1:$D$7,3,FALSE) * 89</f>
        <v>2848</v>
      </c>
      <c r="AA864" s="1" t="str">
        <f>IF(Table1[rmpce_inr]&lt;=rmpce_reference!$F$2, "Low Income", IF(Table1[rmpce_inr]&lt;=rmpce_reference!$F$3, "Middle Income", "High Income"))</f>
        <v>Low Income</v>
      </c>
    </row>
    <row r="865" spans="1:27" x14ac:dyDescent="0.25">
      <c r="A865">
        <v>4203</v>
      </c>
      <c r="B865" t="s">
        <v>42</v>
      </c>
      <c r="C865" t="s">
        <v>33</v>
      </c>
      <c r="D865">
        <v>30</v>
      </c>
      <c r="E865" t="s">
        <v>25</v>
      </c>
      <c r="F865" t="s">
        <v>26</v>
      </c>
      <c r="G865">
        <v>4</v>
      </c>
      <c r="H865" s="1" t="str">
        <f>IF(Table1[[#This Row],[anxiety_score]]&lt;=10, "Normal", IF(Table1[[#This Row],[anxiety_score]]&lt;=20, "Moderate", IF(Table1[[#This Row],[anxiety_score]]&lt;=30, "Severe", "Extremely Severe")))</f>
        <v>Normal</v>
      </c>
      <c r="I865">
        <v>-0.61133329999999997</v>
      </c>
      <c r="J865">
        <v>6</v>
      </c>
      <c r="K865" s="1" t="str">
        <f>IF(Table1[[#This Row],[stress_score]]&lt;=10, "Normal", IF(Table1[[#This Row],[stress_score]]&lt;=20, "Moderate", IF(Table1[[#This Row],[stress_score]]&lt;=30, "Severe", "Extremely Severe")))</f>
        <v>Normal</v>
      </c>
      <c r="L865">
        <v>-0.57848745999999995</v>
      </c>
      <c r="M865">
        <v>0</v>
      </c>
      <c r="N865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865">
        <v>-1.1088359000000001</v>
      </c>
      <c r="P865">
        <v>3.3333333000000001</v>
      </c>
      <c r="Q865">
        <f>ROUND(Table1[[#This Row],[dass21_raw_score]],0)</f>
        <v>3</v>
      </c>
      <c r="R865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865">
        <v>-0.76621890000000004</v>
      </c>
      <c r="T865">
        <v>0.32869100000000001</v>
      </c>
      <c r="U865">
        <v>3500</v>
      </c>
      <c r="V865" s="1">
        <f>ROUND(Table1[[#This Row],[fmpce]],0)</f>
        <v>3500</v>
      </c>
      <c r="W865">
        <v>47.616325000000003</v>
      </c>
      <c r="X865" s="4">
        <f>Table1[[#This Row],[mpce]]*89</f>
        <v>4237.8529250000001</v>
      </c>
      <c r="Y865" s="2" t="s">
        <v>32</v>
      </c>
      <c r="Z865" s="3">
        <f>VLOOKUP(Y865, rmpce_reference!$B$1:$D$7,3,FALSE) * 89</f>
        <v>4450</v>
      </c>
      <c r="AA865" s="1" t="str">
        <f>IF(Table1[rmpce_inr]&lt;=rmpce_reference!$F$2, "Low Income", IF(Table1[rmpce_inr]&lt;=rmpce_reference!$F$3, "Middle Income", "High Income"))</f>
        <v>Low Income</v>
      </c>
    </row>
    <row r="866" spans="1:27" x14ac:dyDescent="0.25">
      <c r="A866">
        <v>5001</v>
      </c>
      <c r="B866" t="s">
        <v>43</v>
      </c>
      <c r="C866" t="s">
        <v>36</v>
      </c>
      <c r="D866">
        <v>55</v>
      </c>
      <c r="E866" t="s">
        <v>25</v>
      </c>
      <c r="F866" t="s">
        <v>26</v>
      </c>
      <c r="G866">
        <v>6</v>
      </c>
      <c r="H866" s="1" t="str">
        <f>IF(Table1[[#This Row],[anxiety_score]]&lt;=10, "Normal", IF(Table1[[#This Row],[anxiety_score]]&lt;=20, "Moderate", IF(Table1[[#This Row],[anxiety_score]]&lt;=30, "Severe", "Extremely Severe")))</f>
        <v>Normal</v>
      </c>
      <c r="I866">
        <v>-0.41028870000000001</v>
      </c>
      <c r="J866">
        <v>4</v>
      </c>
      <c r="K866" s="1" t="str">
        <f>IF(Table1[[#This Row],[stress_score]]&lt;=10, "Normal", IF(Table1[[#This Row],[stress_score]]&lt;=20, "Moderate", IF(Table1[[#This Row],[stress_score]]&lt;=30, "Severe", "Extremely Severe")))</f>
        <v>Normal</v>
      </c>
      <c r="L866">
        <v>-0.77314866000000004</v>
      </c>
      <c r="M866">
        <v>8</v>
      </c>
      <c r="N866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866">
        <v>-0.33828637</v>
      </c>
      <c r="P866">
        <v>6</v>
      </c>
      <c r="Q866">
        <f>ROUND(Table1[[#This Row],[dass21_raw_score]],0)</f>
        <v>6</v>
      </c>
      <c r="R866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866">
        <v>-0.50724124999999998</v>
      </c>
      <c r="T866">
        <v>0.58766865999999995</v>
      </c>
      <c r="U866">
        <v>6666.6665000000003</v>
      </c>
      <c r="V866" s="1">
        <f>ROUND(Table1[[#This Row],[fmpce]],0)</f>
        <v>6667</v>
      </c>
      <c r="W866">
        <v>90.697760000000002</v>
      </c>
      <c r="X866" s="4">
        <f>Table1[[#This Row],[mpce]]*89</f>
        <v>8072.1006400000006</v>
      </c>
      <c r="Y866" s="2" t="s">
        <v>31</v>
      </c>
      <c r="Z866" s="3">
        <f>VLOOKUP(Y866, rmpce_reference!$B$1:$D$7,3,FALSE) * 89</f>
        <v>8010</v>
      </c>
      <c r="AA866" s="1" t="str">
        <f>IF(Table1[rmpce_inr]&lt;=rmpce_reference!$F$2, "Low Income", IF(Table1[rmpce_inr]&lt;=rmpce_reference!$F$3, "Middle Income", "High Income"))</f>
        <v>High Income</v>
      </c>
    </row>
    <row r="867" spans="1:27" x14ac:dyDescent="0.25">
      <c r="A867">
        <v>5002</v>
      </c>
      <c r="B867" t="s">
        <v>43</v>
      </c>
      <c r="C867" t="s">
        <v>21</v>
      </c>
      <c r="D867">
        <v>46</v>
      </c>
      <c r="E867" t="s">
        <v>25</v>
      </c>
      <c r="F867" t="s">
        <v>23</v>
      </c>
      <c r="G867">
        <v>6</v>
      </c>
      <c r="H867" s="1" t="str">
        <f>IF(Table1[[#This Row],[anxiety_score]]&lt;=10, "Normal", IF(Table1[[#This Row],[anxiety_score]]&lt;=20, "Moderate", IF(Table1[[#This Row],[anxiety_score]]&lt;=30, "Severe", "Extremely Severe")))</f>
        <v>Normal</v>
      </c>
      <c r="I867">
        <v>-0.41028870000000001</v>
      </c>
      <c r="J867">
        <v>12</v>
      </c>
      <c r="K867" s="1" t="str">
        <f>IF(Table1[[#This Row],[stress_score]]&lt;=10, "Normal", IF(Table1[[#This Row],[stress_score]]&lt;=20, "Moderate", IF(Table1[[#This Row],[stress_score]]&lt;=30, "Severe", "Extremely Severe")))</f>
        <v>Moderate</v>
      </c>
      <c r="L867">
        <v>5.496318E-3</v>
      </c>
      <c r="M867">
        <v>8</v>
      </c>
      <c r="N867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867">
        <v>-0.33828637</v>
      </c>
      <c r="P867">
        <v>8.6666670000000003</v>
      </c>
      <c r="Q867">
        <f>ROUND(Table1[[#This Row],[dass21_raw_score]],0)</f>
        <v>9</v>
      </c>
      <c r="R867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867">
        <v>-0.24769290999999999</v>
      </c>
      <c r="T867">
        <v>0.84721696000000002</v>
      </c>
      <c r="U867">
        <v>20000</v>
      </c>
      <c r="V867" s="1">
        <f>ROUND(Table1[[#This Row],[fmpce]],0)</f>
        <v>20000</v>
      </c>
      <c r="W867">
        <v>272.0933</v>
      </c>
      <c r="X867" s="4">
        <f>Table1[[#This Row],[mpce]]*89</f>
        <v>24216.3037</v>
      </c>
      <c r="Y867" s="2" t="s">
        <v>35</v>
      </c>
      <c r="Z867" s="3">
        <f>VLOOKUP(Y867, rmpce_reference!$B$1:$D$7,3,FALSE) * 89</f>
        <v>9790</v>
      </c>
      <c r="AA867" s="1" t="str">
        <f>IF(Table1[rmpce_inr]&lt;=rmpce_reference!$F$2, "Low Income", IF(Table1[rmpce_inr]&lt;=rmpce_reference!$F$3, "Middle Income", "High Income"))</f>
        <v>High Income</v>
      </c>
    </row>
    <row r="868" spans="1:27" x14ac:dyDescent="0.25">
      <c r="A868">
        <v>5003</v>
      </c>
      <c r="B868" t="s">
        <v>43</v>
      </c>
      <c r="C868" t="s">
        <v>21</v>
      </c>
      <c r="D868">
        <v>45</v>
      </c>
      <c r="E868" t="s">
        <v>25</v>
      </c>
      <c r="F868" t="s">
        <v>23</v>
      </c>
      <c r="G868">
        <v>12</v>
      </c>
      <c r="H868" s="1" t="str">
        <f>IF(Table1[[#This Row],[anxiety_score]]&lt;=10, "Normal", IF(Table1[[#This Row],[anxiety_score]]&lt;=20, "Moderate", IF(Table1[[#This Row],[anxiety_score]]&lt;=30, "Severe", "Extremely Severe")))</f>
        <v>Moderate</v>
      </c>
      <c r="I868">
        <v>0.19284514999999999</v>
      </c>
      <c r="J868">
        <v>10</v>
      </c>
      <c r="K868" s="1" t="str">
        <f>IF(Table1[[#This Row],[stress_score]]&lt;=10, "Normal", IF(Table1[[#This Row],[stress_score]]&lt;=20, "Moderate", IF(Table1[[#This Row],[stress_score]]&lt;=30, "Severe", "Extremely Severe")))</f>
        <v>Normal</v>
      </c>
      <c r="L868">
        <v>-0.18916494</v>
      </c>
      <c r="M868">
        <v>6</v>
      </c>
      <c r="N868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868">
        <v>-0.53092379999999995</v>
      </c>
      <c r="P868">
        <v>9.3333329999999997</v>
      </c>
      <c r="Q868">
        <f>ROUND(Table1[[#This Row],[dass21_raw_score]],0)</f>
        <v>9</v>
      </c>
      <c r="R868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868">
        <v>-0.17574786000000001</v>
      </c>
      <c r="T868">
        <v>0.91916202999999996</v>
      </c>
      <c r="U868">
        <v>13333.333000000001</v>
      </c>
      <c r="V868" s="1">
        <f>ROUND(Table1[[#This Row],[fmpce]],0)</f>
        <v>13333</v>
      </c>
      <c r="W868">
        <v>181.39552</v>
      </c>
      <c r="X868" s="4">
        <f>Table1[[#This Row],[mpce]]*89</f>
        <v>16144.201280000001</v>
      </c>
      <c r="Y868" s="2" t="s">
        <v>35</v>
      </c>
      <c r="Z868" s="3">
        <f>VLOOKUP(Y868, rmpce_reference!$B$1:$D$7,3,FALSE) * 89</f>
        <v>9790</v>
      </c>
      <c r="AA868" s="1" t="str">
        <f>IF(Table1[rmpce_inr]&lt;=rmpce_reference!$F$2, "Low Income", IF(Table1[rmpce_inr]&lt;=rmpce_reference!$F$3, "Middle Income", "High Income"))</f>
        <v>High Income</v>
      </c>
    </row>
    <row r="869" spans="1:27" x14ac:dyDescent="0.25">
      <c r="A869">
        <v>5004</v>
      </c>
      <c r="B869" t="s">
        <v>43</v>
      </c>
      <c r="C869" t="s">
        <v>21</v>
      </c>
      <c r="D869">
        <v>43</v>
      </c>
      <c r="E869" t="s">
        <v>25</v>
      </c>
      <c r="F869" t="s">
        <v>26</v>
      </c>
      <c r="G869">
        <v>0</v>
      </c>
      <c r="H869" s="1" t="str">
        <f>IF(Table1[[#This Row],[anxiety_score]]&lt;=10, "Normal", IF(Table1[[#This Row],[anxiety_score]]&lt;=20, "Moderate", IF(Table1[[#This Row],[anxiety_score]]&lt;=30, "Severe", "Extremely Severe")))</f>
        <v>Normal</v>
      </c>
      <c r="I869">
        <v>-1.0134224999999999</v>
      </c>
      <c r="J869">
        <v>4</v>
      </c>
      <c r="K869" s="1" t="str">
        <f>IF(Table1[[#This Row],[stress_score]]&lt;=10, "Normal", IF(Table1[[#This Row],[stress_score]]&lt;=20, "Moderate", IF(Table1[[#This Row],[stress_score]]&lt;=30, "Severe", "Extremely Severe")))</f>
        <v>Normal</v>
      </c>
      <c r="L869">
        <v>-0.77314866000000004</v>
      </c>
      <c r="M869">
        <v>0</v>
      </c>
      <c r="N869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869">
        <v>-1.1088359000000001</v>
      </c>
      <c r="P869">
        <v>1.3333333999999999</v>
      </c>
      <c r="Q869">
        <f>ROUND(Table1[[#This Row],[dass21_raw_score]],0)</f>
        <v>1</v>
      </c>
      <c r="R869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869">
        <v>-0.96513570000000004</v>
      </c>
      <c r="T869">
        <v>0.12977421</v>
      </c>
      <c r="U869">
        <v>10000</v>
      </c>
      <c r="V869" s="1">
        <f>ROUND(Table1[[#This Row],[fmpce]],0)</f>
        <v>10000</v>
      </c>
      <c r="W869">
        <v>136.04665</v>
      </c>
      <c r="X869" s="4">
        <f>Table1[[#This Row],[mpce]]*89</f>
        <v>12108.15185</v>
      </c>
      <c r="Y869" s="2" t="s">
        <v>35</v>
      </c>
      <c r="Z869" s="3">
        <f>VLOOKUP(Y869, rmpce_reference!$B$1:$D$7,3,FALSE) * 89</f>
        <v>9790</v>
      </c>
      <c r="AA869" s="1" t="str">
        <f>IF(Table1[rmpce_inr]&lt;=rmpce_reference!$F$2, "Low Income", IF(Table1[rmpce_inr]&lt;=rmpce_reference!$F$3, "Middle Income", "High Income"))</f>
        <v>High Income</v>
      </c>
    </row>
    <row r="870" spans="1:27" x14ac:dyDescent="0.25">
      <c r="A870">
        <v>5005</v>
      </c>
      <c r="B870" t="s">
        <v>43</v>
      </c>
      <c r="C870" t="s">
        <v>21</v>
      </c>
      <c r="D870">
        <v>45</v>
      </c>
      <c r="E870" t="s">
        <v>25</v>
      </c>
      <c r="F870" t="s">
        <v>23</v>
      </c>
      <c r="G870">
        <v>6</v>
      </c>
      <c r="H870" s="1" t="str">
        <f>IF(Table1[[#This Row],[anxiety_score]]&lt;=10, "Normal", IF(Table1[[#This Row],[anxiety_score]]&lt;=20, "Moderate", IF(Table1[[#This Row],[anxiety_score]]&lt;=30, "Severe", "Extremely Severe")))</f>
        <v>Normal</v>
      </c>
      <c r="I870">
        <v>-0.41028870000000001</v>
      </c>
      <c r="J870">
        <v>6</v>
      </c>
      <c r="K870" s="1" t="str">
        <f>IF(Table1[[#This Row],[stress_score]]&lt;=10, "Normal", IF(Table1[[#This Row],[stress_score]]&lt;=20, "Moderate", IF(Table1[[#This Row],[stress_score]]&lt;=30, "Severe", "Extremely Severe")))</f>
        <v>Normal</v>
      </c>
      <c r="L870">
        <v>-0.57848745999999995</v>
      </c>
      <c r="M870">
        <v>10</v>
      </c>
      <c r="N870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870">
        <v>-0.14564899000000001</v>
      </c>
      <c r="P870">
        <v>7.3333335000000002</v>
      </c>
      <c r="Q870">
        <f>ROUND(Table1[[#This Row],[dass21_raw_score]],0)</f>
        <v>7</v>
      </c>
      <c r="R870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870">
        <v>-0.37814170000000003</v>
      </c>
      <c r="T870">
        <v>0.71676819999999997</v>
      </c>
      <c r="U870">
        <v>6250</v>
      </c>
      <c r="V870" s="1">
        <f>ROUND(Table1[[#This Row],[fmpce]],0)</f>
        <v>6250</v>
      </c>
      <c r="W870">
        <v>85.029150000000001</v>
      </c>
      <c r="X870" s="4">
        <f>Table1[[#This Row],[mpce]]*89</f>
        <v>7567.5943500000003</v>
      </c>
      <c r="Y870" s="2" t="s">
        <v>31</v>
      </c>
      <c r="Z870" s="3">
        <f>VLOOKUP(Y870, rmpce_reference!$B$1:$D$7,3,FALSE) * 89</f>
        <v>8010</v>
      </c>
      <c r="AA870" s="1" t="str">
        <f>IF(Table1[rmpce_inr]&lt;=rmpce_reference!$F$2, "Low Income", IF(Table1[rmpce_inr]&lt;=rmpce_reference!$F$3, "Middle Income", "High Income"))</f>
        <v>High Income</v>
      </c>
    </row>
    <row r="871" spans="1:27" x14ac:dyDescent="0.25">
      <c r="A871">
        <v>5006</v>
      </c>
      <c r="B871" t="s">
        <v>43</v>
      </c>
      <c r="C871" t="s">
        <v>21</v>
      </c>
      <c r="D871">
        <v>41</v>
      </c>
      <c r="E871" t="s">
        <v>25</v>
      </c>
      <c r="F871" t="s">
        <v>30</v>
      </c>
      <c r="G871">
        <v>0</v>
      </c>
      <c r="H871" s="1" t="str">
        <f>IF(Table1[[#This Row],[anxiety_score]]&lt;=10, "Normal", IF(Table1[[#This Row],[anxiety_score]]&lt;=20, "Moderate", IF(Table1[[#This Row],[anxiety_score]]&lt;=30, "Severe", "Extremely Severe")))</f>
        <v>Normal</v>
      </c>
      <c r="I871">
        <v>-1.0134224999999999</v>
      </c>
      <c r="J871">
        <v>2</v>
      </c>
      <c r="K871" s="1" t="str">
        <f>IF(Table1[[#This Row],[stress_score]]&lt;=10, "Normal", IF(Table1[[#This Row],[stress_score]]&lt;=20, "Moderate", IF(Table1[[#This Row],[stress_score]]&lt;=30, "Severe", "Extremely Severe")))</f>
        <v>Normal</v>
      </c>
      <c r="L871">
        <v>-0.9678099</v>
      </c>
      <c r="M871">
        <v>2</v>
      </c>
      <c r="N871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871">
        <v>-0.91619854999999994</v>
      </c>
      <c r="P871">
        <v>1.3333333999999999</v>
      </c>
      <c r="Q871">
        <f>ROUND(Table1[[#This Row],[dass21_raw_score]],0)</f>
        <v>1</v>
      </c>
      <c r="R871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871">
        <v>-0.96581030000000001</v>
      </c>
      <c r="T871">
        <v>0.12909961</v>
      </c>
      <c r="U871">
        <v>6250</v>
      </c>
      <c r="V871" s="1">
        <f>ROUND(Table1[[#This Row],[fmpce]],0)</f>
        <v>6250</v>
      </c>
      <c r="W871">
        <v>85.029150000000001</v>
      </c>
      <c r="X871" s="4">
        <f>Table1[[#This Row],[mpce]]*89</f>
        <v>7567.5943500000003</v>
      </c>
      <c r="Y871" s="2" t="s">
        <v>31</v>
      </c>
      <c r="Z871" s="3">
        <f>VLOOKUP(Y871, rmpce_reference!$B$1:$D$7,3,FALSE) * 89</f>
        <v>8010</v>
      </c>
      <c r="AA871" s="1" t="str">
        <f>IF(Table1[rmpce_inr]&lt;=rmpce_reference!$F$2, "Low Income", IF(Table1[rmpce_inr]&lt;=rmpce_reference!$F$3, "Middle Income", "High Income"))</f>
        <v>High Income</v>
      </c>
    </row>
    <row r="872" spans="1:27" x14ac:dyDescent="0.25">
      <c r="A872">
        <v>5007</v>
      </c>
      <c r="B872" t="s">
        <v>43</v>
      </c>
      <c r="C872" t="s">
        <v>29</v>
      </c>
      <c r="D872">
        <v>40</v>
      </c>
      <c r="E872" t="s">
        <v>22</v>
      </c>
      <c r="F872" t="s">
        <v>23</v>
      </c>
      <c r="G872">
        <v>2</v>
      </c>
      <c r="H872" s="1" t="str">
        <f>IF(Table1[[#This Row],[anxiety_score]]&lt;=10, "Normal", IF(Table1[[#This Row],[anxiety_score]]&lt;=20, "Moderate", IF(Table1[[#This Row],[anxiety_score]]&lt;=30, "Severe", "Extremely Severe")))</f>
        <v>Normal</v>
      </c>
      <c r="I872">
        <v>-0.81237789999999999</v>
      </c>
      <c r="J872">
        <v>2</v>
      </c>
      <c r="K872" s="1" t="str">
        <f>IF(Table1[[#This Row],[stress_score]]&lt;=10, "Normal", IF(Table1[[#This Row],[stress_score]]&lt;=20, "Moderate", IF(Table1[[#This Row],[stress_score]]&lt;=30, "Severe", "Extremely Severe")))</f>
        <v>Normal</v>
      </c>
      <c r="L872">
        <v>-0.9678099</v>
      </c>
      <c r="M872">
        <v>0</v>
      </c>
      <c r="N872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872">
        <v>-1.1088359000000001</v>
      </c>
      <c r="P872">
        <v>1.3333333999999999</v>
      </c>
      <c r="Q872">
        <f>ROUND(Table1[[#This Row],[dass21_raw_score]],0)</f>
        <v>1</v>
      </c>
      <c r="R872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872">
        <v>-0.96300790000000003</v>
      </c>
      <c r="T872">
        <v>0.13190198</v>
      </c>
      <c r="U872">
        <v>3333.3332999999998</v>
      </c>
      <c r="V872" s="1">
        <f>ROUND(Table1[[#This Row],[fmpce]],0)</f>
        <v>3333</v>
      </c>
      <c r="W872">
        <v>45.348880000000001</v>
      </c>
      <c r="X872" s="4">
        <f>Table1[[#This Row],[mpce]]*89</f>
        <v>4036.0503200000003</v>
      </c>
      <c r="Y872" s="2" t="s">
        <v>32</v>
      </c>
      <c r="Z872" s="3">
        <f>VLOOKUP(Y872, rmpce_reference!$B$1:$D$7,3,FALSE) * 89</f>
        <v>4450</v>
      </c>
      <c r="AA872" s="1" t="str">
        <f>IF(Table1[rmpce_inr]&lt;=rmpce_reference!$F$2, "Low Income", IF(Table1[rmpce_inr]&lt;=rmpce_reference!$F$3, "Middle Income", "High Income"))</f>
        <v>Low Income</v>
      </c>
    </row>
    <row r="873" spans="1:27" x14ac:dyDescent="0.25">
      <c r="A873">
        <v>5008</v>
      </c>
      <c r="B873" t="s">
        <v>43</v>
      </c>
      <c r="C873" t="s">
        <v>21</v>
      </c>
      <c r="D873">
        <v>48</v>
      </c>
      <c r="E873" t="s">
        <v>22</v>
      </c>
      <c r="F873" t="s">
        <v>30</v>
      </c>
      <c r="G873">
        <v>2</v>
      </c>
      <c r="H873" s="1" t="str">
        <f>IF(Table1[[#This Row],[anxiety_score]]&lt;=10, "Normal", IF(Table1[[#This Row],[anxiety_score]]&lt;=20, "Moderate", IF(Table1[[#This Row],[anxiety_score]]&lt;=30, "Severe", "Extremely Severe")))</f>
        <v>Normal</v>
      </c>
      <c r="I873">
        <v>-0.81237789999999999</v>
      </c>
      <c r="J873">
        <v>0</v>
      </c>
      <c r="K873" s="1" t="str">
        <f>IF(Table1[[#This Row],[stress_score]]&lt;=10, "Normal", IF(Table1[[#This Row],[stress_score]]&lt;=20, "Moderate", IF(Table1[[#This Row],[stress_score]]&lt;=30, "Severe", "Extremely Severe")))</f>
        <v>Normal</v>
      </c>
      <c r="L873">
        <v>-1.1624711999999999</v>
      </c>
      <c r="M873">
        <v>2</v>
      </c>
      <c r="N873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873">
        <v>-0.91619854999999994</v>
      </c>
      <c r="P873">
        <v>1.3333333999999999</v>
      </c>
      <c r="Q873">
        <f>ROUND(Table1[[#This Row],[dass21_raw_score]],0)</f>
        <v>1</v>
      </c>
      <c r="R873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873">
        <v>-0.96368253000000004</v>
      </c>
      <c r="T873">
        <v>0.13122737000000001</v>
      </c>
      <c r="U873">
        <v>3333.3332999999998</v>
      </c>
      <c r="V873" s="1">
        <f>ROUND(Table1[[#This Row],[fmpce]],0)</f>
        <v>3333</v>
      </c>
      <c r="W873">
        <v>45.348880000000001</v>
      </c>
      <c r="X873" s="4">
        <f>Table1[[#This Row],[mpce]]*89</f>
        <v>4036.0503200000003</v>
      </c>
      <c r="Y873" s="2" t="s">
        <v>32</v>
      </c>
      <c r="Z873" s="3">
        <f>VLOOKUP(Y873, rmpce_reference!$B$1:$D$7,3,FALSE) * 89</f>
        <v>4450</v>
      </c>
      <c r="AA873" s="1" t="str">
        <f>IF(Table1[rmpce_inr]&lt;=rmpce_reference!$F$2, "Low Income", IF(Table1[rmpce_inr]&lt;=rmpce_reference!$F$3, "Middle Income", "High Income"))</f>
        <v>Low Income</v>
      </c>
    </row>
    <row r="874" spans="1:27" x14ac:dyDescent="0.25">
      <c r="A874">
        <v>5009</v>
      </c>
      <c r="B874" t="s">
        <v>43</v>
      </c>
      <c r="C874" t="s">
        <v>36</v>
      </c>
      <c r="D874">
        <v>52</v>
      </c>
      <c r="E874" t="s">
        <v>22</v>
      </c>
      <c r="F874" t="s">
        <v>23</v>
      </c>
      <c r="G874">
        <v>0</v>
      </c>
      <c r="H874" s="1" t="str">
        <f>IF(Table1[[#This Row],[anxiety_score]]&lt;=10, "Normal", IF(Table1[[#This Row],[anxiety_score]]&lt;=20, "Moderate", IF(Table1[[#This Row],[anxiety_score]]&lt;=30, "Severe", "Extremely Severe")))</f>
        <v>Normal</v>
      </c>
      <c r="I874">
        <v>-1.0134224999999999</v>
      </c>
      <c r="J874">
        <v>4</v>
      </c>
      <c r="K874" s="1" t="str">
        <f>IF(Table1[[#This Row],[stress_score]]&lt;=10, "Normal", IF(Table1[[#This Row],[stress_score]]&lt;=20, "Moderate", IF(Table1[[#This Row],[stress_score]]&lt;=30, "Severe", "Extremely Severe")))</f>
        <v>Normal</v>
      </c>
      <c r="L874">
        <v>-0.77314866000000004</v>
      </c>
      <c r="M874">
        <v>0</v>
      </c>
      <c r="N874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874">
        <v>-1.1088359000000001</v>
      </c>
      <c r="P874">
        <v>1.3333333999999999</v>
      </c>
      <c r="Q874">
        <f>ROUND(Table1[[#This Row],[dass21_raw_score]],0)</f>
        <v>1</v>
      </c>
      <c r="R874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874">
        <v>-0.96513570000000004</v>
      </c>
      <c r="T874">
        <v>0.12977421</v>
      </c>
      <c r="U874">
        <v>7333.3334999999997</v>
      </c>
      <c r="V874" s="1">
        <f>ROUND(Table1[[#This Row],[fmpce]],0)</f>
        <v>7333</v>
      </c>
      <c r="W874">
        <v>99.76755</v>
      </c>
      <c r="X874" s="4">
        <f>Table1[[#This Row],[mpce]]*89</f>
        <v>8879.3119499999993</v>
      </c>
      <c r="Y874" s="2" t="s">
        <v>31</v>
      </c>
      <c r="Z874" s="3">
        <f>VLOOKUP(Y874, rmpce_reference!$B$1:$D$7,3,FALSE) * 89</f>
        <v>8010</v>
      </c>
      <c r="AA874" s="1" t="str">
        <f>IF(Table1[rmpce_inr]&lt;=rmpce_reference!$F$2, "Low Income", IF(Table1[rmpce_inr]&lt;=rmpce_reference!$F$3, "Middle Income", "High Income"))</f>
        <v>High Income</v>
      </c>
    </row>
    <row r="875" spans="1:27" x14ac:dyDescent="0.25">
      <c r="A875">
        <v>5010</v>
      </c>
      <c r="B875" t="s">
        <v>43</v>
      </c>
      <c r="C875" t="s">
        <v>29</v>
      </c>
      <c r="D875">
        <v>31</v>
      </c>
      <c r="E875" t="s">
        <v>22</v>
      </c>
      <c r="F875" t="s">
        <v>23</v>
      </c>
      <c r="G875">
        <v>0</v>
      </c>
      <c r="H875" s="1" t="str">
        <f>IF(Table1[[#This Row],[anxiety_score]]&lt;=10, "Normal", IF(Table1[[#This Row],[anxiety_score]]&lt;=20, "Moderate", IF(Table1[[#This Row],[anxiety_score]]&lt;=30, "Severe", "Extremely Severe")))</f>
        <v>Normal</v>
      </c>
      <c r="I875">
        <v>-1.0134224999999999</v>
      </c>
      <c r="J875">
        <v>0</v>
      </c>
      <c r="K875" s="1" t="str">
        <f>IF(Table1[[#This Row],[stress_score]]&lt;=10, "Normal", IF(Table1[[#This Row],[stress_score]]&lt;=20, "Moderate", IF(Table1[[#This Row],[stress_score]]&lt;=30, "Severe", "Extremely Severe")))</f>
        <v>Normal</v>
      </c>
      <c r="L875">
        <v>-1.1624711999999999</v>
      </c>
      <c r="M875">
        <v>10</v>
      </c>
      <c r="N875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875">
        <v>-0.14564899000000001</v>
      </c>
      <c r="P875">
        <v>3.3333333000000001</v>
      </c>
      <c r="Q875">
        <f>ROUND(Table1[[#This Row],[dass21_raw_score]],0)</f>
        <v>3</v>
      </c>
      <c r="R875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875">
        <v>-0.77384759999999997</v>
      </c>
      <c r="T875">
        <v>0.32106233000000001</v>
      </c>
      <c r="U875">
        <v>5000</v>
      </c>
      <c r="V875" s="1">
        <f>ROUND(Table1[[#This Row],[fmpce]],0)</f>
        <v>5000</v>
      </c>
      <c r="W875">
        <v>68.023319999999998</v>
      </c>
      <c r="X875" s="4">
        <f>Table1[[#This Row],[mpce]]*89</f>
        <v>6054.0754799999995</v>
      </c>
      <c r="Y875" s="2" t="s">
        <v>28</v>
      </c>
      <c r="Z875" s="3">
        <f>VLOOKUP(Y875, rmpce_reference!$B$1:$D$7,3,FALSE) * 89</f>
        <v>6230</v>
      </c>
      <c r="AA875" s="1" t="str">
        <f>IF(Table1[rmpce_inr]&lt;=rmpce_reference!$F$2, "Low Income", IF(Table1[rmpce_inr]&lt;=rmpce_reference!$F$3, "Middle Income", "High Income"))</f>
        <v>Middle Income</v>
      </c>
    </row>
    <row r="876" spans="1:27" x14ac:dyDescent="0.25">
      <c r="A876">
        <v>5011</v>
      </c>
      <c r="B876" t="s">
        <v>43</v>
      </c>
      <c r="C876" t="s">
        <v>21</v>
      </c>
      <c r="D876">
        <v>48</v>
      </c>
      <c r="E876" t="s">
        <v>22</v>
      </c>
      <c r="F876" t="s">
        <v>23</v>
      </c>
      <c r="G876">
        <v>4</v>
      </c>
      <c r="H876" s="1" t="str">
        <f>IF(Table1[[#This Row],[anxiety_score]]&lt;=10, "Normal", IF(Table1[[#This Row],[anxiety_score]]&lt;=20, "Moderate", IF(Table1[[#This Row],[anxiety_score]]&lt;=30, "Severe", "Extremely Severe")))</f>
        <v>Normal</v>
      </c>
      <c r="I876">
        <v>-0.61133329999999997</v>
      </c>
      <c r="J876">
        <v>2</v>
      </c>
      <c r="K876" s="1" t="str">
        <f>IF(Table1[[#This Row],[stress_score]]&lt;=10, "Normal", IF(Table1[[#This Row],[stress_score]]&lt;=20, "Moderate", IF(Table1[[#This Row],[stress_score]]&lt;=30, "Severe", "Extremely Severe")))</f>
        <v>Normal</v>
      </c>
      <c r="L876">
        <v>-0.9678099</v>
      </c>
      <c r="M876">
        <v>0</v>
      </c>
      <c r="N876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876">
        <v>-1.1088359000000001</v>
      </c>
      <c r="P876">
        <v>2</v>
      </c>
      <c r="Q876">
        <f>ROUND(Table1[[#This Row],[dass21_raw_score]],0)</f>
        <v>2</v>
      </c>
      <c r="R876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876">
        <v>-0.89599304999999996</v>
      </c>
      <c r="T876">
        <v>0.19891685000000001</v>
      </c>
      <c r="U876">
        <v>13333.333000000001</v>
      </c>
      <c r="V876" s="1">
        <f>ROUND(Table1[[#This Row],[fmpce]],0)</f>
        <v>13333</v>
      </c>
      <c r="W876">
        <v>181.39552</v>
      </c>
      <c r="X876" s="4">
        <f>Table1[[#This Row],[mpce]]*89</f>
        <v>16144.201280000001</v>
      </c>
      <c r="Y876" s="2" t="s">
        <v>35</v>
      </c>
      <c r="Z876" s="3">
        <f>VLOOKUP(Y876, rmpce_reference!$B$1:$D$7,3,FALSE) * 89</f>
        <v>9790</v>
      </c>
      <c r="AA876" s="1" t="str">
        <f>IF(Table1[rmpce_inr]&lt;=rmpce_reference!$F$2, "Low Income", IF(Table1[rmpce_inr]&lt;=rmpce_reference!$F$3, "Middle Income", "High Income"))</f>
        <v>High Income</v>
      </c>
    </row>
    <row r="877" spans="1:27" x14ac:dyDescent="0.25">
      <c r="A877">
        <v>5012</v>
      </c>
      <c r="B877" t="s">
        <v>43</v>
      </c>
      <c r="C877" t="s">
        <v>29</v>
      </c>
      <c r="D877">
        <v>38</v>
      </c>
      <c r="E877" t="s">
        <v>25</v>
      </c>
      <c r="F877" t="s">
        <v>26</v>
      </c>
      <c r="G877">
        <v>8</v>
      </c>
      <c r="H877" s="1" t="str">
        <f>IF(Table1[[#This Row],[anxiety_score]]&lt;=10, "Normal", IF(Table1[[#This Row],[anxiety_score]]&lt;=20, "Moderate", IF(Table1[[#This Row],[anxiety_score]]&lt;=30, "Severe", "Extremely Severe")))</f>
        <v>Normal</v>
      </c>
      <c r="I877">
        <v>-0.20924408999999999</v>
      </c>
      <c r="J877">
        <v>24</v>
      </c>
      <c r="K877" s="1" t="str">
        <f>IF(Table1[[#This Row],[stress_score]]&lt;=10, "Normal", IF(Table1[[#This Row],[stress_score]]&lt;=20, "Moderate", IF(Table1[[#This Row],[stress_score]]&lt;=30, "Severe", "Extremely Severe")))</f>
        <v>Severe</v>
      </c>
      <c r="L877">
        <v>1.1734637999999999</v>
      </c>
      <c r="M877">
        <v>30</v>
      </c>
      <c r="N877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877">
        <v>1.7807249999999999</v>
      </c>
      <c r="P877">
        <v>20.666665999999999</v>
      </c>
      <c r="Q877">
        <f>ROUND(Table1[[#This Row],[dass21_raw_score]],0)</f>
        <v>21</v>
      </c>
      <c r="R877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877">
        <v>0.91498159999999995</v>
      </c>
      <c r="T877">
        <v>2.0098915000000002</v>
      </c>
      <c r="U877">
        <v>0</v>
      </c>
      <c r="V877" s="1">
        <f>ROUND(Table1[[#This Row],[fmpce]],0)</f>
        <v>0</v>
      </c>
      <c r="W877">
        <v>0</v>
      </c>
      <c r="X877" s="4">
        <f>Table1[[#This Row],[mpce]]*89</f>
        <v>0</v>
      </c>
      <c r="Y877" s="2" t="s">
        <v>24</v>
      </c>
      <c r="Z877" s="3">
        <f>VLOOKUP(Y877, rmpce_reference!$B$1:$D$7,3,FALSE) * 89</f>
        <v>2225</v>
      </c>
      <c r="AA877" s="1" t="str">
        <f>IF(Table1[rmpce_inr]&lt;=rmpce_reference!$F$2, "Low Income", IF(Table1[rmpce_inr]&lt;=rmpce_reference!$F$3, "Middle Income", "High Income"))</f>
        <v>Low Income</v>
      </c>
    </row>
    <row r="878" spans="1:27" x14ac:dyDescent="0.25">
      <c r="A878">
        <v>5013</v>
      </c>
      <c r="B878" t="s">
        <v>43</v>
      </c>
      <c r="C878" t="s">
        <v>21</v>
      </c>
      <c r="D878">
        <v>48</v>
      </c>
      <c r="E878" t="s">
        <v>22</v>
      </c>
      <c r="F878" t="s">
        <v>23</v>
      </c>
      <c r="G878">
        <v>0</v>
      </c>
      <c r="H878" s="1" t="str">
        <f>IF(Table1[[#This Row],[anxiety_score]]&lt;=10, "Normal", IF(Table1[[#This Row],[anxiety_score]]&lt;=20, "Moderate", IF(Table1[[#This Row],[anxiety_score]]&lt;=30, "Severe", "Extremely Severe")))</f>
        <v>Normal</v>
      </c>
      <c r="I878">
        <v>-1.0134224999999999</v>
      </c>
      <c r="J878">
        <v>0</v>
      </c>
      <c r="K878" s="1" t="str">
        <f>IF(Table1[[#This Row],[stress_score]]&lt;=10, "Normal", IF(Table1[[#This Row],[stress_score]]&lt;=20, "Moderate", IF(Table1[[#This Row],[stress_score]]&lt;=30, "Severe", "Extremely Severe")))</f>
        <v>Normal</v>
      </c>
      <c r="L878">
        <v>-1.1624711999999999</v>
      </c>
      <c r="M878">
        <v>2</v>
      </c>
      <c r="N878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878">
        <v>-0.91619854999999994</v>
      </c>
      <c r="P878">
        <v>0.66666669999999995</v>
      </c>
      <c r="Q878">
        <f>ROUND(Table1[[#This Row],[dass21_raw_score]],0)</f>
        <v>1</v>
      </c>
      <c r="R878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878">
        <v>-1.0306972999999999</v>
      </c>
      <c r="T878">
        <v>6.4212560000000002E-2</v>
      </c>
      <c r="U878">
        <v>9000</v>
      </c>
      <c r="V878" s="1">
        <f>ROUND(Table1[[#This Row],[fmpce]],0)</f>
        <v>9000</v>
      </c>
      <c r="W878">
        <v>122.441986</v>
      </c>
      <c r="X878" s="4">
        <f>Table1[[#This Row],[mpce]]*89</f>
        <v>10897.336754</v>
      </c>
      <c r="Y878" s="2" t="s">
        <v>35</v>
      </c>
      <c r="Z878" s="3">
        <f>VLOOKUP(Y878, rmpce_reference!$B$1:$D$7,3,FALSE) * 89</f>
        <v>9790</v>
      </c>
      <c r="AA878" s="1" t="str">
        <f>IF(Table1[rmpce_inr]&lt;=rmpce_reference!$F$2, "Low Income", IF(Table1[rmpce_inr]&lt;=rmpce_reference!$F$3, "Middle Income", "High Income"))</f>
        <v>High Income</v>
      </c>
    </row>
    <row r="879" spans="1:27" x14ac:dyDescent="0.25">
      <c r="A879">
        <v>5014</v>
      </c>
      <c r="B879" t="s">
        <v>43</v>
      </c>
      <c r="C879" t="s">
        <v>21</v>
      </c>
      <c r="D879">
        <v>48</v>
      </c>
      <c r="E879" t="s">
        <v>22</v>
      </c>
      <c r="F879" t="s">
        <v>30</v>
      </c>
      <c r="G879">
        <v>0</v>
      </c>
      <c r="H879" s="1" t="str">
        <f>IF(Table1[[#This Row],[anxiety_score]]&lt;=10, "Normal", IF(Table1[[#This Row],[anxiety_score]]&lt;=20, "Moderate", IF(Table1[[#This Row],[anxiety_score]]&lt;=30, "Severe", "Extremely Severe")))</f>
        <v>Normal</v>
      </c>
      <c r="I879">
        <v>-1.0134224999999999</v>
      </c>
      <c r="J879">
        <v>2</v>
      </c>
      <c r="K879" s="1" t="str">
        <f>IF(Table1[[#This Row],[stress_score]]&lt;=10, "Normal", IF(Table1[[#This Row],[stress_score]]&lt;=20, "Moderate", IF(Table1[[#This Row],[stress_score]]&lt;=30, "Severe", "Extremely Severe")))</f>
        <v>Normal</v>
      </c>
      <c r="L879">
        <v>-0.9678099</v>
      </c>
      <c r="M879">
        <v>0</v>
      </c>
      <c r="N879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879">
        <v>-1.1088359000000001</v>
      </c>
      <c r="P879">
        <v>0.66666669999999995</v>
      </c>
      <c r="Q879">
        <f>ROUND(Table1[[#This Row],[dass21_raw_score]],0)</f>
        <v>1</v>
      </c>
      <c r="R879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879">
        <v>-1.0300227</v>
      </c>
      <c r="T879">
        <v>6.4887165999999996E-2</v>
      </c>
      <c r="U879">
        <v>4285.7143999999998</v>
      </c>
      <c r="V879" s="1">
        <f>ROUND(Table1[[#This Row],[fmpce]],0)</f>
        <v>4286</v>
      </c>
      <c r="W879">
        <v>58.305706000000001</v>
      </c>
      <c r="X879" s="4">
        <f>Table1[[#This Row],[mpce]]*89</f>
        <v>5189.2078339999998</v>
      </c>
      <c r="Y879" s="2" t="s">
        <v>32</v>
      </c>
      <c r="Z879" s="3">
        <f>VLOOKUP(Y879, rmpce_reference!$B$1:$D$7,3,FALSE) * 89</f>
        <v>4450</v>
      </c>
      <c r="AA879" s="1" t="str">
        <f>IF(Table1[rmpce_inr]&lt;=rmpce_reference!$F$2, "Low Income", IF(Table1[rmpce_inr]&lt;=rmpce_reference!$F$3, "Middle Income", "High Income"))</f>
        <v>Low Income</v>
      </c>
    </row>
    <row r="880" spans="1:27" x14ac:dyDescent="0.25">
      <c r="A880">
        <v>5015</v>
      </c>
      <c r="B880" t="s">
        <v>43</v>
      </c>
      <c r="C880" t="s">
        <v>36</v>
      </c>
      <c r="D880">
        <v>52</v>
      </c>
      <c r="E880" t="s">
        <v>22</v>
      </c>
      <c r="F880" t="s">
        <v>23</v>
      </c>
      <c r="G880">
        <v>0</v>
      </c>
      <c r="H880" s="1" t="str">
        <f>IF(Table1[[#This Row],[anxiety_score]]&lt;=10, "Normal", IF(Table1[[#This Row],[anxiety_score]]&lt;=20, "Moderate", IF(Table1[[#This Row],[anxiety_score]]&lt;=30, "Severe", "Extremely Severe")))</f>
        <v>Normal</v>
      </c>
      <c r="I880">
        <v>-1.0134224999999999</v>
      </c>
      <c r="J880">
        <v>0</v>
      </c>
      <c r="K880" s="1" t="str">
        <f>IF(Table1[[#This Row],[stress_score]]&lt;=10, "Normal", IF(Table1[[#This Row],[stress_score]]&lt;=20, "Moderate", IF(Table1[[#This Row],[stress_score]]&lt;=30, "Severe", "Extremely Severe")))</f>
        <v>Normal</v>
      </c>
      <c r="L880">
        <v>-1.1624711999999999</v>
      </c>
      <c r="M880">
        <v>0</v>
      </c>
      <c r="N880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880">
        <v>-1.1088359000000001</v>
      </c>
      <c r="P880">
        <v>0</v>
      </c>
      <c r="Q880">
        <f>ROUND(Table1[[#This Row],[dass21_raw_score]],0)</f>
        <v>0</v>
      </c>
      <c r="R880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880">
        <v>-1.0949099</v>
      </c>
      <c r="T880">
        <v>0</v>
      </c>
      <c r="U880">
        <v>3750</v>
      </c>
      <c r="V880" s="1">
        <f>ROUND(Table1[[#This Row],[fmpce]],0)</f>
        <v>3750</v>
      </c>
      <c r="W880">
        <v>51.017493999999999</v>
      </c>
      <c r="X880" s="4">
        <f>Table1[[#This Row],[mpce]]*89</f>
        <v>4540.5569660000001</v>
      </c>
      <c r="Y880" s="2" t="s">
        <v>32</v>
      </c>
      <c r="Z880" s="3">
        <f>VLOOKUP(Y880, rmpce_reference!$B$1:$D$7,3,FALSE) * 89</f>
        <v>4450</v>
      </c>
      <c r="AA880" s="1" t="str">
        <f>IF(Table1[rmpce_inr]&lt;=rmpce_reference!$F$2, "Low Income", IF(Table1[rmpce_inr]&lt;=rmpce_reference!$F$3, "Middle Income", "High Income"))</f>
        <v>Low Income</v>
      </c>
    </row>
    <row r="881" spans="1:27" x14ac:dyDescent="0.25">
      <c r="A881">
        <v>5016</v>
      </c>
      <c r="B881" t="s">
        <v>43</v>
      </c>
      <c r="C881" t="s">
        <v>29</v>
      </c>
      <c r="D881">
        <v>32</v>
      </c>
      <c r="E881" t="s">
        <v>22</v>
      </c>
      <c r="F881" t="s">
        <v>27</v>
      </c>
      <c r="G881">
        <v>0</v>
      </c>
      <c r="H881" s="1" t="str">
        <f>IF(Table1[[#This Row],[anxiety_score]]&lt;=10, "Normal", IF(Table1[[#This Row],[anxiety_score]]&lt;=20, "Moderate", IF(Table1[[#This Row],[anxiety_score]]&lt;=30, "Severe", "Extremely Severe")))</f>
        <v>Normal</v>
      </c>
      <c r="I881">
        <v>-1.0134224999999999</v>
      </c>
      <c r="J881">
        <v>0</v>
      </c>
      <c r="K881" s="1" t="str">
        <f>IF(Table1[[#This Row],[stress_score]]&lt;=10, "Normal", IF(Table1[[#This Row],[stress_score]]&lt;=20, "Moderate", IF(Table1[[#This Row],[stress_score]]&lt;=30, "Severe", "Extremely Severe")))</f>
        <v>Normal</v>
      </c>
      <c r="L881">
        <v>-1.1624711999999999</v>
      </c>
      <c r="M881">
        <v>0</v>
      </c>
      <c r="N881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881">
        <v>-1.1088359000000001</v>
      </c>
      <c r="P881">
        <v>0</v>
      </c>
      <c r="Q881">
        <f>ROUND(Table1[[#This Row],[dass21_raw_score]],0)</f>
        <v>0</v>
      </c>
      <c r="R881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881">
        <v>-1.0949099</v>
      </c>
      <c r="T881">
        <v>0</v>
      </c>
      <c r="U881">
        <v>1750</v>
      </c>
      <c r="V881" s="1">
        <f>ROUND(Table1[[#This Row],[fmpce]],0)</f>
        <v>1750</v>
      </c>
      <c r="W881">
        <v>23.808163</v>
      </c>
      <c r="X881" s="4">
        <f>Table1[[#This Row],[mpce]]*89</f>
        <v>2118.9265070000001</v>
      </c>
      <c r="Y881" s="2" t="s">
        <v>24</v>
      </c>
      <c r="Z881" s="3">
        <f>VLOOKUP(Y881, rmpce_reference!$B$1:$D$7,3,FALSE) * 89</f>
        <v>2225</v>
      </c>
      <c r="AA881" s="1" t="str">
        <f>IF(Table1[rmpce_inr]&lt;=rmpce_reference!$F$2, "Low Income", IF(Table1[rmpce_inr]&lt;=rmpce_reference!$F$3, "Middle Income", "High Income"))</f>
        <v>Low Income</v>
      </c>
    </row>
    <row r="882" spans="1:27" x14ac:dyDescent="0.25">
      <c r="A882">
        <v>5017</v>
      </c>
      <c r="B882" t="s">
        <v>43</v>
      </c>
      <c r="C882" t="s">
        <v>21</v>
      </c>
      <c r="D882">
        <v>49</v>
      </c>
      <c r="E882" t="s">
        <v>22</v>
      </c>
      <c r="F882" t="s">
        <v>23</v>
      </c>
      <c r="G882">
        <v>8</v>
      </c>
      <c r="H882" s="1" t="str">
        <f>IF(Table1[[#This Row],[anxiety_score]]&lt;=10, "Normal", IF(Table1[[#This Row],[anxiety_score]]&lt;=20, "Moderate", IF(Table1[[#This Row],[anxiety_score]]&lt;=30, "Severe", "Extremely Severe")))</f>
        <v>Normal</v>
      </c>
      <c r="I882">
        <v>-0.20924408999999999</v>
      </c>
      <c r="J882">
        <v>10</v>
      </c>
      <c r="K882" s="1" t="str">
        <f>IF(Table1[[#This Row],[stress_score]]&lt;=10, "Normal", IF(Table1[[#This Row],[stress_score]]&lt;=20, "Moderate", IF(Table1[[#This Row],[stress_score]]&lt;=30, "Severe", "Extremely Severe")))</f>
        <v>Normal</v>
      </c>
      <c r="L882">
        <v>-0.18916494</v>
      </c>
      <c r="M882">
        <v>14</v>
      </c>
      <c r="N882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882">
        <v>0.23962580999999999</v>
      </c>
      <c r="P882">
        <v>10.666667</v>
      </c>
      <c r="Q882">
        <f>ROUND(Table1[[#This Row],[dass21_raw_score]],0)</f>
        <v>11</v>
      </c>
      <c r="R882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882">
        <v>-5.2927736000000003E-2</v>
      </c>
      <c r="T882">
        <v>1.0419822000000001</v>
      </c>
      <c r="U882">
        <v>6250</v>
      </c>
      <c r="V882" s="1">
        <f>ROUND(Table1[[#This Row],[fmpce]],0)</f>
        <v>6250</v>
      </c>
      <c r="W882">
        <v>85.029150000000001</v>
      </c>
      <c r="X882" s="4">
        <f>Table1[[#This Row],[mpce]]*89</f>
        <v>7567.5943500000003</v>
      </c>
      <c r="Y882" s="2" t="s">
        <v>31</v>
      </c>
      <c r="Z882" s="3">
        <f>VLOOKUP(Y882, rmpce_reference!$B$1:$D$7,3,FALSE) * 89</f>
        <v>8010</v>
      </c>
      <c r="AA882" s="1" t="str">
        <f>IF(Table1[rmpce_inr]&lt;=rmpce_reference!$F$2, "Low Income", IF(Table1[rmpce_inr]&lt;=rmpce_reference!$F$3, "Middle Income", "High Income"))</f>
        <v>High Income</v>
      </c>
    </row>
    <row r="883" spans="1:27" x14ac:dyDescent="0.25">
      <c r="A883">
        <v>5018</v>
      </c>
      <c r="B883" t="s">
        <v>43</v>
      </c>
      <c r="C883" t="s">
        <v>29</v>
      </c>
      <c r="D883">
        <v>31</v>
      </c>
      <c r="E883" t="s">
        <v>22</v>
      </c>
      <c r="F883" t="s">
        <v>30</v>
      </c>
      <c r="G883">
        <v>0</v>
      </c>
      <c r="H883" s="1" t="str">
        <f>IF(Table1[[#This Row],[anxiety_score]]&lt;=10, "Normal", IF(Table1[[#This Row],[anxiety_score]]&lt;=20, "Moderate", IF(Table1[[#This Row],[anxiety_score]]&lt;=30, "Severe", "Extremely Severe")))</f>
        <v>Normal</v>
      </c>
      <c r="I883">
        <v>-1.0134224999999999</v>
      </c>
      <c r="J883">
        <v>0</v>
      </c>
      <c r="K883" s="1" t="str">
        <f>IF(Table1[[#This Row],[stress_score]]&lt;=10, "Normal", IF(Table1[[#This Row],[stress_score]]&lt;=20, "Moderate", IF(Table1[[#This Row],[stress_score]]&lt;=30, "Severe", "Extremely Severe")))</f>
        <v>Normal</v>
      </c>
      <c r="L883">
        <v>-1.1624711999999999</v>
      </c>
      <c r="M883">
        <v>0</v>
      </c>
      <c r="N883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883">
        <v>-1.1088359000000001</v>
      </c>
      <c r="P883">
        <v>0</v>
      </c>
      <c r="Q883">
        <f>ROUND(Table1[[#This Row],[dass21_raw_score]],0)</f>
        <v>0</v>
      </c>
      <c r="R883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883">
        <v>-1.0949099</v>
      </c>
      <c r="T883">
        <v>0</v>
      </c>
      <c r="U883">
        <v>2000</v>
      </c>
      <c r="V883" s="1">
        <f>ROUND(Table1[[#This Row],[fmpce]],0)</f>
        <v>2000</v>
      </c>
      <c r="W883">
        <v>27.209330000000001</v>
      </c>
      <c r="X883" s="4">
        <f>Table1[[#This Row],[mpce]]*89</f>
        <v>2421.6303700000003</v>
      </c>
      <c r="Y883" s="2" t="s">
        <v>34</v>
      </c>
      <c r="Z883" s="3">
        <f>VLOOKUP(Y883, rmpce_reference!$B$1:$D$7,3,FALSE) * 89</f>
        <v>2848</v>
      </c>
      <c r="AA883" s="1" t="str">
        <f>IF(Table1[rmpce_inr]&lt;=rmpce_reference!$F$2, "Low Income", IF(Table1[rmpce_inr]&lt;=rmpce_reference!$F$3, "Middle Income", "High Income"))</f>
        <v>Low Income</v>
      </c>
    </row>
    <row r="884" spans="1:27" x14ac:dyDescent="0.25">
      <c r="A884">
        <v>5019</v>
      </c>
      <c r="B884" t="s">
        <v>43</v>
      </c>
      <c r="C884" t="s">
        <v>29</v>
      </c>
      <c r="D884">
        <v>35</v>
      </c>
      <c r="E884" t="s">
        <v>22</v>
      </c>
      <c r="F884" t="s">
        <v>23</v>
      </c>
      <c r="G884">
        <v>0</v>
      </c>
      <c r="H884" s="1" t="str">
        <f>IF(Table1[[#This Row],[anxiety_score]]&lt;=10, "Normal", IF(Table1[[#This Row],[anxiety_score]]&lt;=20, "Moderate", IF(Table1[[#This Row],[anxiety_score]]&lt;=30, "Severe", "Extremely Severe")))</f>
        <v>Normal</v>
      </c>
      <c r="I884">
        <v>-1.0134224999999999</v>
      </c>
      <c r="J884">
        <v>0</v>
      </c>
      <c r="K884" s="1" t="str">
        <f>IF(Table1[[#This Row],[stress_score]]&lt;=10, "Normal", IF(Table1[[#This Row],[stress_score]]&lt;=20, "Moderate", IF(Table1[[#This Row],[stress_score]]&lt;=30, "Severe", "Extremely Severe")))</f>
        <v>Normal</v>
      </c>
      <c r="L884">
        <v>-1.1624711999999999</v>
      </c>
      <c r="M884">
        <v>0</v>
      </c>
      <c r="N884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884">
        <v>-1.1088359000000001</v>
      </c>
      <c r="P884">
        <v>0</v>
      </c>
      <c r="Q884">
        <f>ROUND(Table1[[#This Row],[dass21_raw_score]],0)</f>
        <v>0</v>
      </c>
      <c r="R884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884">
        <v>-1.0949099</v>
      </c>
      <c r="T884">
        <v>0</v>
      </c>
      <c r="U884">
        <v>5666.6665000000003</v>
      </c>
      <c r="V884" s="1">
        <f>ROUND(Table1[[#This Row],[fmpce]],0)</f>
        <v>5667</v>
      </c>
      <c r="W884">
        <v>77.093100000000007</v>
      </c>
      <c r="X884" s="4">
        <f>Table1[[#This Row],[mpce]]*89</f>
        <v>6861.2859000000008</v>
      </c>
      <c r="Y884" s="2" t="s">
        <v>28</v>
      </c>
      <c r="Z884" s="3">
        <f>VLOOKUP(Y884, rmpce_reference!$B$1:$D$7,3,FALSE) * 89</f>
        <v>6230</v>
      </c>
      <c r="AA884" s="1" t="str">
        <f>IF(Table1[rmpce_inr]&lt;=rmpce_reference!$F$2, "Low Income", IF(Table1[rmpce_inr]&lt;=rmpce_reference!$F$3, "Middle Income", "High Income"))</f>
        <v>Middle Income</v>
      </c>
    </row>
    <row r="885" spans="1:27" x14ac:dyDescent="0.25">
      <c r="A885">
        <v>5020</v>
      </c>
      <c r="B885" t="s">
        <v>43</v>
      </c>
      <c r="C885" t="s">
        <v>21</v>
      </c>
      <c r="D885">
        <v>41</v>
      </c>
      <c r="E885" t="s">
        <v>25</v>
      </c>
      <c r="F885" t="s">
        <v>26</v>
      </c>
      <c r="G885">
        <v>0</v>
      </c>
      <c r="H885" s="1" t="str">
        <f>IF(Table1[[#This Row],[anxiety_score]]&lt;=10, "Normal", IF(Table1[[#This Row],[anxiety_score]]&lt;=20, "Moderate", IF(Table1[[#This Row],[anxiety_score]]&lt;=30, "Severe", "Extremely Severe")))</f>
        <v>Normal</v>
      </c>
      <c r="I885">
        <v>-1.0134224999999999</v>
      </c>
      <c r="J885">
        <v>4</v>
      </c>
      <c r="K885" s="1" t="str">
        <f>IF(Table1[[#This Row],[stress_score]]&lt;=10, "Normal", IF(Table1[[#This Row],[stress_score]]&lt;=20, "Moderate", IF(Table1[[#This Row],[stress_score]]&lt;=30, "Severe", "Extremely Severe")))</f>
        <v>Normal</v>
      </c>
      <c r="L885">
        <v>-0.77314866000000004</v>
      </c>
      <c r="M885">
        <v>10</v>
      </c>
      <c r="N885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885">
        <v>-0.14564899000000001</v>
      </c>
      <c r="P885">
        <v>4.6666664999999998</v>
      </c>
      <c r="Q885">
        <f>ROUND(Table1[[#This Row],[dass21_raw_score]],0)</f>
        <v>5</v>
      </c>
      <c r="R885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885">
        <v>-0.64407336999999998</v>
      </c>
      <c r="T885">
        <v>0.45083654000000001</v>
      </c>
      <c r="U885">
        <v>8333.3330000000005</v>
      </c>
      <c r="V885" s="1">
        <f>ROUND(Table1[[#This Row],[fmpce]],0)</f>
        <v>8333</v>
      </c>
      <c r="W885">
        <v>113.37220000000001</v>
      </c>
      <c r="X885" s="4">
        <f>Table1[[#This Row],[mpce]]*89</f>
        <v>10090.1258</v>
      </c>
      <c r="Y885" s="2" t="s">
        <v>35</v>
      </c>
      <c r="Z885" s="3">
        <f>VLOOKUP(Y885, rmpce_reference!$B$1:$D$7,3,FALSE) * 89</f>
        <v>9790</v>
      </c>
      <c r="AA885" s="1" t="str">
        <f>IF(Table1[rmpce_inr]&lt;=rmpce_reference!$F$2, "Low Income", IF(Table1[rmpce_inr]&lt;=rmpce_reference!$F$3, "Middle Income", "High Income"))</f>
        <v>High Income</v>
      </c>
    </row>
    <row r="886" spans="1:27" x14ac:dyDescent="0.25">
      <c r="A886">
        <v>5021</v>
      </c>
      <c r="B886" t="s">
        <v>43</v>
      </c>
      <c r="C886" t="s">
        <v>36</v>
      </c>
      <c r="D886">
        <v>51</v>
      </c>
      <c r="E886" t="s">
        <v>22</v>
      </c>
      <c r="F886" t="s">
        <v>23</v>
      </c>
      <c r="G886">
        <v>0</v>
      </c>
      <c r="H886" s="1" t="str">
        <f>IF(Table1[[#This Row],[anxiety_score]]&lt;=10, "Normal", IF(Table1[[#This Row],[anxiety_score]]&lt;=20, "Moderate", IF(Table1[[#This Row],[anxiety_score]]&lt;=30, "Severe", "Extremely Severe")))</f>
        <v>Normal</v>
      </c>
      <c r="I886">
        <v>-1.0134224999999999</v>
      </c>
      <c r="J886">
        <v>0</v>
      </c>
      <c r="K886" s="1" t="str">
        <f>IF(Table1[[#This Row],[stress_score]]&lt;=10, "Normal", IF(Table1[[#This Row],[stress_score]]&lt;=20, "Moderate", IF(Table1[[#This Row],[stress_score]]&lt;=30, "Severe", "Extremely Severe")))</f>
        <v>Normal</v>
      </c>
      <c r="L886">
        <v>-1.1624711999999999</v>
      </c>
      <c r="M886">
        <v>0</v>
      </c>
      <c r="N886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886">
        <v>-1.1088359000000001</v>
      </c>
      <c r="P886">
        <v>0</v>
      </c>
      <c r="Q886">
        <f>ROUND(Table1[[#This Row],[dass21_raw_score]],0)</f>
        <v>0</v>
      </c>
      <c r="R886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886">
        <v>-1.0949099</v>
      </c>
      <c r="T886">
        <v>0</v>
      </c>
      <c r="U886">
        <v>11666.666999999999</v>
      </c>
      <c r="V886" s="1">
        <f>ROUND(Table1[[#This Row],[fmpce]],0)</f>
        <v>11667</v>
      </c>
      <c r="W886">
        <v>158.72110000000001</v>
      </c>
      <c r="X886" s="4">
        <f>Table1[[#This Row],[mpce]]*89</f>
        <v>14126.177900000001</v>
      </c>
      <c r="Y886" s="2" t="s">
        <v>35</v>
      </c>
      <c r="Z886" s="3">
        <f>VLOOKUP(Y886, rmpce_reference!$B$1:$D$7,3,FALSE) * 89</f>
        <v>9790</v>
      </c>
      <c r="AA886" s="1" t="str">
        <f>IF(Table1[rmpce_inr]&lt;=rmpce_reference!$F$2, "Low Income", IF(Table1[rmpce_inr]&lt;=rmpce_reference!$F$3, "Middle Income", "High Income"))</f>
        <v>High Income</v>
      </c>
    </row>
    <row r="887" spans="1:27" x14ac:dyDescent="0.25">
      <c r="A887">
        <v>5022</v>
      </c>
      <c r="B887" t="s">
        <v>43</v>
      </c>
      <c r="C887" t="s">
        <v>36</v>
      </c>
      <c r="D887">
        <v>51</v>
      </c>
      <c r="E887" t="s">
        <v>22</v>
      </c>
      <c r="F887" t="s">
        <v>23</v>
      </c>
      <c r="G887">
        <v>10</v>
      </c>
      <c r="H887" s="1" t="str">
        <f>IF(Table1[[#This Row],[anxiety_score]]&lt;=10, "Normal", IF(Table1[[#This Row],[anxiety_score]]&lt;=20, "Moderate", IF(Table1[[#This Row],[anxiety_score]]&lt;=30, "Severe", "Extremely Severe")))</f>
        <v>Normal</v>
      </c>
      <c r="I887">
        <v>-8.1994660000000007E-3</v>
      </c>
      <c r="J887">
        <v>20</v>
      </c>
      <c r="K887" s="1" t="str">
        <f>IF(Table1[[#This Row],[stress_score]]&lt;=10, "Normal", IF(Table1[[#This Row],[stress_score]]&lt;=20, "Moderate", IF(Table1[[#This Row],[stress_score]]&lt;=30, "Severe", "Extremely Severe")))</f>
        <v>Moderate</v>
      </c>
      <c r="L887">
        <v>0.78414130000000004</v>
      </c>
      <c r="M887">
        <v>22</v>
      </c>
      <c r="N887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887">
        <v>1.0101753</v>
      </c>
      <c r="P887">
        <v>17.333334000000001</v>
      </c>
      <c r="Q887">
        <f>ROUND(Table1[[#This Row],[dass21_raw_score]],0)</f>
        <v>17</v>
      </c>
      <c r="R887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887">
        <v>0.59537240000000002</v>
      </c>
      <c r="T887">
        <v>1.6902823</v>
      </c>
      <c r="U887">
        <v>20000</v>
      </c>
      <c r="V887" s="1">
        <f>ROUND(Table1[[#This Row],[fmpce]],0)</f>
        <v>20000</v>
      </c>
      <c r="W887">
        <v>272.0933</v>
      </c>
      <c r="X887" s="4">
        <f>Table1[[#This Row],[mpce]]*89</f>
        <v>24216.3037</v>
      </c>
      <c r="Y887" s="2" t="s">
        <v>35</v>
      </c>
      <c r="Z887" s="3">
        <f>VLOOKUP(Y887, rmpce_reference!$B$1:$D$7,3,FALSE) * 89</f>
        <v>9790</v>
      </c>
      <c r="AA887" s="1" t="str">
        <f>IF(Table1[rmpce_inr]&lt;=rmpce_reference!$F$2, "Low Income", IF(Table1[rmpce_inr]&lt;=rmpce_reference!$F$3, "Middle Income", "High Income"))</f>
        <v>High Income</v>
      </c>
    </row>
    <row r="888" spans="1:27" x14ac:dyDescent="0.25">
      <c r="A888">
        <v>5023</v>
      </c>
      <c r="B888" t="s">
        <v>43</v>
      </c>
      <c r="C888" t="s">
        <v>21</v>
      </c>
      <c r="D888">
        <v>49</v>
      </c>
      <c r="E888" t="s">
        <v>25</v>
      </c>
      <c r="F888" t="s">
        <v>30</v>
      </c>
      <c r="G888">
        <v>0</v>
      </c>
      <c r="H888" s="1" t="str">
        <f>IF(Table1[[#This Row],[anxiety_score]]&lt;=10, "Normal", IF(Table1[[#This Row],[anxiety_score]]&lt;=20, "Moderate", IF(Table1[[#This Row],[anxiety_score]]&lt;=30, "Severe", "Extremely Severe")))</f>
        <v>Normal</v>
      </c>
      <c r="I888">
        <v>-1.0134224999999999</v>
      </c>
      <c r="J888">
        <v>0</v>
      </c>
      <c r="K888" s="1" t="str">
        <f>IF(Table1[[#This Row],[stress_score]]&lt;=10, "Normal", IF(Table1[[#This Row],[stress_score]]&lt;=20, "Moderate", IF(Table1[[#This Row],[stress_score]]&lt;=30, "Severe", "Extremely Severe")))</f>
        <v>Normal</v>
      </c>
      <c r="L888">
        <v>-1.1624711999999999</v>
      </c>
      <c r="M888">
        <v>2</v>
      </c>
      <c r="N888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888">
        <v>-0.91619854999999994</v>
      </c>
      <c r="P888">
        <v>0.66666669999999995</v>
      </c>
      <c r="Q888">
        <f>ROUND(Table1[[#This Row],[dass21_raw_score]],0)</f>
        <v>1</v>
      </c>
      <c r="R888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888">
        <v>-1.0306972999999999</v>
      </c>
      <c r="T888">
        <v>6.4212560000000002E-2</v>
      </c>
      <c r="U888">
        <v>5000</v>
      </c>
      <c r="V888" s="1">
        <f>ROUND(Table1[[#This Row],[fmpce]],0)</f>
        <v>5000</v>
      </c>
      <c r="W888">
        <v>68.023319999999998</v>
      </c>
      <c r="X888" s="4">
        <f>Table1[[#This Row],[mpce]]*89</f>
        <v>6054.0754799999995</v>
      </c>
      <c r="Y888" s="2" t="s">
        <v>28</v>
      </c>
      <c r="Z888" s="3">
        <f>VLOOKUP(Y888, rmpce_reference!$B$1:$D$7,3,FALSE) * 89</f>
        <v>6230</v>
      </c>
      <c r="AA888" s="1" t="str">
        <f>IF(Table1[rmpce_inr]&lt;=rmpce_reference!$F$2, "Low Income", IF(Table1[rmpce_inr]&lt;=rmpce_reference!$F$3, "Middle Income", "High Income"))</f>
        <v>Middle Income</v>
      </c>
    </row>
    <row r="889" spans="1:27" x14ac:dyDescent="0.25">
      <c r="A889">
        <v>5024</v>
      </c>
      <c r="B889" t="s">
        <v>43</v>
      </c>
      <c r="C889" t="s">
        <v>36</v>
      </c>
      <c r="D889">
        <v>55</v>
      </c>
      <c r="E889" t="s">
        <v>25</v>
      </c>
      <c r="F889" t="s">
        <v>26</v>
      </c>
      <c r="G889">
        <v>2</v>
      </c>
      <c r="H889" s="1" t="str">
        <f>IF(Table1[[#This Row],[anxiety_score]]&lt;=10, "Normal", IF(Table1[[#This Row],[anxiety_score]]&lt;=20, "Moderate", IF(Table1[[#This Row],[anxiety_score]]&lt;=30, "Severe", "Extremely Severe")))</f>
        <v>Normal</v>
      </c>
      <c r="I889">
        <v>-0.81237789999999999</v>
      </c>
      <c r="J889">
        <v>0</v>
      </c>
      <c r="K889" s="1" t="str">
        <f>IF(Table1[[#This Row],[stress_score]]&lt;=10, "Normal", IF(Table1[[#This Row],[stress_score]]&lt;=20, "Moderate", IF(Table1[[#This Row],[stress_score]]&lt;=30, "Severe", "Extremely Severe")))</f>
        <v>Normal</v>
      </c>
      <c r="L889">
        <v>-1.1624711999999999</v>
      </c>
      <c r="M889">
        <v>2</v>
      </c>
      <c r="N889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889">
        <v>-0.91619854999999994</v>
      </c>
      <c r="P889">
        <v>1.3333333999999999</v>
      </c>
      <c r="Q889">
        <f>ROUND(Table1[[#This Row],[dass21_raw_score]],0)</f>
        <v>1</v>
      </c>
      <c r="R889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889">
        <v>-0.96368253000000004</v>
      </c>
      <c r="T889">
        <v>0.13122737000000001</v>
      </c>
      <c r="U889">
        <v>7500</v>
      </c>
      <c r="V889" s="1">
        <f>ROUND(Table1[[#This Row],[fmpce]],0)</f>
        <v>7500</v>
      </c>
      <c r="W889">
        <v>102.03498999999999</v>
      </c>
      <c r="X889" s="4">
        <f>Table1[[#This Row],[mpce]]*89</f>
        <v>9081.1141099999986</v>
      </c>
      <c r="Y889" s="2" t="s">
        <v>35</v>
      </c>
      <c r="Z889" s="3">
        <f>VLOOKUP(Y889, rmpce_reference!$B$1:$D$7,3,FALSE) * 89</f>
        <v>9790</v>
      </c>
      <c r="AA889" s="1" t="str">
        <f>IF(Table1[rmpce_inr]&lt;=rmpce_reference!$F$2, "Low Income", IF(Table1[rmpce_inr]&lt;=rmpce_reference!$F$3, "Middle Income", "High Income"))</f>
        <v>High Income</v>
      </c>
    </row>
    <row r="890" spans="1:27" x14ac:dyDescent="0.25">
      <c r="A890">
        <v>5025</v>
      </c>
      <c r="B890" t="s">
        <v>43</v>
      </c>
      <c r="C890" t="s">
        <v>33</v>
      </c>
      <c r="D890">
        <v>30</v>
      </c>
      <c r="E890" t="s">
        <v>22</v>
      </c>
      <c r="F890" t="s">
        <v>30</v>
      </c>
      <c r="G890">
        <v>0</v>
      </c>
      <c r="H890" s="1" t="str">
        <f>IF(Table1[[#This Row],[anxiety_score]]&lt;=10, "Normal", IF(Table1[[#This Row],[anxiety_score]]&lt;=20, "Moderate", IF(Table1[[#This Row],[anxiety_score]]&lt;=30, "Severe", "Extremely Severe")))</f>
        <v>Normal</v>
      </c>
      <c r="I890">
        <v>-1.0134224999999999</v>
      </c>
      <c r="J890">
        <v>2</v>
      </c>
      <c r="K890" s="1" t="str">
        <f>IF(Table1[[#This Row],[stress_score]]&lt;=10, "Normal", IF(Table1[[#This Row],[stress_score]]&lt;=20, "Moderate", IF(Table1[[#This Row],[stress_score]]&lt;=30, "Severe", "Extremely Severe")))</f>
        <v>Normal</v>
      </c>
      <c r="L890">
        <v>-0.9678099</v>
      </c>
      <c r="M890">
        <v>0</v>
      </c>
      <c r="N890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890">
        <v>-1.1088359000000001</v>
      </c>
      <c r="P890">
        <v>0.66666669999999995</v>
      </c>
      <c r="Q890">
        <f>ROUND(Table1[[#This Row],[dass21_raw_score]],0)</f>
        <v>1</v>
      </c>
      <c r="R890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890">
        <v>-1.0300227</v>
      </c>
      <c r="T890">
        <v>6.4887165999999996E-2</v>
      </c>
      <c r="U890">
        <v>4400</v>
      </c>
      <c r="V890" s="1">
        <f>ROUND(Table1[[#This Row],[fmpce]],0)</f>
        <v>4400</v>
      </c>
      <c r="W890">
        <v>59.860523000000001</v>
      </c>
      <c r="X890" s="4">
        <f>Table1[[#This Row],[mpce]]*89</f>
        <v>5327.5865469999999</v>
      </c>
      <c r="Y890" s="2" t="s">
        <v>32</v>
      </c>
      <c r="Z890" s="3">
        <f>VLOOKUP(Y890, rmpce_reference!$B$1:$D$7,3,FALSE) * 89</f>
        <v>4450</v>
      </c>
      <c r="AA890" s="1" t="str">
        <f>IF(Table1[rmpce_inr]&lt;=rmpce_reference!$F$2, "Low Income", IF(Table1[rmpce_inr]&lt;=rmpce_reference!$F$3, "Middle Income", "High Income"))</f>
        <v>Low Income</v>
      </c>
    </row>
    <row r="891" spans="1:27" x14ac:dyDescent="0.25">
      <c r="A891">
        <v>5026</v>
      </c>
      <c r="B891" t="s">
        <v>43</v>
      </c>
      <c r="C891" t="s">
        <v>33</v>
      </c>
      <c r="D891">
        <v>28</v>
      </c>
      <c r="E891" t="s">
        <v>22</v>
      </c>
      <c r="F891" t="s">
        <v>30</v>
      </c>
      <c r="G891">
        <v>0</v>
      </c>
      <c r="H891" s="1" t="str">
        <f>IF(Table1[[#This Row],[anxiety_score]]&lt;=10, "Normal", IF(Table1[[#This Row],[anxiety_score]]&lt;=20, "Moderate", IF(Table1[[#This Row],[anxiety_score]]&lt;=30, "Severe", "Extremely Severe")))</f>
        <v>Normal</v>
      </c>
      <c r="I891">
        <v>-1.0134224999999999</v>
      </c>
      <c r="J891">
        <v>0</v>
      </c>
      <c r="K891" s="1" t="str">
        <f>IF(Table1[[#This Row],[stress_score]]&lt;=10, "Normal", IF(Table1[[#This Row],[stress_score]]&lt;=20, "Moderate", IF(Table1[[#This Row],[stress_score]]&lt;=30, "Severe", "Extremely Severe")))</f>
        <v>Normal</v>
      </c>
      <c r="L891">
        <v>-1.1624711999999999</v>
      </c>
      <c r="M891">
        <v>0</v>
      </c>
      <c r="N891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891">
        <v>-1.1088359000000001</v>
      </c>
      <c r="P891">
        <v>0</v>
      </c>
      <c r="Q891">
        <f>ROUND(Table1[[#This Row],[dass21_raw_score]],0)</f>
        <v>0</v>
      </c>
      <c r="R891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891">
        <v>-1.0949099</v>
      </c>
      <c r="T891">
        <v>0</v>
      </c>
      <c r="U891">
        <v>5500</v>
      </c>
      <c r="V891" s="1">
        <f>ROUND(Table1[[#This Row],[fmpce]],0)</f>
        <v>5500</v>
      </c>
      <c r="W891">
        <v>74.825649999999996</v>
      </c>
      <c r="X891" s="4">
        <f>Table1[[#This Row],[mpce]]*89</f>
        <v>6659.4828499999994</v>
      </c>
      <c r="Y891" s="2" t="s">
        <v>28</v>
      </c>
      <c r="Z891" s="3">
        <f>VLOOKUP(Y891, rmpce_reference!$B$1:$D$7,3,FALSE) * 89</f>
        <v>6230</v>
      </c>
      <c r="AA891" s="1" t="str">
        <f>IF(Table1[rmpce_inr]&lt;=rmpce_reference!$F$2, "Low Income", IF(Table1[rmpce_inr]&lt;=rmpce_reference!$F$3, "Middle Income", "High Income"))</f>
        <v>Middle Income</v>
      </c>
    </row>
    <row r="892" spans="1:27" x14ac:dyDescent="0.25">
      <c r="A892">
        <v>5027</v>
      </c>
      <c r="B892" t="s">
        <v>43</v>
      </c>
      <c r="C892" t="s">
        <v>29</v>
      </c>
      <c r="D892">
        <v>32</v>
      </c>
      <c r="E892" t="s">
        <v>25</v>
      </c>
      <c r="F892" t="s">
        <v>30</v>
      </c>
      <c r="G892">
        <v>0</v>
      </c>
      <c r="H892" s="1" t="str">
        <f>IF(Table1[[#This Row],[anxiety_score]]&lt;=10, "Normal", IF(Table1[[#This Row],[anxiety_score]]&lt;=20, "Moderate", IF(Table1[[#This Row],[anxiety_score]]&lt;=30, "Severe", "Extremely Severe")))</f>
        <v>Normal</v>
      </c>
      <c r="I892">
        <v>-1.0134224999999999</v>
      </c>
      <c r="J892">
        <v>0</v>
      </c>
      <c r="K892" s="1" t="str">
        <f>IF(Table1[[#This Row],[stress_score]]&lt;=10, "Normal", IF(Table1[[#This Row],[stress_score]]&lt;=20, "Moderate", IF(Table1[[#This Row],[stress_score]]&lt;=30, "Severe", "Extremely Severe")))</f>
        <v>Normal</v>
      </c>
      <c r="L892">
        <v>-1.1624711999999999</v>
      </c>
      <c r="M892">
        <v>0</v>
      </c>
      <c r="N892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892">
        <v>-1.1088359000000001</v>
      </c>
      <c r="P892">
        <v>0</v>
      </c>
      <c r="Q892">
        <f>ROUND(Table1[[#This Row],[dass21_raw_score]],0)</f>
        <v>0</v>
      </c>
      <c r="R892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892">
        <v>-1.0949099</v>
      </c>
      <c r="T892">
        <v>0</v>
      </c>
      <c r="U892">
        <v>10000</v>
      </c>
      <c r="V892" s="1">
        <f>ROUND(Table1[[#This Row],[fmpce]],0)</f>
        <v>10000</v>
      </c>
      <c r="W892">
        <v>136.04665</v>
      </c>
      <c r="X892" s="4">
        <f>Table1[[#This Row],[mpce]]*89</f>
        <v>12108.15185</v>
      </c>
      <c r="Y892" s="2" t="s">
        <v>35</v>
      </c>
      <c r="Z892" s="3">
        <f>VLOOKUP(Y892, rmpce_reference!$B$1:$D$7,3,FALSE) * 89</f>
        <v>9790</v>
      </c>
      <c r="AA892" s="1" t="str">
        <f>IF(Table1[rmpce_inr]&lt;=rmpce_reference!$F$2, "Low Income", IF(Table1[rmpce_inr]&lt;=rmpce_reference!$F$3, "Middle Income", "High Income"))</f>
        <v>High Income</v>
      </c>
    </row>
    <row r="893" spans="1:27" x14ac:dyDescent="0.25">
      <c r="A893">
        <v>5028</v>
      </c>
      <c r="B893" t="s">
        <v>43</v>
      </c>
      <c r="C893" t="s">
        <v>33</v>
      </c>
      <c r="D893">
        <v>25</v>
      </c>
      <c r="E893" t="s">
        <v>25</v>
      </c>
      <c r="F893" t="s">
        <v>27</v>
      </c>
      <c r="G893">
        <v>0</v>
      </c>
      <c r="H893" s="1" t="str">
        <f>IF(Table1[[#This Row],[anxiety_score]]&lt;=10, "Normal", IF(Table1[[#This Row],[anxiety_score]]&lt;=20, "Moderate", IF(Table1[[#This Row],[anxiety_score]]&lt;=30, "Severe", "Extremely Severe")))</f>
        <v>Normal</v>
      </c>
      <c r="I893">
        <v>-1.0134224999999999</v>
      </c>
      <c r="J893">
        <v>0</v>
      </c>
      <c r="K893" s="1" t="str">
        <f>IF(Table1[[#This Row],[stress_score]]&lt;=10, "Normal", IF(Table1[[#This Row],[stress_score]]&lt;=20, "Moderate", IF(Table1[[#This Row],[stress_score]]&lt;=30, "Severe", "Extremely Severe")))</f>
        <v>Normal</v>
      </c>
      <c r="L893">
        <v>-1.1624711999999999</v>
      </c>
      <c r="M893">
        <v>0</v>
      </c>
      <c r="N893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893">
        <v>-1.1088359000000001</v>
      </c>
      <c r="P893">
        <v>0</v>
      </c>
      <c r="Q893">
        <f>ROUND(Table1[[#This Row],[dass21_raw_score]],0)</f>
        <v>0</v>
      </c>
      <c r="R893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893">
        <v>-1.0949099</v>
      </c>
      <c r="T893">
        <v>0</v>
      </c>
      <c r="U893">
        <v>4000</v>
      </c>
      <c r="V893" s="1">
        <f>ROUND(Table1[[#This Row],[fmpce]],0)</f>
        <v>4000</v>
      </c>
      <c r="W893">
        <v>54.418660000000003</v>
      </c>
      <c r="X893" s="4">
        <f>Table1[[#This Row],[mpce]]*89</f>
        <v>4843.2607400000006</v>
      </c>
      <c r="Y893" s="2" t="s">
        <v>32</v>
      </c>
      <c r="Z893" s="3">
        <f>VLOOKUP(Y893, rmpce_reference!$B$1:$D$7,3,FALSE) * 89</f>
        <v>4450</v>
      </c>
      <c r="AA893" s="1" t="str">
        <f>IF(Table1[rmpce_inr]&lt;=rmpce_reference!$F$2, "Low Income", IF(Table1[rmpce_inr]&lt;=rmpce_reference!$F$3, "Middle Income", "High Income"))</f>
        <v>Low Income</v>
      </c>
    </row>
    <row r="894" spans="1:27" x14ac:dyDescent="0.25">
      <c r="A894">
        <v>5029</v>
      </c>
      <c r="B894" t="s">
        <v>43</v>
      </c>
      <c r="C894" t="s">
        <v>21</v>
      </c>
      <c r="D894">
        <v>49</v>
      </c>
      <c r="E894" t="s">
        <v>25</v>
      </c>
      <c r="F894" t="s">
        <v>26</v>
      </c>
      <c r="G894">
        <v>2</v>
      </c>
      <c r="H894" s="1" t="str">
        <f>IF(Table1[[#This Row],[anxiety_score]]&lt;=10, "Normal", IF(Table1[[#This Row],[anxiety_score]]&lt;=20, "Moderate", IF(Table1[[#This Row],[anxiety_score]]&lt;=30, "Severe", "Extremely Severe")))</f>
        <v>Normal</v>
      </c>
      <c r="I894">
        <v>-0.81237789999999999</v>
      </c>
      <c r="J894">
        <v>6</v>
      </c>
      <c r="K894" s="1" t="str">
        <f>IF(Table1[[#This Row],[stress_score]]&lt;=10, "Normal", IF(Table1[[#This Row],[stress_score]]&lt;=20, "Moderate", IF(Table1[[#This Row],[stress_score]]&lt;=30, "Severe", "Extremely Severe")))</f>
        <v>Normal</v>
      </c>
      <c r="L894">
        <v>-0.57848745999999995</v>
      </c>
      <c r="M894">
        <v>20</v>
      </c>
      <c r="N894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894">
        <v>0.81753799999999999</v>
      </c>
      <c r="P894">
        <v>9.3333329999999997</v>
      </c>
      <c r="Q894">
        <f>ROUND(Table1[[#This Row],[dass21_raw_score]],0)</f>
        <v>9</v>
      </c>
      <c r="R894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894">
        <v>-0.19110911999999999</v>
      </c>
      <c r="T894">
        <v>0.90380079999999996</v>
      </c>
      <c r="U894">
        <v>10000</v>
      </c>
      <c r="V894" s="1">
        <f>ROUND(Table1[[#This Row],[fmpce]],0)</f>
        <v>10000</v>
      </c>
      <c r="W894">
        <v>136.04665</v>
      </c>
      <c r="X894" s="4">
        <f>Table1[[#This Row],[mpce]]*89</f>
        <v>12108.15185</v>
      </c>
      <c r="Y894" s="2" t="s">
        <v>35</v>
      </c>
      <c r="Z894" s="3">
        <f>VLOOKUP(Y894, rmpce_reference!$B$1:$D$7,3,FALSE) * 89</f>
        <v>9790</v>
      </c>
      <c r="AA894" s="1" t="str">
        <f>IF(Table1[rmpce_inr]&lt;=rmpce_reference!$F$2, "Low Income", IF(Table1[rmpce_inr]&lt;=rmpce_reference!$F$3, "Middle Income", "High Income"))</f>
        <v>High Income</v>
      </c>
    </row>
    <row r="895" spans="1:27" x14ac:dyDescent="0.25">
      <c r="A895">
        <v>5030</v>
      </c>
      <c r="B895" t="s">
        <v>43</v>
      </c>
      <c r="C895" t="s">
        <v>21</v>
      </c>
      <c r="D895">
        <v>46</v>
      </c>
      <c r="E895" t="s">
        <v>25</v>
      </c>
      <c r="F895" t="s">
        <v>23</v>
      </c>
      <c r="G895">
        <v>0</v>
      </c>
      <c r="H895" s="1" t="str">
        <f>IF(Table1[[#This Row],[anxiety_score]]&lt;=10, "Normal", IF(Table1[[#This Row],[anxiety_score]]&lt;=20, "Moderate", IF(Table1[[#This Row],[anxiety_score]]&lt;=30, "Severe", "Extremely Severe")))</f>
        <v>Normal</v>
      </c>
      <c r="I895">
        <v>-1.0134224999999999</v>
      </c>
      <c r="J895">
        <v>0</v>
      </c>
      <c r="K895" s="1" t="str">
        <f>IF(Table1[[#This Row],[stress_score]]&lt;=10, "Normal", IF(Table1[[#This Row],[stress_score]]&lt;=20, "Moderate", IF(Table1[[#This Row],[stress_score]]&lt;=30, "Severe", "Extremely Severe")))</f>
        <v>Normal</v>
      </c>
      <c r="L895">
        <v>-1.1624711999999999</v>
      </c>
      <c r="M895">
        <v>0</v>
      </c>
      <c r="N895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895">
        <v>-1.1088359000000001</v>
      </c>
      <c r="P895">
        <v>0</v>
      </c>
      <c r="Q895">
        <f>ROUND(Table1[[#This Row],[dass21_raw_score]],0)</f>
        <v>0</v>
      </c>
      <c r="R895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895">
        <v>-1.0949099</v>
      </c>
      <c r="T895">
        <v>0</v>
      </c>
      <c r="U895">
        <v>10000</v>
      </c>
      <c r="V895" s="1">
        <f>ROUND(Table1[[#This Row],[fmpce]],0)</f>
        <v>10000</v>
      </c>
      <c r="W895">
        <v>136.04665</v>
      </c>
      <c r="X895" s="4">
        <f>Table1[[#This Row],[mpce]]*89</f>
        <v>12108.15185</v>
      </c>
      <c r="Y895" s="2" t="s">
        <v>35</v>
      </c>
      <c r="Z895" s="3">
        <f>VLOOKUP(Y895, rmpce_reference!$B$1:$D$7,3,FALSE) * 89</f>
        <v>9790</v>
      </c>
      <c r="AA895" s="1" t="str">
        <f>IF(Table1[rmpce_inr]&lt;=rmpce_reference!$F$2, "Low Income", IF(Table1[rmpce_inr]&lt;=rmpce_reference!$F$3, "Middle Income", "High Income"))</f>
        <v>High Income</v>
      </c>
    </row>
    <row r="896" spans="1:27" x14ac:dyDescent="0.25">
      <c r="A896">
        <v>5031</v>
      </c>
      <c r="B896" t="s">
        <v>43</v>
      </c>
      <c r="C896" t="s">
        <v>29</v>
      </c>
      <c r="D896">
        <v>33</v>
      </c>
      <c r="E896" t="s">
        <v>22</v>
      </c>
      <c r="F896" t="s">
        <v>23</v>
      </c>
      <c r="G896">
        <v>0</v>
      </c>
      <c r="H896" s="1" t="str">
        <f>IF(Table1[[#This Row],[anxiety_score]]&lt;=10, "Normal", IF(Table1[[#This Row],[anxiety_score]]&lt;=20, "Moderate", IF(Table1[[#This Row],[anxiety_score]]&lt;=30, "Severe", "Extremely Severe")))</f>
        <v>Normal</v>
      </c>
      <c r="I896">
        <v>-1.0134224999999999</v>
      </c>
      <c r="J896">
        <v>0</v>
      </c>
      <c r="K896" s="1" t="str">
        <f>IF(Table1[[#This Row],[stress_score]]&lt;=10, "Normal", IF(Table1[[#This Row],[stress_score]]&lt;=20, "Moderate", IF(Table1[[#This Row],[stress_score]]&lt;=30, "Severe", "Extremely Severe")))</f>
        <v>Normal</v>
      </c>
      <c r="L896">
        <v>-1.1624711999999999</v>
      </c>
      <c r="M896">
        <v>0</v>
      </c>
      <c r="N896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896">
        <v>-1.1088359000000001</v>
      </c>
      <c r="P896">
        <v>0</v>
      </c>
      <c r="Q896">
        <f>ROUND(Table1[[#This Row],[dass21_raw_score]],0)</f>
        <v>0</v>
      </c>
      <c r="R896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896">
        <v>-1.0949099</v>
      </c>
      <c r="T896">
        <v>0</v>
      </c>
      <c r="U896">
        <v>3750</v>
      </c>
      <c r="V896" s="1">
        <f>ROUND(Table1[[#This Row],[fmpce]],0)</f>
        <v>3750</v>
      </c>
      <c r="W896">
        <v>51.017493999999999</v>
      </c>
      <c r="X896" s="4">
        <f>Table1[[#This Row],[mpce]]*89</f>
        <v>4540.5569660000001</v>
      </c>
      <c r="Y896" s="2" t="s">
        <v>32</v>
      </c>
      <c r="Z896" s="3">
        <f>VLOOKUP(Y896, rmpce_reference!$B$1:$D$7,3,FALSE) * 89</f>
        <v>4450</v>
      </c>
      <c r="AA896" s="1" t="str">
        <f>IF(Table1[rmpce_inr]&lt;=rmpce_reference!$F$2, "Low Income", IF(Table1[rmpce_inr]&lt;=rmpce_reference!$F$3, "Middle Income", "High Income"))</f>
        <v>Low Income</v>
      </c>
    </row>
    <row r="897" spans="1:27" x14ac:dyDescent="0.25">
      <c r="A897">
        <v>5032</v>
      </c>
      <c r="B897" t="s">
        <v>43</v>
      </c>
      <c r="C897" t="s">
        <v>29</v>
      </c>
      <c r="D897">
        <v>32</v>
      </c>
      <c r="E897" t="s">
        <v>25</v>
      </c>
      <c r="F897" t="s">
        <v>30</v>
      </c>
      <c r="G897">
        <v>0</v>
      </c>
      <c r="H897" s="1" t="str">
        <f>IF(Table1[[#This Row],[anxiety_score]]&lt;=10, "Normal", IF(Table1[[#This Row],[anxiety_score]]&lt;=20, "Moderate", IF(Table1[[#This Row],[anxiety_score]]&lt;=30, "Severe", "Extremely Severe")))</f>
        <v>Normal</v>
      </c>
      <c r="I897">
        <v>-1.0134224999999999</v>
      </c>
      <c r="J897">
        <v>0</v>
      </c>
      <c r="K897" s="1" t="str">
        <f>IF(Table1[[#This Row],[stress_score]]&lt;=10, "Normal", IF(Table1[[#This Row],[stress_score]]&lt;=20, "Moderate", IF(Table1[[#This Row],[stress_score]]&lt;=30, "Severe", "Extremely Severe")))</f>
        <v>Normal</v>
      </c>
      <c r="L897">
        <v>-1.1624711999999999</v>
      </c>
      <c r="M897">
        <v>0</v>
      </c>
      <c r="N897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897">
        <v>-1.1088359000000001</v>
      </c>
      <c r="P897">
        <v>0</v>
      </c>
      <c r="Q897">
        <f>ROUND(Table1[[#This Row],[dass21_raw_score]],0)</f>
        <v>0</v>
      </c>
      <c r="R897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897">
        <v>-1.0949099</v>
      </c>
      <c r="T897">
        <v>0</v>
      </c>
      <c r="U897">
        <v>2500</v>
      </c>
      <c r="V897" s="1">
        <f>ROUND(Table1[[#This Row],[fmpce]],0)</f>
        <v>2500</v>
      </c>
      <c r="W897">
        <v>34.011659999999999</v>
      </c>
      <c r="X897" s="4">
        <f>Table1[[#This Row],[mpce]]*89</f>
        <v>3027.0377399999998</v>
      </c>
      <c r="Y897" s="2" t="s">
        <v>34</v>
      </c>
      <c r="Z897" s="3">
        <f>VLOOKUP(Y897, rmpce_reference!$B$1:$D$7,3,FALSE) * 89</f>
        <v>2848</v>
      </c>
      <c r="AA897" s="1" t="str">
        <f>IF(Table1[rmpce_inr]&lt;=rmpce_reference!$F$2, "Low Income", IF(Table1[rmpce_inr]&lt;=rmpce_reference!$F$3, "Middle Income", "High Income"))</f>
        <v>Low Income</v>
      </c>
    </row>
    <row r="898" spans="1:27" x14ac:dyDescent="0.25">
      <c r="A898">
        <v>5033</v>
      </c>
      <c r="B898" t="s">
        <v>43</v>
      </c>
      <c r="C898" t="s">
        <v>29</v>
      </c>
      <c r="D898">
        <v>31</v>
      </c>
      <c r="E898" t="s">
        <v>25</v>
      </c>
      <c r="F898" t="s">
        <v>26</v>
      </c>
      <c r="G898">
        <v>4</v>
      </c>
      <c r="H898" s="1" t="str">
        <f>IF(Table1[[#This Row],[anxiety_score]]&lt;=10, "Normal", IF(Table1[[#This Row],[anxiety_score]]&lt;=20, "Moderate", IF(Table1[[#This Row],[anxiety_score]]&lt;=30, "Severe", "Extremely Severe")))</f>
        <v>Normal</v>
      </c>
      <c r="I898">
        <v>-0.61133329999999997</v>
      </c>
      <c r="J898">
        <v>10</v>
      </c>
      <c r="K898" s="1" t="str">
        <f>IF(Table1[[#This Row],[stress_score]]&lt;=10, "Normal", IF(Table1[[#This Row],[stress_score]]&lt;=20, "Moderate", IF(Table1[[#This Row],[stress_score]]&lt;=30, "Severe", "Extremely Severe")))</f>
        <v>Normal</v>
      </c>
      <c r="L898">
        <v>-0.18916494</v>
      </c>
      <c r="M898">
        <v>14</v>
      </c>
      <c r="N898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898">
        <v>0.23962580999999999</v>
      </c>
      <c r="P898">
        <v>9.3333329999999997</v>
      </c>
      <c r="Q898">
        <f>ROUND(Table1[[#This Row],[dass21_raw_score]],0)</f>
        <v>9</v>
      </c>
      <c r="R898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898">
        <v>-0.18695748000000001</v>
      </c>
      <c r="T898">
        <v>0.90795239999999999</v>
      </c>
      <c r="U898">
        <v>5000</v>
      </c>
      <c r="V898" s="1">
        <f>ROUND(Table1[[#This Row],[fmpce]],0)</f>
        <v>5000</v>
      </c>
      <c r="W898">
        <v>68.023319999999998</v>
      </c>
      <c r="X898" s="4">
        <f>Table1[[#This Row],[mpce]]*89</f>
        <v>6054.0754799999995</v>
      </c>
      <c r="Y898" s="2" t="s">
        <v>28</v>
      </c>
      <c r="Z898" s="3">
        <f>VLOOKUP(Y898, rmpce_reference!$B$1:$D$7,3,FALSE) * 89</f>
        <v>6230</v>
      </c>
      <c r="AA898" s="1" t="str">
        <f>IF(Table1[rmpce_inr]&lt;=rmpce_reference!$F$2, "Low Income", IF(Table1[rmpce_inr]&lt;=rmpce_reference!$F$3, "Middle Income", "High Income"))</f>
        <v>Middle Income</v>
      </c>
    </row>
    <row r="899" spans="1:27" x14ac:dyDescent="0.25">
      <c r="A899">
        <v>5034</v>
      </c>
      <c r="B899" t="s">
        <v>43</v>
      </c>
      <c r="C899" t="s">
        <v>21</v>
      </c>
      <c r="D899">
        <v>42</v>
      </c>
      <c r="E899" t="s">
        <v>22</v>
      </c>
      <c r="F899" t="s">
        <v>23</v>
      </c>
      <c r="G899">
        <v>0</v>
      </c>
      <c r="H899" s="1" t="str">
        <f>IF(Table1[[#This Row],[anxiety_score]]&lt;=10, "Normal", IF(Table1[[#This Row],[anxiety_score]]&lt;=20, "Moderate", IF(Table1[[#This Row],[anxiety_score]]&lt;=30, "Severe", "Extremely Severe")))</f>
        <v>Normal</v>
      </c>
      <c r="I899">
        <v>-1.0134224999999999</v>
      </c>
      <c r="J899">
        <v>0</v>
      </c>
      <c r="K899" s="1" t="str">
        <f>IF(Table1[[#This Row],[stress_score]]&lt;=10, "Normal", IF(Table1[[#This Row],[stress_score]]&lt;=20, "Moderate", IF(Table1[[#This Row],[stress_score]]&lt;=30, "Severe", "Extremely Severe")))</f>
        <v>Normal</v>
      </c>
      <c r="L899">
        <v>-1.1624711999999999</v>
      </c>
      <c r="M899">
        <v>0</v>
      </c>
      <c r="N899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899">
        <v>-1.1088359000000001</v>
      </c>
      <c r="P899">
        <v>0</v>
      </c>
      <c r="Q899">
        <f>ROUND(Table1[[#This Row],[dass21_raw_score]],0)</f>
        <v>0</v>
      </c>
      <c r="R899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899">
        <v>-1.0949099</v>
      </c>
      <c r="T899">
        <v>0</v>
      </c>
      <c r="U899">
        <v>3000</v>
      </c>
      <c r="V899" s="1">
        <f>ROUND(Table1[[#This Row],[fmpce]],0)</f>
        <v>3000</v>
      </c>
      <c r="W899">
        <v>40.813994999999998</v>
      </c>
      <c r="X899" s="4">
        <f>Table1[[#This Row],[mpce]]*89</f>
        <v>3632.4455549999998</v>
      </c>
      <c r="Y899" s="2" t="s">
        <v>32</v>
      </c>
      <c r="Z899" s="3">
        <f>VLOOKUP(Y899, rmpce_reference!$B$1:$D$7,3,FALSE) * 89</f>
        <v>4450</v>
      </c>
      <c r="AA899" s="1" t="str">
        <f>IF(Table1[rmpce_inr]&lt;=rmpce_reference!$F$2, "Low Income", IF(Table1[rmpce_inr]&lt;=rmpce_reference!$F$3, "Middle Income", "High Income"))</f>
        <v>Low Income</v>
      </c>
    </row>
    <row r="900" spans="1:27" x14ac:dyDescent="0.25">
      <c r="A900">
        <v>5035</v>
      </c>
      <c r="B900" t="s">
        <v>43</v>
      </c>
      <c r="C900" t="s">
        <v>33</v>
      </c>
      <c r="D900">
        <v>28</v>
      </c>
      <c r="E900" t="s">
        <v>25</v>
      </c>
      <c r="F900" t="s">
        <v>30</v>
      </c>
      <c r="G900">
        <v>24</v>
      </c>
      <c r="H900" s="1" t="str">
        <f>IF(Table1[[#This Row],[anxiety_score]]&lt;=10, "Normal", IF(Table1[[#This Row],[anxiety_score]]&lt;=20, "Moderate", IF(Table1[[#This Row],[anxiety_score]]&lt;=30, "Severe", "Extremely Severe")))</f>
        <v>Severe</v>
      </c>
      <c r="I900">
        <v>1.3991127999999999</v>
      </c>
      <c r="J900">
        <v>24</v>
      </c>
      <c r="K900" s="1" t="str">
        <f>IF(Table1[[#This Row],[stress_score]]&lt;=10, "Normal", IF(Table1[[#This Row],[stress_score]]&lt;=20, "Moderate", IF(Table1[[#This Row],[stress_score]]&lt;=30, "Severe", "Extremely Severe")))</f>
        <v>Severe</v>
      </c>
      <c r="L900">
        <v>1.1734637999999999</v>
      </c>
      <c r="M900">
        <v>32</v>
      </c>
      <c r="N900" s="1" t="str">
        <f>IF(Table1[[#This Row],[depression_score]]&lt;=10, "Normal", IF(Table1[[#This Row],[depression_score]]&lt;=20, "Moderate", IF(Table1[[#This Row],[depression_score]]&lt;=30, "Severe", "Extremely Severe")))</f>
        <v>Extremely Severe</v>
      </c>
      <c r="O900">
        <v>1.9733623</v>
      </c>
      <c r="P900">
        <v>26.666665999999999</v>
      </c>
      <c r="Q900">
        <f>ROUND(Table1[[#This Row],[dass21_raw_score]],0)</f>
        <v>27</v>
      </c>
      <c r="R900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900">
        <v>1.5153129999999999</v>
      </c>
      <c r="T900">
        <v>2.6102227999999998</v>
      </c>
      <c r="U900">
        <v>5000</v>
      </c>
      <c r="V900" s="1">
        <f>ROUND(Table1[[#This Row],[fmpce]],0)</f>
        <v>5000</v>
      </c>
      <c r="W900">
        <v>68.023319999999998</v>
      </c>
      <c r="X900" s="4">
        <f>Table1[[#This Row],[mpce]]*89</f>
        <v>6054.0754799999995</v>
      </c>
      <c r="Y900" s="2" t="s">
        <v>28</v>
      </c>
      <c r="Z900" s="3">
        <f>VLOOKUP(Y900, rmpce_reference!$B$1:$D$7,3,FALSE) * 89</f>
        <v>6230</v>
      </c>
      <c r="AA900" s="1" t="str">
        <f>IF(Table1[rmpce_inr]&lt;=rmpce_reference!$F$2, "Low Income", IF(Table1[rmpce_inr]&lt;=rmpce_reference!$F$3, "Middle Income", "High Income"))</f>
        <v>Middle Income</v>
      </c>
    </row>
    <row r="901" spans="1:27" x14ac:dyDescent="0.25">
      <c r="A901">
        <v>5036</v>
      </c>
      <c r="B901" t="s">
        <v>43</v>
      </c>
      <c r="C901" t="s">
        <v>33</v>
      </c>
      <c r="D901">
        <v>28</v>
      </c>
      <c r="E901" t="s">
        <v>25</v>
      </c>
      <c r="F901" t="s">
        <v>30</v>
      </c>
      <c r="G901">
        <v>18</v>
      </c>
      <c r="H901" s="1" t="str">
        <f>IF(Table1[[#This Row],[anxiety_score]]&lt;=10, "Normal", IF(Table1[[#This Row],[anxiety_score]]&lt;=20, "Moderate", IF(Table1[[#This Row],[anxiety_score]]&lt;=30, "Severe", "Extremely Severe")))</f>
        <v>Moderate</v>
      </c>
      <c r="I901">
        <v>0.79597896000000001</v>
      </c>
      <c r="J901">
        <v>20</v>
      </c>
      <c r="K901" s="1" t="str">
        <f>IF(Table1[[#This Row],[stress_score]]&lt;=10, "Normal", IF(Table1[[#This Row],[stress_score]]&lt;=20, "Moderate", IF(Table1[[#This Row],[stress_score]]&lt;=30, "Severe", "Extremely Severe")))</f>
        <v>Moderate</v>
      </c>
      <c r="L901">
        <v>0.78414130000000004</v>
      </c>
      <c r="M901">
        <v>8</v>
      </c>
      <c r="N901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901">
        <v>-0.33828637</v>
      </c>
      <c r="P901">
        <v>15.333333</v>
      </c>
      <c r="Q901">
        <f>ROUND(Table1[[#This Row],[dass21_raw_score]],0)</f>
        <v>15</v>
      </c>
      <c r="R901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901">
        <v>0.41394462999999998</v>
      </c>
      <c r="T901">
        <v>1.5088545</v>
      </c>
      <c r="U901">
        <v>13333.333000000001</v>
      </c>
      <c r="V901" s="1">
        <f>ROUND(Table1[[#This Row],[fmpce]],0)</f>
        <v>13333</v>
      </c>
      <c r="W901">
        <v>181.39552</v>
      </c>
      <c r="X901" s="4">
        <f>Table1[[#This Row],[mpce]]*89</f>
        <v>16144.201280000001</v>
      </c>
      <c r="Y901" s="2" t="s">
        <v>35</v>
      </c>
      <c r="Z901" s="3">
        <f>VLOOKUP(Y901, rmpce_reference!$B$1:$D$7,3,FALSE) * 89</f>
        <v>9790</v>
      </c>
      <c r="AA901" s="1" t="str">
        <f>IF(Table1[rmpce_inr]&lt;=rmpce_reference!$F$2, "Low Income", IF(Table1[rmpce_inr]&lt;=rmpce_reference!$F$3, "Middle Income", "High Income"))</f>
        <v>High Income</v>
      </c>
    </row>
    <row r="902" spans="1:27" x14ac:dyDescent="0.25">
      <c r="A902">
        <v>5037</v>
      </c>
      <c r="B902" t="s">
        <v>43</v>
      </c>
      <c r="C902" t="s">
        <v>33</v>
      </c>
      <c r="D902">
        <v>29</v>
      </c>
      <c r="E902" t="s">
        <v>25</v>
      </c>
      <c r="F902" t="s">
        <v>23</v>
      </c>
      <c r="G902">
        <v>0</v>
      </c>
      <c r="H902" s="1" t="str">
        <f>IF(Table1[[#This Row],[anxiety_score]]&lt;=10, "Normal", IF(Table1[[#This Row],[anxiety_score]]&lt;=20, "Moderate", IF(Table1[[#This Row],[anxiety_score]]&lt;=30, "Severe", "Extremely Severe")))</f>
        <v>Normal</v>
      </c>
      <c r="I902">
        <v>-1.0134224999999999</v>
      </c>
      <c r="J902">
        <v>0</v>
      </c>
      <c r="K902" s="1" t="str">
        <f>IF(Table1[[#This Row],[stress_score]]&lt;=10, "Normal", IF(Table1[[#This Row],[stress_score]]&lt;=20, "Moderate", IF(Table1[[#This Row],[stress_score]]&lt;=30, "Severe", "Extremely Severe")))</f>
        <v>Normal</v>
      </c>
      <c r="L902">
        <v>-1.1624711999999999</v>
      </c>
      <c r="M902">
        <v>0</v>
      </c>
      <c r="N902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902">
        <v>-1.1088359000000001</v>
      </c>
      <c r="P902">
        <v>0</v>
      </c>
      <c r="Q902">
        <f>ROUND(Table1[[#This Row],[dass21_raw_score]],0)</f>
        <v>0</v>
      </c>
      <c r="R902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902">
        <v>-1.0949099</v>
      </c>
      <c r="T902">
        <v>0</v>
      </c>
      <c r="U902">
        <v>6250</v>
      </c>
      <c r="V902" s="1">
        <f>ROUND(Table1[[#This Row],[fmpce]],0)</f>
        <v>6250</v>
      </c>
      <c r="W902">
        <v>85.029150000000001</v>
      </c>
      <c r="X902" s="4">
        <f>Table1[[#This Row],[mpce]]*89</f>
        <v>7567.5943500000003</v>
      </c>
      <c r="Y902" s="2" t="s">
        <v>31</v>
      </c>
      <c r="Z902" s="3">
        <f>VLOOKUP(Y902, rmpce_reference!$B$1:$D$7,3,FALSE) * 89</f>
        <v>8010</v>
      </c>
      <c r="AA902" s="1" t="str">
        <f>IF(Table1[rmpce_inr]&lt;=rmpce_reference!$F$2, "Low Income", IF(Table1[rmpce_inr]&lt;=rmpce_reference!$F$3, "Middle Income", "High Income"))</f>
        <v>High Income</v>
      </c>
    </row>
    <row r="903" spans="1:27" x14ac:dyDescent="0.25">
      <c r="A903">
        <v>5038</v>
      </c>
      <c r="B903" t="s">
        <v>43</v>
      </c>
      <c r="C903" t="s">
        <v>33</v>
      </c>
      <c r="D903">
        <v>30</v>
      </c>
      <c r="E903" t="s">
        <v>25</v>
      </c>
      <c r="F903" t="s">
        <v>38</v>
      </c>
      <c r="G903">
        <v>0</v>
      </c>
      <c r="H903" s="1" t="str">
        <f>IF(Table1[[#This Row],[anxiety_score]]&lt;=10, "Normal", IF(Table1[[#This Row],[anxiety_score]]&lt;=20, "Moderate", IF(Table1[[#This Row],[anxiety_score]]&lt;=30, "Severe", "Extremely Severe")))</f>
        <v>Normal</v>
      </c>
      <c r="I903">
        <v>-1.0134224999999999</v>
      </c>
      <c r="J903">
        <v>16</v>
      </c>
      <c r="K903" s="1" t="str">
        <f>IF(Table1[[#This Row],[stress_score]]&lt;=10, "Normal", IF(Table1[[#This Row],[stress_score]]&lt;=20, "Moderate", IF(Table1[[#This Row],[stress_score]]&lt;=30, "Severe", "Extremely Severe")))</f>
        <v>Moderate</v>
      </c>
      <c r="L903">
        <v>0.39481880000000003</v>
      </c>
      <c r="M903">
        <v>24</v>
      </c>
      <c r="N903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903">
        <v>1.2028128</v>
      </c>
      <c r="P903">
        <v>13.333333</v>
      </c>
      <c r="Q903">
        <f>ROUND(Table1[[#This Row],[dass21_raw_score]],0)</f>
        <v>13</v>
      </c>
      <c r="R903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903">
        <v>0.19473637999999999</v>
      </c>
      <c r="T903">
        <v>1.2896463</v>
      </c>
      <c r="U903">
        <v>30000</v>
      </c>
      <c r="V903" s="1">
        <f>ROUND(Table1[[#This Row],[fmpce]],0)</f>
        <v>30000</v>
      </c>
      <c r="W903">
        <v>408.13995</v>
      </c>
      <c r="X903" s="4">
        <f>Table1[[#This Row],[mpce]]*89</f>
        <v>36324.455549999999</v>
      </c>
      <c r="Y903" s="2" t="s">
        <v>35</v>
      </c>
      <c r="Z903" s="3">
        <f>VLOOKUP(Y903, rmpce_reference!$B$1:$D$7,3,FALSE) * 89</f>
        <v>9790</v>
      </c>
      <c r="AA903" s="1" t="str">
        <f>IF(Table1[rmpce_inr]&lt;=rmpce_reference!$F$2, "Low Income", IF(Table1[rmpce_inr]&lt;=rmpce_reference!$F$3, "Middle Income", "High Income"))</f>
        <v>High Income</v>
      </c>
    </row>
    <row r="904" spans="1:27" x14ac:dyDescent="0.25">
      <c r="A904">
        <v>5039</v>
      </c>
      <c r="B904" t="s">
        <v>43</v>
      </c>
      <c r="C904" t="s">
        <v>33</v>
      </c>
      <c r="D904">
        <v>29</v>
      </c>
      <c r="E904" t="s">
        <v>22</v>
      </c>
      <c r="F904" t="s">
        <v>30</v>
      </c>
      <c r="G904">
        <v>8</v>
      </c>
      <c r="H904" s="1" t="str">
        <f>IF(Table1[[#This Row],[anxiety_score]]&lt;=10, "Normal", IF(Table1[[#This Row],[anxiety_score]]&lt;=20, "Moderate", IF(Table1[[#This Row],[anxiety_score]]&lt;=30, "Severe", "Extremely Severe")))</f>
        <v>Normal</v>
      </c>
      <c r="I904">
        <v>-0.20924408999999999</v>
      </c>
      <c r="J904">
        <v>8</v>
      </c>
      <c r="K904" s="1" t="str">
        <f>IF(Table1[[#This Row],[stress_score]]&lt;=10, "Normal", IF(Table1[[#This Row],[stress_score]]&lt;=20, "Moderate", IF(Table1[[#This Row],[stress_score]]&lt;=30, "Severe", "Extremely Severe")))</f>
        <v>Normal</v>
      </c>
      <c r="L904">
        <v>-0.38382620000000001</v>
      </c>
      <c r="M904">
        <v>10</v>
      </c>
      <c r="N904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904">
        <v>-0.14564899000000001</v>
      </c>
      <c r="P904">
        <v>8.6666670000000003</v>
      </c>
      <c r="Q904">
        <f>ROUND(Table1[[#This Row],[dass21_raw_score]],0)</f>
        <v>9</v>
      </c>
      <c r="R904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904">
        <v>-0.24623975000000001</v>
      </c>
      <c r="T904">
        <v>0.84867009999999998</v>
      </c>
      <c r="U904">
        <v>5333.3334999999997</v>
      </c>
      <c r="V904" s="1">
        <f>ROUND(Table1[[#This Row],[fmpce]],0)</f>
        <v>5333</v>
      </c>
      <c r="W904">
        <v>72.558210000000003</v>
      </c>
      <c r="X904" s="4">
        <f>Table1[[#This Row],[mpce]]*89</f>
        <v>6457.6806900000001</v>
      </c>
      <c r="Y904" s="2" t="s">
        <v>28</v>
      </c>
      <c r="Z904" s="3">
        <f>VLOOKUP(Y904, rmpce_reference!$B$1:$D$7,3,FALSE) * 89</f>
        <v>6230</v>
      </c>
      <c r="AA904" s="1" t="str">
        <f>IF(Table1[rmpce_inr]&lt;=rmpce_reference!$F$2, "Low Income", IF(Table1[rmpce_inr]&lt;=rmpce_reference!$F$3, "Middle Income", "High Income"))</f>
        <v>Middle Income</v>
      </c>
    </row>
    <row r="905" spans="1:27" x14ac:dyDescent="0.25">
      <c r="A905">
        <v>5040</v>
      </c>
      <c r="B905" t="s">
        <v>43</v>
      </c>
      <c r="C905" t="s">
        <v>33</v>
      </c>
      <c r="D905">
        <v>29</v>
      </c>
      <c r="E905" t="s">
        <v>25</v>
      </c>
      <c r="F905" t="s">
        <v>30</v>
      </c>
      <c r="G905">
        <v>6</v>
      </c>
      <c r="H905" s="1" t="str">
        <f>IF(Table1[[#This Row],[anxiety_score]]&lt;=10, "Normal", IF(Table1[[#This Row],[anxiety_score]]&lt;=20, "Moderate", IF(Table1[[#This Row],[anxiety_score]]&lt;=30, "Severe", "Extremely Severe")))</f>
        <v>Normal</v>
      </c>
      <c r="I905">
        <v>-0.41028870000000001</v>
      </c>
      <c r="J905">
        <v>4</v>
      </c>
      <c r="K905" s="1" t="str">
        <f>IF(Table1[[#This Row],[stress_score]]&lt;=10, "Normal", IF(Table1[[#This Row],[stress_score]]&lt;=20, "Moderate", IF(Table1[[#This Row],[stress_score]]&lt;=30, "Severe", "Extremely Severe")))</f>
        <v>Normal</v>
      </c>
      <c r="L905">
        <v>-0.77314866000000004</v>
      </c>
      <c r="M905">
        <v>0</v>
      </c>
      <c r="N905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905">
        <v>-1.1088359000000001</v>
      </c>
      <c r="P905">
        <v>3.3333333000000001</v>
      </c>
      <c r="Q905">
        <f>ROUND(Table1[[#This Row],[dass21_raw_score]],0)</f>
        <v>3</v>
      </c>
      <c r="R905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905">
        <v>-0.76409110000000002</v>
      </c>
      <c r="T905">
        <v>0.33081883000000001</v>
      </c>
      <c r="U905">
        <v>7500</v>
      </c>
      <c r="V905" s="1">
        <f>ROUND(Table1[[#This Row],[fmpce]],0)</f>
        <v>7500</v>
      </c>
      <c r="W905">
        <v>102.03498999999999</v>
      </c>
      <c r="X905" s="4">
        <f>Table1[[#This Row],[mpce]]*89</f>
        <v>9081.1141099999986</v>
      </c>
      <c r="Y905" s="2" t="s">
        <v>35</v>
      </c>
      <c r="Z905" s="3">
        <f>VLOOKUP(Y905, rmpce_reference!$B$1:$D$7,3,FALSE) * 89</f>
        <v>9790</v>
      </c>
      <c r="AA905" s="1" t="str">
        <f>IF(Table1[rmpce_inr]&lt;=rmpce_reference!$F$2, "Low Income", IF(Table1[rmpce_inr]&lt;=rmpce_reference!$F$3, "Middle Income", "High Income"))</f>
        <v>High Income</v>
      </c>
    </row>
    <row r="906" spans="1:27" x14ac:dyDescent="0.25">
      <c r="A906">
        <v>5041</v>
      </c>
      <c r="B906" t="s">
        <v>43</v>
      </c>
      <c r="C906" t="s">
        <v>33</v>
      </c>
      <c r="D906">
        <v>28</v>
      </c>
      <c r="E906" t="s">
        <v>25</v>
      </c>
      <c r="F906" t="s">
        <v>30</v>
      </c>
      <c r="G906">
        <v>10</v>
      </c>
      <c r="H906" s="1" t="str">
        <f>IF(Table1[[#This Row],[anxiety_score]]&lt;=10, "Normal", IF(Table1[[#This Row],[anxiety_score]]&lt;=20, "Moderate", IF(Table1[[#This Row],[anxiety_score]]&lt;=30, "Severe", "Extremely Severe")))</f>
        <v>Normal</v>
      </c>
      <c r="I906">
        <v>-8.1994660000000007E-3</v>
      </c>
      <c r="J906">
        <v>20</v>
      </c>
      <c r="K906" s="1" t="str">
        <f>IF(Table1[[#This Row],[stress_score]]&lt;=10, "Normal", IF(Table1[[#This Row],[stress_score]]&lt;=20, "Moderate", IF(Table1[[#This Row],[stress_score]]&lt;=30, "Severe", "Extremely Severe")))</f>
        <v>Moderate</v>
      </c>
      <c r="L906">
        <v>0.78414130000000004</v>
      </c>
      <c r="M906">
        <v>10</v>
      </c>
      <c r="N906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906">
        <v>-0.14564899000000001</v>
      </c>
      <c r="P906">
        <v>13.333333</v>
      </c>
      <c r="Q906">
        <f>ROUND(Table1[[#This Row],[dass21_raw_score]],0)</f>
        <v>13</v>
      </c>
      <c r="R906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906">
        <v>0.21009760999999999</v>
      </c>
      <c r="T906">
        <v>1.3050075000000001</v>
      </c>
      <c r="U906">
        <v>11666.666999999999</v>
      </c>
      <c r="V906" s="1">
        <f>ROUND(Table1[[#This Row],[fmpce]],0)</f>
        <v>11667</v>
      </c>
      <c r="W906">
        <v>158.72110000000001</v>
      </c>
      <c r="X906" s="4">
        <f>Table1[[#This Row],[mpce]]*89</f>
        <v>14126.177900000001</v>
      </c>
      <c r="Y906" s="2" t="s">
        <v>35</v>
      </c>
      <c r="Z906" s="3">
        <f>VLOOKUP(Y906, rmpce_reference!$B$1:$D$7,3,FALSE) * 89</f>
        <v>9790</v>
      </c>
      <c r="AA906" s="1" t="str">
        <f>IF(Table1[rmpce_inr]&lt;=rmpce_reference!$F$2, "Low Income", IF(Table1[rmpce_inr]&lt;=rmpce_reference!$F$3, "Middle Income", "High Income"))</f>
        <v>High Income</v>
      </c>
    </row>
    <row r="907" spans="1:27" x14ac:dyDescent="0.25">
      <c r="A907">
        <v>5042</v>
      </c>
      <c r="B907" t="s">
        <v>43</v>
      </c>
      <c r="C907" t="s">
        <v>33</v>
      </c>
      <c r="D907">
        <v>29</v>
      </c>
      <c r="E907" t="s">
        <v>25</v>
      </c>
      <c r="F907" t="s">
        <v>30</v>
      </c>
      <c r="G907">
        <v>8</v>
      </c>
      <c r="H907" s="1" t="str">
        <f>IF(Table1[[#This Row],[anxiety_score]]&lt;=10, "Normal", IF(Table1[[#This Row],[anxiety_score]]&lt;=20, "Moderate", IF(Table1[[#This Row],[anxiety_score]]&lt;=30, "Severe", "Extremely Severe")))</f>
        <v>Normal</v>
      </c>
      <c r="I907">
        <v>-0.20924408999999999</v>
      </c>
      <c r="J907">
        <v>6</v>
      </c>
      <c r="K907" s="1" t="str">
        <f>IF(Table1[[#This Row],[stress_score]]&lt;=10, "Normal", IF(Table1[[#This Row],[stress_score]]&lt;=20, "Moderate", IF(Table1[[#This Row],[stress_score]]&lt;=30, "Severe", "Extremely Severe")))</f>
        <v>Normal</v>
      </c>
      <c r="L907">
        <v>-0.57848745999999995</v>
      </c>
      <c r="M907">
        <v>4</v>
      </c>
      <c r="N907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907">
        <v>-0.72356116999999998</v>
      </c>
      <c r="P907">
        <v>6</v>
      </c>
      <c r="Q907">
        <f>ROUND(Table1[[#This Row],[dass21_raw_score]],0)</f>
        <v>6</v>
      </c>
      <c r="R907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907">
        <v>-0.5037642</v>
      </c>
      <c r="T907">
        <v>0.5911457</v>
      </c>
      <c r="U907">
        <v>7500</v>
      </c>
      <c r="V907" s="1">
        <f>ROUND(Table1[[#This Row],[fmpce]],0)</f>
        <v>7500</v>
      </c>
      <c r="W907">
        <v>102.03498999999999</v>
      </c>
      <c r="X907" s="4">
        <f>Table1[[#This Row],[mpce]]*89</f>
        <v>9081.1141099999986</v>
      </c>
      <c r="Y907" s="2" t="s">
        <v>35</v>
      </c>
      <c r="Z907" s="3">
        <f>VLOOKUP(Y907, rmpce_reference!$B$1:$D$7,3,FALSE) * 89</f>
        <v>9790</v>
      </c>
      <c r="AA907" s="1" t="str">
        <f>IF(Table1[rmpce_inr]&lt;=rmpce_reference!$F$2, "Low Income", IF(Table1[rmpce_inr]&lt;=rmpce_reference!$F$3, "Middle Income", "High Income"))</f>
        <v>High Income</v>
      </c>
    </row>
    <row r="908" spans="1:27" x14ac:dyDescent="0.25">
      <c r="A908">
        <v>5043</v>
      </c>
      <c r="B908" t="s">
        <v>43</v>
      </c>
      <c r="C908" t="s">
        <v>33</v>
      </c>
      <c r="D908">
        <v>28</v>
      </c>
      <c r="E908" t="s">
        <v>25</v>
      </c>
      <c r="F908" t="s">
        <v>30</v>
      </c>
      <c r="G908">
        <v>0</v>
      </c>
      <c r="H908" s="1" t="str">
        <f>IF(Table1[[#This Row],[anxiety_score]]&lt;=10, "Normal", IF(Table1[[#This Row],[anxiety_score]]&lt;=20, "Moderate", IF(Table1[[#This Row],[anxiety_score]]&lt;=30, "Severe", "Extremely Severe")))</f>
        <v>Normal</v>
      </c>
      <c r="I908">
        <v>-1.0134224999999999</v>
      </c>
      <c r="J908">
        <v>10</v>
      </c>
      <c r="K908" s="1" t="str">
        <f>IF(Table1[[#This Row],[stress_score]]&lt;=10, "Normal", IF(Table1[[#This Row],[stress_score]]&lt;=20, "Moderate", IF(Table1[[#This Row],[stress_score]]&lt;=30, "Severe", "Extremely Severe")))</f>
        <v>Normal</v>
      </c>
      <c r="L908">
        <v>-0.18916494</v>
      </c>
      <c r="M908">
        <v>12</v>
      </c>
      <c r="N908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908">
        <v>4.6988415999999998E-2</v>
      </c>
      <c r="P908">
        <v>7.3333335000000002</v>
      </c>
      <c r="Q908">
        <f>ROUND(Table1[[#This Row],[dass21_raw_score]],0)</f>
        <v>7</v>
      </c>
      <c r="R908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908">
        <v>-0.38519966999999999</v>
      </c>
      <c r="T908">
        <v>0.70971024000000005</v>
      </c>
      <c r="U908">
        <v>7500</v>
      </c>
      <c r="V908" s="1">
        <f>ROUND(Table1[[#This Row],[fmpce]],0)</f>
        <v>7500</v>
      </c>
      <c r="W908">
        <v>102.03498999999999</v>
      </c>
      <c r="X908" s="4">
        <f>Table1[[#This Row],[mpce]]*89</f>
        <v>9081.1141099999986</v>
      </c>
      <c r="Y908" s="2" t="s">
        <v>35</v>
      </c>
      <c r="Z908" s="3">
        <f>VLOOKUP(Y908, rmpce_reference!$B$1:$D$7,3,FALSE) * 89</f>
        <v>9790</v>
      </c>
      <c r="AA908" s="1" t="str">
        <f>IF(Table1[rmpce_inr]&lt;=rmpce_reference!$F$2, "Low Income", IF(Table1[rmpce_inr]&lt;=rmpce_reference!$F$3, "Middle Income", "High Income"))</f>
        <v>High Income</v>
      </c>
    </row>
    <row r="909" spans="1:27" x14ac:dyDescent="0.25">
      <c r="A909">
        <v>5044</v>
      </c>
      <c r="B909" t="s">
        <v>43</v>
      </c>
      <c r="C909" t="s">
        <v>33</v>
      </c>
      <c r="D909">
        <v>25</v>
      </c>
      <c r="E909" t="s">
        <v>25</v>
      </c>
      <c r="F909" t="s">
        <v>30</v>
      </c>
      <c r="G909">
        <v>2</v>
      </c>
      <c r="H909" s="1" t="str">
        <f>IF(Table1[[#This Row],[anxiety_score]]&lt;=10, "Normal", IF(Table1[[#This Row],[anxiety_score]]&lt;=20, "Moderate", IF(Table1[[#This Row],[anxiety_score]]&lt;=30, "Severe", "Extremely Severe")))</f>
        <v>Normal</v>
      </c>
      <c r="I909">
        <v>-0.81237789999999999</v>
      </c>
      <c r="J909">
        <v>8</v>
      </c>
      <c r="K909" s="1" t="str">
        <f>IF(Table1[[#This Row],[stress_score]]&lt;=10, "Normal", IF(Table1[[#This Row],[stress_score]]&lt;=20, "Moderate", IF(Table1[[#This Row],[stress_score]]&lt;=30, "Severe", "Extremely Severe")))</f>
        <v>Normal</v>
      </c>
      <c r="L909">
        <v>-0.38382620000000001</v>
      </c>
      <c r="M909">
        <v>8</v>
      </c>
      <c r="N909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909">
        <v>-0.33828637</v>
      </c>
      <c r="P909">
        <v>6</v>
      </c>
      <c r="Q909">
        <f>ROUND(Table1[[#This Row],[dass21_raw_score]],0)</f>
        <v>6</v>
      </c>
      <c r="R909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909">
        <v>-0.51149683999999995</v>
      </c>
      <c r="T909">
        <v>0.58341306000000004</v>
      </c>
      <c r="U909">
        <v>6666.6665000000003</v>
      </c>
      <c r="V909" s="1">
        <f>ROUND(Table1[[#This Row],[fmpce]],0)</f>
        <v>6667</v>
      </c>
      <c r="W909">
        <v>90.697760000000002</v>
      </c>
      <c r="X909" s="4">
        <f>Table1[[#This Row],[mpce]]*89</f>
        <v>8072.1006400000006</v>
      </c>
      <c r="Y909" s="2" t="s">
        <v>31</v>
      </c>
      <c r="Z909" s="3">
        <f>VLOOKUP(Y909, rmpce_reference!$B$1:$D$7,3,FALSE) * 89</f>
        <v>8010</v>
      </c>
      <c r="AA909" s="1" t="str">
        <f>IF(Table1[rmpce_inr]&lt;=rmpce_reference!$F$2, "Low Income", IF(Table1[rmpce_inr]&lt;=rmpce_reference!$F$3, "Middle Income", "High Income"))</f>
        <v>High Income</v>
      </c>
    </row>
    <row r="910" spans="1:27" x14ac:dyDescent="0.25">
      <c r="A910">
        <v>5045</v>
      </c>
      <c r="B910" t="s">
        <v>43</v>
      </c>
      <c r="C910" t="s">
        <v>33</v>
      </c>
      <c r="D910">
        <v>29</v>
      </c>
      <c r="E910" t="s">
        <v>22</v>
      </c>
      <c r="F910" t="s">
        <v>23</v>
      </c>
      <c r="G910">
        <v>0</v>
      </c>
      <c r="H910" s="1" t="str">
        <f>IF(Table1[[#This Row],[anxiety_score]]&lt;=10, "Normal", IF(Table1[[#This Row],[anxiety_score]]&lt;=20, "Moderate", IF(Table1[[#This Row],[anxiety_score]]&lt;=30, "Severe", "Extremely Severe")))</f>
        <v>Normal</v>
      </c>
      <c r="I910">
        <v>-1.0134224999999999</v>
      </c>
      <c r="J910">
        <v>6</v>
      </c>
      <c r="K910" s="1" t="str">
        <f>IF(Table1[[#This Row],[stress_score]]&lt;=10, "Normal", IF(Table1[[#This Row],[stress_score]]&lt;=20, "Moderate", IF(Table1[[#This Row],[stress_score]]&lt;=30, "Severe", "Extremely Severe")))</f>
        <v>Normal</v>
      </c>
      <c r="L910">
        <v>-0.57848745999999995</v>
      </c>
      <c r="M910">
        <v>4</v>
      </c>
      <c r="N910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910">
        <v>-0.72356116999999998</v>
      </c>
      <c r="P910">
        <v>3.3333333000000001</v>
      </c>
      <c r="Q910">
        <f>ROUND(Table1[[#This Row],[dass21_raw_score]],0)</f>
        <v>3</v>
      </c>
      <c r="R910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910">
        <v>-0.7718237</v>
      </c>
      <c r="T910">
        <v>0.32308619999999999</v>
      </c>
      <c r="U910">
        <v>7500</v>
      </c>
      <c r="V910" s="1">
        <f>ROUND(Table1[[#This Row],[fmpce]],0)</f>
        <v>7500</v>
      </c>
      <c r="W910">
        <v>102.03498999999999</v>
      </c>
      <c r="X910" s="4">
        <f>Table1[[#This Row],[mpce]]*89</f>
        <v>9081.1141099999986</v>
      </c>
      <c r="Y910" s="2" t="s">
        <v>35</v>
      </c>
      <c r="Z910" s="3">
        <f>VLOOKUP(Y910, rmpce_reference!$B$1:$D$7,3,FALSE) * 89</f>
        <v>9790</v>
      </c>
      <c r="AA910" s="1" t="str">
        <f>IF(Table1[rmpce_inr]&lt;=rmpce_reference!$F$2, "Low Income", IF(Table1[rmpce_inr]&lt;=rmpce_reference!$F$3, "Middle Income", "High Income"))</f>
        <v>High Income</v>
      </c>
    </row>
    <row r="911" spans="1:27" x14ac:dyDescent="0.25">
      <c r="A911">
        <v>5046</v>
      </c>
      <c r="B911" t="s">
        <v>43</v>
      </c>
      <c r="C911" t="s">
        <v>33</v>
      </c>
      <c r="D911">
        <v>25</v>
      </c>
      <c r="E911" t="s">
        <v>25</v>
      </c>
      <c r="F911" t="s">
        <v>23</v>
      </c>
      <c r="G911">
        <v>0</v>
      </c>
      <c r="H911" s="1" t="str">
        <f>IF(Table1[[#This Row],[anxiety_score]]&lt;=10, "Normal", IF(Table1[[#This Row],[anxiety_score]]&lt;=20, "Moderate", IF(Table1[[#This Row],[anxiety_score]]&lt;=30, "Severe", "Extremely Severe")))</f>
        <v>Normal</v>
      </c>
      <c r="I911">
        <v>-1.0134224999999999</v>
      </c>
      <c r="J911">
        <v>8</v>
      </c>
      <c r="K911" s="1" t="str">
        <f>IF(Table1[[#This Row],[stress_score]]&lt;=10, "Normal", IF(Table1[[#This Row],[stress_score]]&lt;=20, "Moderate", IF(Table1[[#This Row],[stress_score]]&lt;=30, "Severe", "Extremely Severe")))</f>
        <v>Normal</v>
      </c>
      <c r="L911">
        <v>-0.38382620000000001</v>
      </c>
      <c r="M911">
        <v>20</v>
      </c>
      <c r="N911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911">
        <v>0.81753799999999999</v>
      </c>
      <c r="P911">
        <v>9.3333329999999997</v>
      </c>
      <c r="Q911">
        <f>ROUND(Table1[[#This Row],[dass21_raw_score]],0)</f>
        <v>9</v>
      </c>
      <c r="R911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911">
        <v>-0.19323688999999999</v>
      </c>
      <c r="T911">
        <v>0.90167299999999995</v>
      </c>
      <c r="U911">
        <v>6666.6665000000003</v>
      </c>
      <c r="V911" s="1">
        <f>ROUND(Table1[[#This Row],[fmpce]],0)</f>
        <v>6667</v>
      </c>
      <c r="W911">
        <v>90.697760000000002</v>
      </c>
      <c r="X911" s="4">
        <f>Table1[[#This Row],[mpce]]*89</f>
        <v>8072.1006400000006</v>
      </c>
      <c r="Y911" s="2" t="s">
        <v>31</v>
      </c>
      <c r="Z911" s="3">
        <f>VLOOKUP(Y911, rmpce_reference!$B$1:$D$7,3,FALSE) * 89</f>
        <v>8010</v>
      </c>
      <c r="AA911" s="1" t="str">
        <f>IF(Table1[rmpce_inr]&lt;=rmpce_reference!$F$2, "Low Income", IF(Table1[rmpce_inr]&lt;=rmpce_reference!$F$3, "Middle Income", "High Income"))</f>
        <v>High Income</v>
      </c>
    </row>
    <row r="912" spans="1:27" x14ac:dyDescent="0.25">
      <c r="A912">
        <v>5047</v>
      </c>
      <c r="B912" t="s">
        <v>43</v>
      </c>
      <c r="C912" t="s">
        <v>33</v>
      </c>
      <c r="D912">
        <v>28</v>
      </c>
      <c r="E912" t="s">
        <v>25</v>
      </c>
      <c r="F912" t="s">
        <v>30</v>
      </c>
      <c r="G912">
        <v>0</v>
      </c>
      <c r="H912" s="1" t="str">
        <f>IF(Table1[[#This Row],[anxiety_score]]&lt;=10, "Normal", IF(Table1[[#This Row],[anxiety_score]]&lt;=20, "Moderate", IF(Table1[[#This Row],[anxiety_score]]&lt;=30, "Severe", "Extremely Severe")))</f>
        <v>Normal</v>
      </c>
      <c r="I912">
        <v>-1.0134224999999999</v>
      </c>
      <c r="J912">
        <v>6</v>
      </c>
      <c r="K912" s="1" t="str">
        <f>IF(Table1[[#This Row],[stress_score]]&lt;=10, "Normal", IF(Table1[[#This Row],[stress_score]]&lt;=20, "Moderate", IF(Table1[[#This Row],[stress_score]]&lt;=30, "Severe", "Extremely Severe")))</f>
        <v>Normal</v>
      </c>
      <c r="L912">
        <v>-0.57848745999999995</v>
      </c>
      <c r="M912">
        <v>4</v>
      </c>
      <c r="N912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912">
        <v>-0.72356116999999998</v>
      </c>
      <c r="P912">
        <v>3.3333333000000001</v>
      </c>
      <c r="Q912">
        <f>ROUND(Table1[[#This Row],[dass21_raw_score]],0)</f>
        <v>3</v>
      </c>
      <c r="R912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912">
        <v>-0.7718237</v>
      </c>
      <c r="T912">
        <v>0.32308619999999999</v>
      </c>
      <c r="U912">
        <v>15000</v>
      </c>
      <c r="V912" s="1">
        <f>ROUND(Table1[[#This Row],[fmpce]],0)</f>
        <v>15000</v>
      </c>
      <c r="W912">
        <v>204.06997999999999</v>
      </c>
      <c r="X912" s="4">
        <f>Table1[[#This Row],[mpce]]*89</f>
        <v>18162.228219999997</v>
      </c>
      <c r="Y912" s="2" t="s">
        <v>35</v>
      </c>
      <c r="Z912" s="3">
        <f>VLOOKUP(Y912, rmpce_reference!$B$1:$D$7,3,FALSE) * 89</f>
        <v>9790</v>
      </c>
      <c r="AA912" s="1" t="str">
        <f>IF(Table1[rmpce_inr]&lt;=rmpce_reference!$F$2, "Low Income", IF(Table1[rmpce_inr]&lt;=rmpce_reference!$F$3, "Middle Income", "High Income"))</f>
        <v>High Income</v>
      </c>
    </row>
    <row r="913" spans="1:27" x14ac:dyDescent="0.25">
      <c r="A913">
        <v>5048</v>
      </c>
      <c r="B913" t="s">
        <v>43</v>
      </c>
      <c r="C913" t="s">
        <v>33</v>
      </c>
      <c r="D913">
        <v>28</v>
      </c>
      <c r="E913" t="s">
        <v>25</v>
      </c>
      <c r="F913" t="s">
        <v>30</v>
      </c>
      <c r="G913">
        <v>0</v>
      </c>
      <c r="H913" s="1" t="str">
        <f>IF(Table1[[#This Row],[anxiety_score]]&lt;=10, "Normal", IF(Table1[[#This Row],[anxiety_score]]&lt;=20, "Moderate", IF(Table1[[#This Row],[anxiety_score]]&lt;=30, "Severe", "Extremely Severe")))</f>
        <v>Normal</v>
      </c>
      <c r="I913">
        <v>-1.0134224999999999</v>
      </c>
      <c r="J913">
        <v>0</v>
      </c>
      <c r="K913" s="1" t="str">
        <f>IF(Table1[[#This Row],[stress_score]]&lt;=10, "Normal", IF(Table1[[#This Row],[stress_score]]&lt;=20, "Moderate", IF(Table1[[#This Row],[stress_score]]&lt;=30, "Severe", "Extremely Severe")))</f>
        <v>Normal</v>
      </c>
      <c r="L913">
        <v>-1.1624711999999999</v>
      </c>
      <c r="M913">
        <v>6</v>
      </c>
      <c r="N913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913">
        <v>-0.53092379999999995</v>
      </c>
      <c r="P913">
        <v>2</v>
      </c>
      <c r="Q913">
        <f>ROUND(Table1[[#This Row],[dass21_raw_score]],0)</f>
        <v>2</v>
      </c>
      <c r="R913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913">
        <v>-0.90227246000000005</v>
      </c>
      <c r="T913">
        <v>0.19263743999999999</v>
      </c>
      <c r="U913">
        <v>35000</v>
      </c>
      <c r="V913" s="1">
        <f>ROUND(Table1[[#This Row],[fmpce]],0)</f>
        <v>35000</v>
      </c>
      <c r="W913">
        <v>476.16327000000001</v>
      </c>
      <c r="X913" s="4">
        <f>Table1[[#This Row],[mpce]]*89</f>
        <v>42378.531029999998</v>
      </c>
      <c r="Y913" s="2" t="s">
        <v>35</v>
      </c>
      <c r="Z913" s="3">
        <f>VLOOKUP(Y913, rmpce_reference!$B$1:$D$7,3,FALSE) * 89</f>
        <v>9790</v>
      </c>
      <c r="AA913" s="1" t="str">
        <f>IF(Table1[rmpce_inr]&lt;=rmpce_reference!$F$2, "Low Income", IF(Table1[rmpce_inr]&lt;=rmpce_reference!$F$3, "Middle Income", "High Income"))</f>
        <v>High Income</v>
      </c>
    </row>
    <row r="914" spans="1:27" x14ac:dyDescent="0.25">
      <c r="A914">
        <v>5049</v>
      </c>
      <c r="B914" t="s">
        <v>43</v>
      </c>
      <c r="C914" t="s">
        <v>29</v>
      </c>
      <c r="D914">
        <v>33</v>
      </c>
      <c r="E914" t="s">
        <v>25</v>
      </c>
      <c r="F914" t="s">
        <v>30</v>
      </c>
      <c r="G914">
        <v>6</v>
      </c>
      <c r="H914" s="1" t="str">
        <f>IF(Table1[[#This Row],[anxiety_score]]&lt;=10, "Normal", IF(Table1[[#This Row],[anxiety_score]]&lt;=20, "Moderate", IF(Table1[[#This Row],[anxiety_score]]&lt;=30, "Severe", "Extremely Severe")))</f>
        <v>Normal</v>
      </c>
      <c r="I914">
        <v>-0.41028870000000001</v>
      </c>
      <c r="J914">
        <v>22</v>
      </c>
      <c r="K914" s="1" t="str">
        <f>IF(Table1[[#This Row],[stress_score]]&lt;=10, "Normal", IF(Table1[[#This Row],[stress_score]]&lt;=20, "Moderate", IF(Table1[[#This Row],[stress_score]]&lt;=30, "Severe", "Extremely Severe")))</f>
        <v>Severe</v>
      </c>
      <c r="L914">
        <v>0.97880255999999999</v>
      </c>
      <c r="M914">
        <v>12</v>
      </c>
      <c r="N914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914">
        <v>4.6988415999999998E-2</v>
      </c>
      <c r="P914">
        <v>13.333333</v>
      </c>
      <c r="Q914">
        <f>ROUND(Table1[[#This Row],[dass21_raw_score]],0)</f>
        <v>13</v>
      </c>
      <c r="R914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914">
        <v>0.20516743000000001</v>
      </c>
      <c r="T914">
        <v>1.3000773000000001</v>
      </c>
      <c r="U914">
        <v>16666.666000000001</v>
      </c>
      <c r="V914" s="1">
        <f>ROUND(Table1[[#This Row],[fmpce]],0)</f>
        <v>16667</v>
      </c>
      <c r="W914">
        <v>226.74440000000001</v>
      </c>
      <c r="X914" s="4">
        <f>Table1[[#This Row],[mpce]]*89</f>
        <v>20180.2516</v>
      </c>
      <c r="Y914" s="2" t="s">
        <v>35</v>
      </c>
      <c r="Z914" s="3">
        <f>VLOOKUP(Y914, rmpce_reference!$B$1:$D$7,3,FALSE) * 89</f>
        <v>9790</v>
      </c>
      <c r="AA914" s="1" t="str">
        <f>IF(Table1[rmpce_inr]&lt;=rmpce_reference!$F$2, "Low Income", IF(Table1[rmpce_inr]&lt;=rmpce_reference!$F$3, "Middle Income", "High Income"))</f>
        <v>High Income</v>
      </c>
    </row>
    <row r="915" spans="1:27" x14ac:dyDescent="0.25">
      <c r="A915">
        <v>5050</v>
      </c>
      <c r="B915" t="s">
        <v>43</v>
      </c>
      <c r="C915" t="s">
        <v>29</v>
      </c>
      <c r="D915">
        <v>40</v>
      </c>
      <c r="E915" t="s">
        <v>25</v>
      </c>
      <c r="F915" t="s">
        <v>27</v>
      </c>
      <c r="G915">
        <v>10</v>
      </c>
      <c r="H915" s="1" t="str">
        <f>IF(Table1[[#This Row],[anxiety_score]]&lt;=10, "Normal", IF(Table1[[#This Row],[anxiety_score]]&lt;=20, "Moderate", IF(Table1[[#This Row],[anxiety_score]]&lt;=30, "Severe", "Extremely Severe")))</f>
        <v>Normal</v>
      </c>
      <c r="I915">
        <v>-8.1994660000000007E-3</v>
      </c>
      <c r="J915">
        <v>12</v>
      </c>
      <c r="K915" s="1" t="str">
        <f>IF(Table1[[#This Row],[stress_score]]&lt;=10, "Normal", IF(Table1[[#This Row],[stress_score]]&lt;=20, "Moderate", IF(Table1[[#This Row],[stress_score]]&lt;=30, "Severe", "Extremely Severe")))</f>
        <v>Moderate</v>
      </c>
      <c r="L915">
        <v>5.496318E-3</v>
      </c>
      <c r="M915">
        <v>12</v>
      </c>
      <c r="N915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915">
        <v>4.6988415999999998E-2</v>
      </c>
      <c r="P915">
        <v>11.333333</v>
      </c>
      <c r="Q915">
        <f>ROUND(Table1[[#This Row],[dass21_raw_score]],0)</f>
        <v>11</v>
      </c>
      <c r="R915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915">
        <v>1.4761755999999999E-2</v>
      </c>
      <c r="T915">
        <v>1.1096717</v>
      </c>
      <c r="U915">
        <v>0</v>
      </c>
      <c r="V915" s="1">
        <f>ROUND(Table1[[#This Row],[fmpce]],0)</f>
        <v>0</v>
      </c>
      <c r="W915">
        <v>0</v>
      </c>
      <c r="X915" s="4">
        <f>Table1[[#This Row],[mpce]]*89</f>
        <v>0</v>
      </c>
      <c r="Y915" s="2" t="s">
        <v>24</v>
      </c>
      <c r="Z915" s="3">
        <f>VLOOKUP(Y915, rmpce_reference!$B$1:$D$7,3,FALSE) * 89</f>
        <v>2225</v>
      </c>
      <c r="AA915" s="1" t="str">
        <f>IF(Table1[rmpce_inr]&lt;=rmpce_reference!$F$2, "Low Income", IF(Table1[rmpce_inr]&lt;=rmpce_reference!$F$3, "Middle Income", "High Income"))</f>
        <v>Low Income</v>
      </c>
    </row>
    <row r="916" spans="1:27" x14ac:dyDescent="0.25">
      <c r="A916">
        <v>5051</v>
      </c>
      <c r="B916" t="s">
        <v>43</v>
      </c>
      <c r="C916" t="s">
        <v>36</v>
      </c>
      <c r="D916">
        <v>51</v>
      </c>
      <c r="E916" t="s">
        <v>25</v>
      </c>
      <c r="F916" t="s">
        <v>26</v>
      </c>
      <c r="G916">
        <v>2</v>
      </c>
      <c r="H916" s="1" t="str">
        <f>IF(Table1[[#This Row],[anxiety_score]]&lt;=10, "Normal", IF(Table1[[#This Row],[anxiety_score]]&lt;=20, "Moderate", IF(Table1[[#This Row],[anxiety_score]]&lt;=30, "Severe", "Extremely Severe")))</f>
        <v>Normal</v>
      </c>
      <c r="I916">
        <v>-0.81237789999999999</v>
      </c>
      <c r="J916">
        <v>4</v>
      </c>
      <c r="K916" s="1" t="str">
        <f>IF(Table1[[#This Row],[stress_score]]&lt;=10, "Normal", IF(Table1[[#This Row],[stress_score]]&lt;=20, "Moderate", IF(Table1[[#This Row],[stress_score]]&lt;=30, "Severe", "Extremely Severe")))</f>
        <v>Normal</v>
      </c>
      <c r="L916">
        <v>-0.77314866000000004</v>
      </c>
      <c r="M916">
        <v>2</v>
      </c>
      <c r="N916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916">
        <v>-0.91619854999999994</v>
      </c>
      <c r="P916">
        <v>2.6666666999999999</v>
      </c>
      <c r="Q916">
        <f>ROUND(Table1[[#This Row],[dass21_raw_score]],0)</f>
        <v>3</v>
      </c>
      <c r="R916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916">
        <v>-0.83390839999999999</v>
      </c>
      <c r="T916">
        <v>0.26100152999999998</v>
      </c>
      <c r="U916">
        <v>11666.666999999999</v>
      </c>
      <c r="V916" s="1">
        <f>ROUND(Table1[[#This Row],[fmpce]],0)</f>
        <v>11667</v>
      </c>
      <c r="W916">
        <v>158.72110000000001</v>
      </c>
      <c r="X916" s="4">
        <f>Table1[[#This Row],[mpce]]*89</f>
        <v>14126.177900000001</v>
      </c>
      <c r="Y916" s="2" t="s">
        <v>35</v>
      </c>
      <c r="Z916" s="3">
        <f>VLOOKUP(Y916, rmpce_reference!$B$1:$D$7,3,FALSE) * 89</f>
        <v>9790</v>
      </c>
      <c r="AA916" s="1" t="str">
        <f>IF(Table1[rmpce_inr]&lt;=rmpce_reference!$F$2, "Low Income", IF(Table1[rmpce_inr]&lt;=rmpce_reference!$F$3, "Middle Income", "High Income"))</f>
        <v>High Income</v>
      </c>
    </row>
    <row r="917" spans="1:27" x14ac:dyDescent="0.25">
      <c r="A917">
        <v>5052</v>
      </c>
      <c r="B917" t="s">
        <v>43</v>
      </c>
      <c r="C917" t="s">
        <v>33</v>
      </c>
      <c r="D917">
        <v>26</v>
      </c>
      <c r="E917" t="s">
        <v>25</v>
      </c>
      <c r="F917" t="s">
        <v>26</v>
      </c>
      <c r="G917">
        <v>4</v>
      </c>
      <c r="H917" s="1" t="str">
        <f>IF(Table1[[#This Row],[anxiety_score]]&lt;=10, "Normal", IF(Table1[[#This Row],[anxiety_score]]&lt;=20, "Moderate", IF(Table1[[#This Row],[anxiety_score]]&lt;=30, "Severe", "Extremely Severe")))</f>
        <v>Normal</v>
      </c>
      <c r="I917">
        <v>-0.61133329999999997</v>
      </c>
      <c r="J917">
        <v>24</v>
      </c>
      <c r="K917" s="1" t="str">
        <f>IF(Table1[[#This Row],[stress_score]]&lt;=10, "Normal", IF(Table1[[#This Row],[stress_score]]&lt;=20, "Moderate", IF(Table1[[#This Row],[stress_score]]&lt;=30, "Severe", "Extremely Severe")))</f>
        <v>Severe</v>
      </c>
      <c r="L917">
        <v>1.1734637999999999</v>
      </c>
      <c r="M917">
        <v>12</v>
      </c>
      <c r="N917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917">
        <v>4.6988415999999998E-2</v>
      </c>
      <c r="P917">
        <v>13.333333</v>
      </c>
      <c r="Q917">
        <f>ROUND(Table1[[#This Row],[dass21_raw_score]],0)</f>
        <v>13</v>
      </c>
      <c r="R917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917">
        <v>0.20303964999999999</v>
      </c>
      <c r="T917">
        <v>1.2979495999999999</v>
      </c>
      <c r="U917">
        <v>15000</v>
      </c>
      <c r="V917" s="1">
        <f>ROUND(Table1[[#This Row],[fmpce]],0)</f>
        <v>15000</v>
      </c>
      <c r="W917">
        <v>204.06997999999999</v>
      </c>
      <c r="X917" s="4">
        <f>Table1[[#This Row],[mpce]]*89</f>
        <v>18162.228219999997</v>
      </c>
      <c r="Y917" s="2" t="s">
        <v>35</v>
      </c>
      <c r="Z917" s="3">
        <f>VLOOKUP(Y917, rmpce_reference!$B$1:$D$7,3,FALSE) * 89</f>
        <v>9790</v>
      </c>
      <c r="AA917" s="1" t="str">
        <f>IF(Table1[rmpce_inr]&lt;=rmpce_reference!$F$2, "Low Income", IF(Table1[rmpce_inr]&lt;=rmpce_reference!$F$3, "Middle Income", "High Income"))</f>
        <v>High Income</v>
      </c>
    </row>
    <row r="918" spans="1:27" x14ac:dyDescent="0.25">
      <c r="A918">
        <v>5053</v>
      </c>
      <c r="B918" t="s">
        <v>43</v>
      </c>
      <c r="C918" t="s">
        <v>33</v>
      </c>
      <c r="D918">
        <v>29</v>
      </c>
      <c r="E918" t="s">
        <v>22</v>
      </c>
      <c r="F918" t="s">
        <v>30</v>
      </c>
      <c r="G918">
        <v>0</v>
      </c>
      <c r="H918" s="1" t="str">
        <f>IF(Table1[[#This Row],[anxiety_score]]&lt;=10, "Normal", IF(Table1[[#This Row],[anxiety_score]]&lt;=20, "Moderate", IF(Table1[[#This Row],[anxiety_score]]&lt;=30, "Severe", "Extremely Severe")))</f>
        <v>Normal</v>
      </c>
      <c r="I918">
        <v>-1.0134224999999999</v>
      </c>
      <c r="J918">
        <v>0</v>
      </c>
      <c r="K918" s="1" t="str">
        <f>IF(Table1[[#This Row],[stress_score]]&lt;=10, "Normal", IF(Table1[[#This Row],[stress_score]]&lt;=20, "Moderate", IF(Table1[[#This Row],[stress_score]]&lt;=30, "Severe", "Extremely Severe")))</f>
        <v>Normal</v>
      </c>
      <c r="L918">
        <v>-1.1624711999999999</v>
      </c>
      <c r="M918">
        <v>2</v>
      </c>
      <c r="N918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918">
        <v>-0.91619854999999994</v>
      </c>
      <c r="P918">
        <v>0.66666669999999995</v>
      </c>
      <c r="Q918">
        <f>ROUND(Table1[[#This Row],[dass21_raw_score]],0)</f>
        <v>1</v>
      </c>
      <c r="R918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918">
        <v>-1.0306972999999999</v>
      </c>
      <c r="T918">
        <v>6.4212560000000002E-2</v>
      </c>
      <c r="U918">
        <v>4000</v>
      </c>
      <c r="V918" s="1">
        <f>ROUND(Table1[[#This Row],[fmpce]],0)</f>
        <v>4000</v>
      </c>
      <c r="W918">
        <v>54.418660000000003</v>
      </c>
      <c r="X918" s="4">
        <f>Table1[[#This Row],[mpce]]*89</f>
        <v>4843.2607400000006</v>
      </c>
      <c r="Y918" s="2" t="s">
        <v>32</v>
      </c>
      <c r="Z918" s="3">
        <f>VLOOKUP(Y918, rmpce_reference!$B$1:$D$7,3,FALSE) * 89</f>
        <v>4450</v>
      </c>
      <c r="AA918" s="1" t="str">
        <f>IF(Table1[rmpce_inr]&lt;=rmpce_reference!$F$2, "Low Income", IF(Table1[rmpce_inr]&lt;=rmpce_reference!$F$3, "Middle Income", "High Income"))</f>
        <v>Low Income</v>
      </c>
    </row>
    <row r="919" spans="1:27" x14ac:dyDescent="0.25">
      <c r="A919">
        <v>5054</v>
      </c>
      <c r="B919" t="s">
        <v>43</v>
      </c>
      <c r="C919" t="s">
        <v>33</v>
      </c>
      <c r="D919">
        <v>28</v>
      </c>
      <c r="E919" t="s">
        <v>22</v>
      </c>
      <c r="F919" t="s">
        <v>30</v>
      </c>
      <c r="G919">
        <v>2</v>
      </c>
      <c r="H919" s="1" t="str">
        <f>IF(Table1[[#This Row],[anxiety_score]]&lt;=10, "Normal", IF(Table1[[#This Row],[anxiety_score]]&lt;=20, "Moderate", IF(Table1[[#This Row],[anxiety_score]]&lt;=30, "Severe", "Extremely Severe")))</f>
        <v>Normal</v>
      </c>
      <c r="I919">
        <v>-0.81237789999999999</v>
      </c>
      <c r="J919">
        <v>0</v>
      </c>
      <c r="K919" s="1" t="str">
        <f>IF(Table1[[#This Row],[stress_score]]&lt;=10, "Normal", IF(Table1[[#This Row],[stress_score]]&lt;=20, "Moderate", IF(Table1[[#This Row],[stress_score]]&lt;=30, "Severe", "Extremely Severe")))</f>
        <v>Normal</v>
      </c>
      <c r="L919">
        <v>-1.1624711999999999</v>
      </c>
      <c r="M919">
        <v>2</v>
      </c>
      <c r="N919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919">
        <v>-0.91619854999999994</v>
      </c>
      <c r="P919">
        <v>1.3333333999999999</v>
      </c>
      <c r="Q919">
        <f>ROUND(Table1[[#This Row],[dass21_raw_score]],0)</f>
        <v>1</v>
      </c>
      <c r="R919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919">
        <v>-0.96368253000000004</v>
      </c>
      <c r="T919">
        <v>0.13122737000000001</v>
      </c>
      <c r="U919">
        <v>3750</v>
      </c>
      <c r="V919" s="1">
        <f>ROUND(Table1[[#This Row],[fmpce]],0)</f>
        <v>3750</v>
      </c>
      <c r="W919">
        <v>51.017493999999999</v>
      </c>
      <c r="X919" s="4">
        <f>Table1[[#This Row],[mpce]]*89</f>
        <v>4540.5569660000001</v>
      </c>
      <c r="Y919" s="2" t="s">
        <v>32</v>
      </c>
      <c r="Z919" s="3">
        <f>VLOOKUP(Y919, rmpce_reference!$B$1:$D$7,3,FALSE) * 89</f>
        <v>4450</v>
      </c>
      <c r="AA919" s="1" t="str">
        <f>IF(Table1[rmpce_inr]&lt;=rmpce_reference!$F$2, "Low Income", IF(Table1[rmpce_inr]&lt;=rmpce_reference!$F$3, "Middle Income", "High Income"))</f>
        <v>Low Income</v>
      </c>
    </row>
    <row r="920" spans="1:27" x14ac:dyDescent="0.25">
      <c r="A920">
        <v>5055</v>
      </c>
      <c r="B920" t="s">
        <v>43</v>
      </c>
      <c r="C920" t="s">
        <v>33</v>
      </c>
      <c r="D920">
        <v>30</v>
      </c>
      <c r="E920" t="s">
        <v>22</v>
      </c>
      <c r="F920" t="s">
        <v>30</v>
      </c>
      <c r="G920">
        <v>2</v>
      </c>
      <c r="H920" s="1" t="str">
        <f>IF(Table1[[#This Row],[anxiety_score]]&lt;=10, "Normal", IF(Table1[[#This Row],[anxiety_score]]&lt;=20, "Moderate", IF(Table1[[#This Row],[anxiety_score]]&lt;=30, "Severe", "Extremely Severe")))</f>
        <v>Normal</v>
      </c>
      <c r="I920">
        <v>-0.81237789999999999</v>
      </c>
      <c r="J920">
        <v>2</v>
      </c>
      <c r="K920" s="1" t="str">
        <f>IF(Table1[[#This Row],[stress_score]]&lt;=10, "Normal", IF(Table1[[#This Row],[stress_score]]&lt;=20, "Moderate", IF(Table1[[#This Row],[stress_score]]&lt;=30, "Severe", "Extremely Severe")))</f>
        <v>Normal</v>
      </c>
      <c r="L920">
        <v>-0.9678099</v>
      </c>
      <c r="M920">
        <v>6</v>
      </c>
      <c r="N920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920">
        <v>-0.53092379999999995</v>
      </c>
      <c r="P920">
        <v>3.3333333000000001</v>
      </c>
      <c r="Q920">
        <f>ROUND(Table1[[#This Row],[dass21_raw_score]],0)</f>
        <v>3</v>
      </c>
      <c r="R920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920">
        <v>-0.77037054000000005</v>
      </c>
      <c r="T920">
        <v>0.32453936</v>
      </c>
      <c r="U920">
        <v>3750</v>
      </c>
      <c r="V920" s="1">
        <f>ROUND(Table1[[#This Row],[fmpce]],0)</f>
        <v>3750</v>
      </c>
      <c r="W920">
        <v>51.017493999999999</v>
      </c>
      <c r="X920" s="4">
        <f>Table1[[#This Row],[mpce]]*89</f>
        <v>4540.5569660000001</v>
      </c>
      <c r="Y920" s="2" t="s">
        <v>32</v>
      </c>
      <c r="Z920" s="3">
        <f>VLOOKUP(Y920, rmpce_reference!$B$1:$D$7,3,FALSE) * 89</f>
        <v>4450</v>
      </c>
      <c r="AA920" s="1" t="str">
        <f>IF(Table1[rmpce_inr]&lt;=rmpce_reference!$F$2, "Low Income", IF(Table1[rmpce_inr]&lt;=rmpce_reference!$F$3, "Middle Income", "High Income"))</f>
        <v>Low Income</v>
      </c>
    </row>
    <row r="921" spans="1:27" x14ac:dyDescent="0.25">
      <c r="A921">
        <v>5056</v>
      </c>
      <c r="B921" t="s">
        <v>43</v>
      </c>
      <c r="C921" t="s">
        <v>21</v>
      </c>
      <c r="D921">
        <v>46</v>
      </c>
      <c r="E921" t="s">
        <v>22</v>
      </c>
      <c r="F921" t="s">
        <v>23</v>
      </c>
      <c r="G921">
        <v>8</v>
      </c>
      <c r="H921" s="1" t="str">
        <f>IF(Table1[[#This Row],[anxiety_score]]&lt;=10, "Normal", IF(Table1[[#This Row],[anxiety_score]]&lt;=20, "Moderate", IF(Table1[[#This Row],[anxiety_score]]&lt;=30, "Severe", "Extremely Severe")))</f>
        <v>Normal</v>
      </c>
      <c r="I921">
        <v>-0.20924408999999999</v>
      </c>
      <c r="J921">
        <v>8</v>
      </c>
      <c r="K921" s="1" t="str">
        <f>IF(Table1[[#This Row],[stress_score]]&lt;=10, "Normal", IF(Table1[[#This Row],[stress_score]]&lt;=20, "Moderate", IF(Table1[[#This Row],[stress_score]]&lt;=30, "Severe", "Extremely Severe")))</f>
        <v>Normal</v>
      </c>
      <c r="L921">
        <v>-0.38382620000000001</v>
      </c>
      <c r="M921">
        <v>14</v>
      </c>
      <c r="N921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921">
        <v>0.23962580999999999</v>
      </c>
      <c r="P921">
        <v>10</v>
      </c>
      <c r="Q921">
        <f>ROUND(Table1[[#This Row],[dass21_raw_score]],0)</f>
        <v>10</v>
      </c>
      <c r="R921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921">
        <v>-0.117814824</v>
      </c>
      <c r="T921">
        <v>0.97709506999999995</v>
      </c>
      <c r="U921">
        <v>16666.666000000001</v>
      </c>
      <c r="V921" s="1">
        <f>ROUND(Table1[[#This Row],[fmpce]],0)</f>
        <v>16667</v>
      </c>
      <c r="W921">
        <v>226.74440000000001</v>
      </c>
      <c r="X921" s="4">
        <f>Table1[[#This Row],[mpce]]*89</f>
        <v>20180.2516</v>
      </c>
      <c r="Y921" s="2" t="s">
        <v>35</v>
      </c>
      <c r="Z921" s="3">
        <f>VLOOKUP(Y921, rmpce_reference!$B$1:$D$7,3,FALSE) * 89</f>
        <v>9790</v>
      </c>
      <c r="AA921" s="1" t="str">
        <f>IF(Table1[rmpce_inr]&lt;=rmpce_reference!$F$2, "Low Income", IF(Table1[rmpce_inr]&lt;=rmpce_reference!$F$3, "Middle Income", "High Income"))</f>
        <v>High Income</v>
      </c>
    </row>
    <row r="922" spans="1:27" x14ac:dyDescent="0.25">
      <c r="A922">
        <v>5057</v>
      </c>
      <c r="B922" t="s">
        <v>43</v>
      </c>
      <c r="C922" t="s">
        <v>36</v>
      </c>
      <c r="D922">
        <v>53</v>
      </c>
      <c r="E922" t="s">
        <v>22</v>
      </c>
      <c r="F922" t="s">
        <v>30</v>
      </c>
      <c r="G922">
        <v>0</v>
      </c>
      <c r="H922" s="1" t="str">
        <f>IF(Table1[[#This Row],[anxiety_score]]&lt;=10, "Normal", IF(Table1[[#This Row],[anxiety_score]]&lt;=20, "Moderate", IF(Table1[[#This Row],[anxiety_score]]&lt;=30, "Severe", "Extremely Severe")))</f>
        <v>Normal</v>
      </c>
      <c r="I922">
        <v>-1.0134224999999999</v>
      </c>
      <c r="J922">
        <v>16</v>
      </c>
      <c r="K922" s="1" t="str">
        <f>IF(Table1[[#This Row],[stress_score]]&lt;=10, "Normal", IF(Table1[[#This Row],[stress_score]]&lt;=20, "Moderate", IF(Table1[[#This Row],[stress_score]]&lt;=30, "Severe", "Extremely Severe")))</f>
        <v>Moderate</v>
      </c>
      <c r="L922">
        <v>0.39481880000000003</v>
      </c>
      <c r="M922">
        <v>2</v>
      </c>
      <c r="N922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922">
        <v>-0.91619854999999994</v>
      </c>
      <c r="P922">
        <v>6</v>
      </c>
      <c r="Q922">
        <f>ROUND(Table1[[#This Row],[dass21_raw_score]],0)</f>
        <v>6</v>
      </c>
      <c r="R922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922">
        <v>-0.51160072999999995</v>
      </c>
      <c r="T922">
        <v>0.58330919999999997</v>
      </c>
      <c r="U922">
        <v>66666.664000000004</v>
      </c>
      <c r="V922" s="1">
        <f>ROUND(Table1[[#This Row],[fmpce]],0)</f>
        <v>66667</v>
      </c>
      <c r="W922">
        <v>906.97760000000005</v>
      </c>
      <c r="X922" s="4">
        <f>Table1[[#This Row],[mpce]]*89</f>
        <v>80721.006399999998</v>
      </c>
      <c r="Y922" s="2" t="s">
        <v>35</v>
      </c>
      <c r="Z922" s="3">
        <f>VLOOKUP(Y922, rmpce_reference!$B$1:$D$7,3,FALSE) * 89</f>
        <v>9790</v>
      </c>
      <c r="AA922" s="1" t="str">
        <f>IF(Table1[rmpce_inr]&lt;=rmpce_reference!$F$2, "Low Income", IF(Table1[rmpce_inr]&lt;=rmpce_reference!$F$3, "Middle Income", "High Income"))</f>
        <v>High Income</v>
      </c>
    </row>
    <row r="923" spans="1:27" x14ac:dyDescent="0.25">
      <c r="A923">
        <v>5058</v>
      </c>
      <c r="B923" t="s">
        <v>43</v>
      </c>
      <c r="C923" t="s">
        <v>33</v>
      </c>
      <c r="D923">
        <v>28</v>
      </c>
      <c r="E923" t="s">
        <v>22</v>
      </c>
      <c r="F923" t="s">
        <v>30</v>
      </c>
      <c r="G923">
        <v>0</v>
      </c>
      <c r="H923" s="1" t="str">
        <f>IF(Table1[[#This Row],[anxiety_score]]&lt;=10, "Normal", IF(Table1[[#This Row],[anxiety_score]]&lt;=20, "Moderate", IF(Table1[[#This Row],[anxiety_score]]&lt;=30, "Severe", "Extremely Severe")))</f>
        <v>Normal</v>
      </c>
      <c r="I923">
        <v>-1.0134224999999999</v>
      </c>
      <c r="J923">
        <v>10</v>
      </c>
      <c r="K923" s="1" t="str">
        <f>IF(Table1[[#This Row],[stress_score]]&lt;=10, "Normal", IF(Table1[[#This Row],[stress_score]]&lt;=20, "Moderate", IF(Table1[[#This Row],[stress_score]]&lt;=30, "Severe", "Extremely Severe")))</f>
        <v>Normal</v>
      </c>
      <c r="L923">
        <v>-0.18916494</v>
      </c>
      <c r="M923">
        <v>6</v>
      </c>
      <c r="N923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923">
        <v>-0.53092379999999995</v>
      </c>
      <c r="P923">
        <v>5.3333335000000002</v>
      </c>
      <c r="Q923">
        <f>ROUND(Table1[[#This Row],[dass21_raw_score]],0)</f>
        <v>5</v>
      </c>
      <c r="R923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923">
        <v>-0.57783704999999996</v>
      </c>
      <c r="T923">
        <v>0.51707285999999997</v>
      </c>
      <c r="U923">
        <v>11666.666999999999</v>
      </c>
      <c r="V923" s="1">
        <f>ROUND(Table1[[#This Row],[fmpce]],0)</f>
        <v>11667</v>
      </c>
      <c r="W923">
        <v>158.72110000000001</v>
      </c>
      <c r="X923" s="4">
        <f>Table1[[#This Row],[mpce]]*89</f>
        <v>14126.177900000001</v>
      </c>
      <c r="Y923" s="2" t="s">
        <v>35</v>
      </c>
      <c r="Z923" s="3">
        <f>VLOOKUP(Y923, rmpce_reference!$B$1:$D$7,3,FALSE) * 89</f>
        <v>9790</v>
      </c>
      <c r="AA923" s="1" t="str">
        <f>IF(Table1[rmpce_inr]&lt;=rmpce_reference!$F$2, "Low Income", IF(Table1[rmpce_inr]&lt;=rmpce_reference!$F$3, "Middle Income", "High Income"))</f>
        <v>High Income</v>
      </c>
    </row>
    <row r="924" spans="1:27" x14ac:dyDescent="0.25">
      <c r="A924">
        <v>5059</v>
      </c>
      <c r="B924" t="s">
        <v>43</v>
      </c>
      <c r="C924" t="s">
        <v>21</v>
      </c>
      <c r="D924">
        <v>48</v>
      </c>
      <c r="E924" t="s">
        <v>22</v>
      </c>
      <c r="F924" t="s">
        <v>30</v>
      </c>
      <c r="G924">
        <v>4</v>
      </c>
      <c r="H924" s="1" t="str">
        <f>IF(Table1[[#This Row],[anxiety_score]]&lt;=10, "Normal", IF(Table1[[#This Row],[anxiety_score]]&lt;=20, "Moderate", IF(Table1[[#This Row],[anxiety_score]]&lt;=30, "Severe", "Extremely Severe")))</f>
        <v>Normal</v>
      </c>
      <c r="I924">
        <v>-0.61133329999999997</v>
      </c>
      <c r="J924">
        <v>0</v>
      </c>
      <c r="K924" s="1" t="str">
        <f>IF(Table1[[#This Row],[stress_score]]&lt;=10, "Normal", IF(Table1[[#This Row],[stress_score]]&lt;=20, "Moderate", IF(Table1[[#This Row],[stress_score]]&lt;=30, "Severe", "Extremely Severe")))</f>
        <v>Normal</v>
      </c>
      <c r="L924">
        <v>-1.1624711999999999</v>
      </c>
      <c r="M924">
        <v>8</v>
      </c>
      <c r="N924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924">
        <v>-0.33828637</v>
      </c>
      <c r="P924">
        <v>4</v>
      </c>
      <c r="Q924">
        <f>ROUND(Table1[[#This Row],[dass21_raw_score]],0)</f>
        <v>4</v>
      </c>
      <c r="R924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924">
        <v>-0.7040303</v>
      </c>
      <c r="T924">
        <v>0.39087962999999998</v>
      </c>
      <c r="U924">
        <v>50000</v>
      </c>
      <c r="V924" s="1">
        <f>ROUND(Table1[[#This Row],[fmpce]],0)</f>
        <v>50000</v>
      </c>
      <c r="W924">
        <v>680.23320000000001</v>
      </c>
      <c r="X924" s="4">
        <f>Table1[[#This Row],[mpce]]*89</f>
        <v>60540.754800000002</v>
      </c>
      <c r="Y924" s="2" t="s">
        <v>35</v>
      </c>
      <c r="Z924" s="3">
        <f>VLOOKUP(Y924, rmpce_reference!$B$1:$D$7,3,FALSE) * 89</f>
        <v>9790</v>
      </c>
      <c r="AA924" s="1" t="str">
        <f>IF(Table1[rmpce_inr]&lt;=rmpce_reference!$F$2, "Low Income", IF(Table1[rmpce_inr]&lt;=rmpce_reference!$F$3, "Middle Income", "High Income"))</f>
        <v>High Income</v>
      </c>
    </row>
    <row r="925" spans="1:27" x14ac:dyDescent="0.25">
      <c r="A925">
        <v>5060</v>
      </c>
      <c r="B925" t="s">
        <v>43</v>
      </c>
      <c r="C925" t="s">
        <v>29</v>
      </c>
      <c r="D925">
        <v>31</v>
      </c>
      <c r="E925" t="s">
        <v>25</v>
      </c>
      <c r="F925" t="s">
        <v>27</v>
      </c>
      <c r="G925">
        <v>2</v>
      </c>
      <c r="H925" s="1" t="str">
        <f>IF(Table1[[#This Row],[anxiety_score]]&lt;=10, "Normal", IF(Table1[[#This Row],[anxiety_score]]&lt;=20, "Moderate", IF(Table1[[#This Row],[anxiety_score]]&lt;=30, "Severe", "Extremely Severe")))</f>
        <v>Normal</v>
      </c>
      <c r="I925">
        <v>-0.81237789999999999</v>
      </c>
      <c r="J925">
        <v>2</v>
      </c>
      <c r="K925" s="1" t="str">
        <f>IF(Table1[[#This Row],[stress_score]]&lt;=10, "Normal", IF(Table1[[#This Row],[stress_score]]&lt;=20, "Moderate", IF(Table1[[#This Row],[stress_score]]&lt;=30, "Severe", "Extremely Severe")))</f>
        <v>Normal</v>
      </c>
      <c r="L925">
        <v>-0.9678099</v>
      </c>
      <c r="M925">
        <v>0</v>
      </c>
      <c r="N925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925">
        <v>-1.1088359000000001</v>
      </c>
      <c r="P925">
        <v>1.3333333999999999</v>
      </c>
      <c r="Q925">
        <f>ROUND(Table1[[#This Row],[dass21_raw_score]],0)</f>
        <v>1</v>
      </c>
      <c r="R925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925">
        <v>-0.96300790000000003</v>
      </c>
      <c r="T925">
        <v>0.13190198</v>
      </c>
      <c r="U925">
        <v>10000</v>
      </c>
      <c r="V925" s="1">
        <f>ROUND(Table1[[#This Row],[fmpce]],0)</f>
        <v>10000</v>
      </c>
      <c r="W925">
        <v>136.04665</v>
      </c>
      <c r="X925" s="4">
        <f>Table1[[#This Row],[mpce]]*89</f>
        <v>12108.15185</v>
      </c>
      <c r="Y925" s="2" t="s">
        <v>35</v>
      </c>
      <c r="Z925" s="3">
        <f>VLOOKUP(Y925, rmpce_reference!$B$1:$D$7,3,FALSE) * 89</f>
        <v>9790</v>
      </c>
      <c r="AA925" s="1" t="str">
        <f>IF(Table1[rmpce_inr]&lt;=rmpce_reference!$F$2, "Low Income", IF(Table1[rmpce_inr]&lt;=rmpce_reference!$F$3, "Middle Income", "High Income"))</f>
        <v>High Income</v>
      </c>
    </row>
    <row r="926" spans="1:27" x14ac:dyDescent="0.25">
      <c r="A926">
        <v>5061</v>
      </c>
      <c r="B926" t="s">
        <v>43</v>
      </c>
      <c r="C926" t="s">
        <v>36</v>
      </c>
      <c r="D926">
        <v>56</v>
      </c>
      <c r="E926" t="s">
        <v>22</v>
      </c>
      <c r="F926" t="s">
        <v>30</v>
      </c>
      <c r="G926">
        <v>0</v>
      </c>
      <c r="H926" s="1" t="str">
        <f>IF(Table1[[#This Row],[anxiety_score]]&lt;=10, "Normal", IF(Table1[[#This Row],[anxiety_score]]&lt;=20, "Moderate", IF(Table1[[#This Row],[anxiety_score]]&lt;=30, "Severe", "Extremely Severe")))</f>
        <v>Normal</v>
      </c>
      <c r="I926">
        <v>-1.0134224999999999</v>
      </c>
      <c r="J926">
        <v>6</v>
      </c>
      <c r="K926" s="1" t="str">
        <f>IF(Table1[[#This Row],[stress_score]]&lt;=10, "Normal", IF(Table1[[#This Row],[stress_score]]&lt;=20, "Moderate", IF(Table1[[#This Row],[stress_score]]&lt;=30, "Severe", "Extremely Severe")))</f>
        <v>Normal</v>
      </c>
      <c r="L926">
        <v>-0.57848745999999995</v>
      </c>
      <c r="M926">
        <v>8</v>
      </c>
      <c r="N926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926">
        <v>-0.33828637</v>
      </c>
      <c r="P926">
        <v>4.6666664999999998</v>
      </c>
      <c r="Q926">
        <f>ROUND(Table1[[#This Row],[dass21_raw_score]],0)</f>
        <v>5</v>
      </c>
      <c r="R926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926">
        <v>-0.64339875999999996</v>
      </c>
      <c r="T926">
        <v>0.45151113999999998</v>
      </c>
      <c r="U926">
        <v>10000</v>
      </c>
      <c r="V926" s="1">
        <f>ROUND(Table1[[#This Row],[fmpce]],0)</f>
        <v>10000</v>
      </c>
      <c r="W926">
        <v>136.04665</v>
      </c>
      <c r="X926" s="4">
        <f>Table1[[#This Row],[mpce]]*89</f>
        <v>12108.15185</v>
      </c>
      <c r="Y926" s="2" t="s">
        <v>35</v>
      </c>
      <c r="Z926" s="3">
        <f>VLOOKUP(Y926, rmpce_reference!$B$1:$D$7,3,FALSE) * 89</f>
        <v>9790</v>
      </c>
      <c r="AA926" s="1" t="str">
        <f>IF(Table1[rmpce_inr]&lt;=rmpce_reference!$F$2, "Low Income", IF(Table1[rmpce_inr]&lt;=rmpce_reference!$F$3, "Middle Income", "High Income"))</f>
        <v>High Income</v>
      </c>
    </row>
    <row r="927" spans="1:27" x14ac:dyDescent="0.25">
      <c r="A927">
        <v>5062</v>
      </c>
      <c r="B927" t="s">
        <v>43</v>
      </c>
      <c r="C927" t="s">
        <v>36</v>
      </c>
      <c r="D927">
        <v>56</v>
      </c>
      <c r="E927" t="s">
        <v>22</v>
      </c>
      <c r="F927" t="s">
        <v>30</v>
      </c>
      <c r="G927">
        <v>0</v>
      </c>
      <c r="H927" s="1" t="str">
        <f>IF(Table1[[#This Row],[anxiety_score]]&lt;=10, "Normal", IF(Table1[[#This Row],[anxiety_score]]&lt;=20, "Moderate", IF(Table1[[#This Row],[anxiety_score]]&lt;=30, "Severe", "Extremely Severe")))</f>
        <v>Normal</v>
      </c>
      <c r="I927">
        <v>-1.0134224999999999</v>
      </c>
      <c r="J927">
        <v>4</v>
      </c>
      <c r="K927" s="1" t="str">
        <f>IF(Table1[[#This Row],[stress_score]]&lt;=10, "Normal", IF(Table1[[#This Row],[stress_score]]&lt;=20, "Moderate", IF(Table1[[#This Row],[stress_score]]&lt;=30, "Severe", "Extremely Severe")))</f>
        <v>Normal</v>
      </c>
      <c r="L927">
        <v>-0.77314866000000004</v>
      </c>
      <c r="M927">
        <v>0</v>
      </c>
      <c r="N927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927">
        <v>-1.1088359000000001</v>
      </c>
      <c r="P927">
        <v>1.3333333999999999</v>
      </c>
      <c r="Q927">
        <f>ROUND(Table1[[#This Row],[dass21_raw_score]],0)</f>
        <v>1</v>
      </c>
      <c r="R927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927">
        <v>-0.96513570000000004</v>
      </c>
      <c r="T927">
        <v>0.12977421</v>
      </c>
      <c r="U927">
        <v>12000</v>
      </c>
      <c r="V927" s="1">
        <f>ROUND(Table1[[#This Row],[fmpce]],0)</f>
        <v>12000</v>
      </c>
      <c r="W927">
        <v>163.25597999999999</v>
      </c>
      <c r="X927" s="4">
        <f>Table1[[#This Row],[mpce]]*89</f>
        <v>14529.782219999999</v>
      </c>
      <c r="Y927" s="2" t="s">
        <v>35</v>
      </c>
      <c r="Z927" s="3">
        <f>VLOOKUP(Y927, rmpce_reference!$B$1:$D$7,3,FALSE) * 89</f>
        <v>9790</v>
      </c>
      <c r="AA927" s="1" t="str">
        <f>IF(Table1[rmpce_inr]&lt;=rmpce_reference!$F$2, "Low Income", IF(Table1[rmpce_inr]&lt;=rmpce_reference!$F$3, "Middle Income", "High Income"))</f>
        <v>High Income</v>
      </c>
    </row>
    <row r="928" spans="1:27" x14ac:dyDescent="0.25">
      <c r="A928">
        <v>5063</v>
      </c>
      <c r="B928" t="s">
        <v>43</v>
      </c>
      <c r="C928" t="s">
        <v>36</v>
      </c>
      <c r="D928">
        <v>56</v>
      </c>
      <c r="E928" t="s">
        <v>22</v>
      </c>
      <c r="F928" t="s">
        <v>30</v>
      </c>
      <c r="G928">
        <v>0</v>
      </c>
      <c r="H928" s="1" t="str">
        <f>IF(Table1[[#This Row],[anxiety_score]]&lt;=10, "Normal", IF(Table1[[#This Row],[anxiety_score]]&lt;=20, "Moderate", IF(Table1[[#This Row],[anxiety_score]]&lt;=30, "Severe", "Extremely Severe")))</f>
        <v>Normal</v>
      </c>
      <c r="I928">
        <v>-1.0134224999999999</v>
      </c>
      <c r="J928">
        <v>2</v>
      </c>
      <c r="K928" s="1" t="str">
        <f>IF(Table1[[#This Row],[stress_score]]&lt;=10, "Normal", IF(Table1[[#This Row],[stress_score]]&lt;=20, "Moderate", IF(Table1[[#This Row],[stress_score]]&lt;=30, "Severe", "Extremely Severe")))</f>
        <v>Normal</v>
      </c>
      <c r="L928">
        <v>-0.9678099</v>
      </c>
      <c r="M928">
        <v>4</v>
      </c>
      <c r="N928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928">
        <v>-0.72356116999999998</v>
      </c>
      <c r="P928">
        <v>2</v>
      </c>
      <c r="Q928">
        <f>ROUND(Table1[[#This Row],[dass21_raw_score]],0)</f>
        <v>2</v>
      </c>
      <c r="R928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928">
        <v>-0.90159785999999997</v>
      </c>
      <c r="T928">
        <v>0.19331205000000001</v>
      </c>
      <c r="U928">
        <v>14000</v>
      </c>
      <c r="V928" s="1">
        <f>ROUND(Table1[[#This Row],[fmpce]],0)</f>
        <v>14000</v>
      </c>
      <c r="W928">
        <v>190.46530000000001</v>
      </c>
      <c r="X928" s="4">
        <f>Table1[[#This Row],[mpce]]*89</f>
        <v>16951.411700000001</v>
      </c>
      <c r="Y928" s="2" t="s">
        <v>35</v>
      </c>
      <c r="Z928" s="3">
        <f>VLOOKUP(Y928, rmpce_reference!$B$1:$D$7,3,FALSE) * 89</f>
        <v>9790</v>
      </c>
      <c r="AA928" s="1" t="str">
        <f>IF(Table1[rmpce_inr]&lt;=rmpce_reference!$F$2, "Low Income", IF(Table1[rmpce_inr]&lt;=rmpce_reference!$F$3, "Middle Income", "High Income"))</f>
        <v>High Income</v>
      </c>
    </row>
    <row r="929" spans="1:27" x14ac:dyDescent="0.25">
      <c r="A929">
        <v>5064</v>
      </c>
      <c r="B929" t="s">
        <v>43</v>
      </c>
      <c r="C929" t="s">
        <v>29</v>
      </c>
      <c r="D929">
        <v>34</v>
      </c>
      <c r="E929" t="s">
        <v>22</v>
      </c>
      <c r="F929" t="s">
        <v>23</v>
      </c>
      <c r="G929">
        <v>2</v>
      </c>
      <c r="H929" s="1" t="str">
        <f>IF(Table1[[#This Row],[anxiety_score]]&lt;=10, "Normal", IF(Table1[[#This Row],[anxiety_score]]&lt;=20, "Moderate", IF(Table1[[#This Row],[anxiety_score]]&lt;=30, "Severe", "Extremely Severe")))</f>
        <v>Normal</v>
      </c>
      <c r="I929">
        <v>-0.81237789999999999</v>
      </c>
      <c r="J929">
        <v>6</v>
      </c>
      <c r="K929" s="1" t="str">
        <f>IF(Table1[[#This Row],[stress_score]]&lt;=10, "Normal", IF(Table1[[#This Row],[stress_score]]&lt;=20, "Moderate", IF(Table1[[#This Row],[stress_score]]&lt;=30, "Severe", "Extremely Severe")))</f>
        <v>Normal</v>
      </c>
      <c r="L929">
        <v>-0.57848745999999995</v>
      </c>
      <c r="M929">
        <v>2</v>
      </c>
      <c r="N929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929">
        <v>-0.91619854999999994</v>
      </c>
      <c r="P929">
        <v>3.3333333000000001</v>
      </c>
      <c r="Q929">
        <f>ROUND(Table1[[#This Row],[dass21_raw_score]],0)</f>
        <v>3</v>
      </c>
      <c r="R929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929">
        <v>-0.76902132999999995</v>
      </c>
      <c r="T929">
        <v>0.32588856999999999</v>
      </c>
      <c r="U929">
        <v>100000</v>
      </c>
      <c r="V929" s="1">
        <f>ROUND(Table1[[#This Row],[fmpce]],0)</f>
        <v>100000</v>
      </c>
      <c r="W929">
        <v>1360.4664</v>
      </c>
      <c r="X929" s="4">
        <f>Table1[[#This Row],[mpce]]*89</f>
        <v>121081.5096</v>
      </c>
      <c r="Y929" s="2" t="s">
        <v>35</v>
      </c>
      <c r="Z929" s="3">
        <f>VLOOKUP(Y929, rmpce_reference!$B$1:$D$7,3,FALSE) * 89</f>
        <v>9790</v>
      </c>
      <c r="AA929" s="1" t="str">
        <f>IF(Table1[rmpce_inr]&lt;=rmpce_reference!$F$2, "Low Income", IF(Table1[rmpce_inr]&lt;=rmpce_reference!$F$3, "Middle Income", "High Income"))</f>
        <v>High Income</v>
      </c>
    </row>
    <row r="930" spans="1:27" x14ac:dyDescent="0.25">
      <c r="A930">
        <v>5065</v>
      </c>
      <c r="B930" t="s">
        <v>43</v>
      </c>
      <c r="C930" t="s">
        <v>29</v>
      </c>
      <c r="D930">
        <v>34</v>
      </c>
      <c r="E930" t="s">
        <v>22</v>
      </c>
      <c r="F930" t="s">
        <v>30</v>
      </c>
      <c r="G930">
        <v>0</v>
      </c>
      <c r="H930" s="1" t="str">
        <f>IF(Table1[[#This Row],[anxiety_score]]&lt;=10, "Normal", IF(Table1[[#This Row],[anxiety_score]]&lt;=20, "Moderate", IF(Table1[[#This Row],[anxiety_score]]&lt;=30, "Severe", "Extremely Severe")))</f>
        <v>Normal</v>
      </c>
      <c r="I930">
        <v>-1.0134224999999999</v>
      </c>
      <c r="J930">
        <v>0</v>
      </c>
      <c r="K930" s="1" t="str">
        <f>IF(Table1[[#This Row],[stress_score]]&lt;=10, "Normal", IF(Table1[[#This Row],[stress_score]]&lt;=20, "Moderate", IF(Table1[[#This Row],[stress_score]]&lt;=30, "Severe", "Extremely Severe")))</f>
        <v>Normal</v>
      </c>
      <c r="L930">
        <v>-1.1624711999999999</v>
      </c>
      <c r="M930">
        <v>0</v>
      </c>
      <c r="N930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930">
        <v>-1.1088359000000001</v>
      </c>
      <c r="P930">
        <v>0</v>
      </c>
      <c r="Q930">
        <f>ROUND(Table1[[#This Row],[dass21_raw_score]],0)</f>
        <v>0</v>
      </c>
      <c r="R930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930">
        <v>-1.0949099</v>
      </c>
      <c r="T930">
        <v>0</v>
      </c>
      <c r="U930">
        <v>7000</v>
      </c>
      <c r="V930" s="1">
        <f>ROUND(Table1[[#This Row],[fmpce]],0)</f>
        <v>7000</v>
      </c>
      <c r="W930">
        <v>95.232650000000007</v>
      </c>
      <c r="X930" s="4">
        <f>Table1[[#This Row],[mpce]]*89</f>
        <v>8475.7058500000003</v>
      </c>
      <c r="Y930" s="2" t="s">
        <v>31</v>
      </c>
      <c r="Z930" s="3">
        <f>VLOOKUP(Y930, rmpce_reference!$B$1:$D$7,3,FALSE) * 89</f>
        <v>8010</v>
      </c>
      <c r="AA930" s="1" t="str">
        <f>IF(Table1[rmpce_inr]&lt;=rmpce_reference!$F$2, "Low Income", IF(Table1[rmpce_inr]&lt;=rmpce_reference!$F$3, "Middle Income", "High Income"))</f>
        <v>High Income</v>
      </c>
    </row>
    <row r="931" spans="1:27" x14ac:dyDescent="0.25">
      <c r="A931">
        <v>5066</v>
      </c>
      <c r="B931" t="s">
        <v>43</v>
      </c>
      <c r="C931" t="s">
        <v>36</v>
      </c>
      <c r="D931">
        <v>52</v>
      </c>
      <c r="E931" t="s">
        <v>25</v>
      </c>
      <c r="F931" t="s">
        <v>23</v>
      </c>
      <c r="G931">
        <v>0</v>
      </c>
      <c r="H931" s="1" t="str">
        <f>IF(Table1[[#This Row],[anxiety_score]]&lt;=10, "Normal", IF(Table1[[#This Row],[anxiety_score]]&lt;=20, "Moderate", IF(Table1[[#This Row],[anxiety_score]]&lt;=30, "Severe", "Extremely Severe")))</f>
        <v>Normal</v>
      </c>
      <c r="I931">
        <v>-1.0134224999999999</v>
      </c>
      <c r="J931">
        <v>6</v>
      </c>
      <c r="K931" s="1" t="str">
        <f>IF(Table1[[#This Row],[stress_score]]&lt;=10, "Normal", IF(Table1[[#This Row],[stress_score]]&lt;=20, "Moderate", IF(Table1[[#This Row],[stress_score]]&lt;=30, "Severe", "Extremely Severe")))</f>
        <v>Normal</v>
      </c>
      <c r="L931">
        <v>-0.57848745999999995</v>
      </c>
      <c r="M931">
        <v>4</v>
      </c>
      <c r="N931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931">
        <v>-0.72356116999999998</v>
      </c>
      <c r="P931">
        <v>3.3333333000000001</v>
      </c>
      <c r="Q931">
        <f>ROUND(Table1[[#This Row],[dass21_raw_score]],0)</f>
        <v>3</v>
      </c>
      <c r="R931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931">
        <v>-0.7718237</v>
      </c>
      <c r="T931">
        <v>0.32308619999999999</v>
      </c>
      <c r="U931">
        <v>26666.666000000001</v>
      </c>
      <c r="V931" s="1">
        <f>ROUND(Table1[[#This Row],[fmpce]],0)</f>
        <v>26667</v>
      </c>
      <c r="W931">
        <v>362.79104999999998</v>
      </c>
      <c r="X931" s="4">
        <f>Table1[[#This Row],[mpce]]*89</f>
        <v>32288.403449999998</v>
      </c>
      <c r="Y931" s="2" t="s">
        <v>35</v>
      </c>
      <c r="Z931" s="3">
        <f>VLOOKUP(Y931, rmpce_reference!$B$1:$D$7,3,FALSE) * 89</f>
        <v>9790</v>
      </c>
      <c r="AA931" s="1" t="str">
        <f>IF(Table1[rmpce_inr]&lt;=rmpce_reference!$F$2, "Low Income", IF(Table1[rmpce_inr]&lt;=rmpce_reference!$F$3, "Middle Income", "High Income"))</f>
        <v>High Income</v>
      </c>
    </row>
    <row r="932" spans="1:27" x14ac:dyDescent="0.25">
      <c r="A932">
        <v>5067</v>
      </c>
      <c r="B932" t="s">
        <v>43</v>
      </c>
      <c r="C932" t="s">
        <v>29</v>
      </c>
      <c r="D932">
        <v>37</v>
      </c>
      <c r="E932" t="s">
        <v>25</v>
      </c>
      <c r="F932" t="s">
        <v>30</v>
      </c>
      <c r="G932">
        <v>6</v>
      </c>
      <c r="H932" s="1" t="str">
        <f>IF(Table1[[#This Row],[anxiety_score]]&lt;=10, "Normal", IF(Table1[[#This Row],[anxiety_score]]&lt;=20, "Moderate", IF(Table1[[#This Row],[anxiety_score]]&lt;=30, "Severe", "Extremely Severe")))</f>
        <v>Normal</v>
      </c>
      <c r="I932">
        <v>-0.41028870000000001</v>
      </c>
      <c r="J932">
        <v>4</v>
      </c>
      <c r="K932" s="1" t="str">
        <f>IF(Table1[[#This Row],[stress_score]]&lt;=10, "Normal", IF(Table1[[#This Row],[stress_score]]&lt;=20, "Moderate", IF(Table1[[#This Row],[stress_score]]&lt;=30, "Severe", "Extremely Severe")))</f>
        <v>Normal</v>
      </c>
      <c r="L932">
        <v>-0.77314866000000004</v>
      </c>
      <c r="M932">
        <v>6</v>
      </c>
      <c r="N932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932">
        <v>-0.53092379999999995</v>
      </c>
      <c r="P932">
        <v>5.3333335000000002</v>
      </c>
      <c r="Q932">
        <f>ROUND(Table1[[#This Row],[dass21_raw_score]],0)</f>
        <v>5</v>
      </c>
      <c r="R932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932">
        <v>-0.57145369999999995</v>
      </c>
      <c r="T932">
        <v>0.52345620000000004</v>
      </c>
      <c r="U932">
        <v>0</v>
      </c>
      <c r="V932" s="1">
        <f>ROUND(Table1[[#This Row],[fmpce]],0)</f>
        <v>0</v>
      </c>
      <c r="W932">
        <v>0</v>
      </c>
      <c r="X932" s="4">
        <f>Table1[[#This Row],[mpce]]*89</f>
        <v>0</v>
      </c>
      <c r="Y932" s="2" t="s">
        <v>24</v>
      </c>
      <c r="Z932" s="3">
        <f>VLOOKUP(Y932, rmpce_reference!$B$1:$D$7,3,FALSE) * 89</f>
        <v>2225</v>
      </c>
      <c r="AA932" s="1" t="str">
        <f>IF(Table1[rmpce_inr]&lt;=rmpce_reference!$F$2, "Low Income", IF(Table1[rmpce_inr]&lt;=rmpce_reference!$F$3, "Middle Income", "High Income"))</f>
        <v>Low Income</v>
      </c>
    </row>
    <row r="933" spans="1:27" x14ac:dyDescent="0.25">
      <c r="A933">
        <v>5068</v>
      </c>
      <c r="B933" t="s">
        <v>43</v>
      </c>
      <c r="C933" t="s">
        <v>21</v>
      </c>
      <c r="D933">
        <v>47</v>
      </c>
      <c r="E933" t="s">
        <v>25</v>
      </c>
      <c r="F933" t="s">
        <v>30</v>
      </c>
      <c r="G933">
        <v>2</v>
      </c>
      <c r="H933" s="1" t="str">
        <f>IF(Table1[[#This Row],[anxiety_score]]&lt;=10, "Normal", IF(Table1[[#This Row],[anxiety_score]]&lt;=20, "Moderate", IF(Table1[[#This Row],[anxiety_score]]&lt;=30, "Severe", "Extremely Severe")))</f>
        <v>Normal</v>
      </c>
      <c r="I933">
        <v>-0.81237789999999999</v>
      </c>
      <c r="J933">
        <v>4</v>
      </c>
      <c r="K933" s="1" t="str">
        <f>IF(Table1[[#This Row],[stress_score]]&lt;=10, "Normal", IF(Table1[[#This Row],[stress_score]]&lt;=20, "Moderate", IF(Table1[[#This Row],[stress_score]]&lt;=30, "Severe", "Extremely Severe")))</f>
        <v>Normal</v>
      </c>
      <c r="L933">
        <v>-0.77314866000000004</v>
      </c>
      <c r="M933">
        <v>10</v>
      </c>
      <c r="N933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933">
        <v>-0.14564899000000001</v>
      </c>
      <c r="P933">
        <v>5.3333335000000002</v>
      </c>
      <c r="Q933">
        <f>ROUND(Table1[[#This Row],[dass21_raw_score]],0)</f>
        <v>5</v>
      </c>
      <c r="R933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933">
        <v>-0.57705854999999995</v>
      </c>
      <c r="T933">
        <v>0.51785135000000004</v>
      </c>
      <c r="U933">
        <v>0</v>
      </c>
      <c r="V933" s="1">
        <f>ROUND(Table1[[#This Row],[fmpce]],0)</f>
        <v>0</v>
      </c>
      <c r="W933">
        <v>0</v>
      </c>
      <c r="X933" s="4">
        <f>Table1[[#This Row],[mpce]]*89</f>
        <v>0</v>
      </c>
      <c r="Y933" s="2" t="s">
        <v>24</v>
      </c>
      <c r="Z933" s="3">
        <f>VLOOKUP(Y933, rmpce_reference!$B$1:$D$7,3,FALSE) * 89</f>
        <v>2225</v>
      </c>
      <c r="AA933" s="1" t="str">
        <f>IF(Table1[rmpce_inr]&lt;=rmpce_reference!$F$2, "Low Income", IF(Table1[rmpce_inr]&lt;=rmpce_reference!$F$3, "Middle Income", "High Income"))</f>
        <v>Low Income</v>
      </c>
    </row>
    <row r="934" spans="1:27" x14ac:dyDescent="0.25">
      <c r="A934">
        <v>5069</v>
      </c>
      <c r="B934" t="s">
        <v>43</v>
      </c>
      <c r="C934" t="s">
        <v>33</v>
      </c>
      <c r="D934">
        <v>27</v>
      </c>
      <c r="E934" t="s">
        <v>22</v>
      </c>
      <c r="F934" t="s">
        <v>23</v>
      </c>
      <c r="G934">
        <v>2</v>
      </c>
      <c r="H934" s="1" t="str">
        <f>IF(Table1[[#This Row],[anxiety_score]]&lt;=10, "Normal", IF(Table1[[#This Row],[anxiety_score]]&lt;=20, "Moderate", IF(Table1[[#This Row],[anxiety_score]]&lt;=30, "Severe", "Extremely Severe")))</f>
        <v>Normal</v>
      </c>
      <c r="I934">
        <v>-0.81237789999999999</v>
      </c>
      <c r="J934">
        <v>14</v>
      </c>
      <c r="K934" s="1" t="str">
        <f>IF(Table1[[#This Row],[stress_score]]&lt;=10, "Normal", IF(Table1[[#This Row],[stress_score]]&lt;=20, "Moderate", IF(Table1[[#This Row],[stress_score]]&lt;=30, "Severe", "Extremely Severe")))</f>
        <v>Moderate</v>
      </c>
      <c r="L934">
        <v>0.20015757000000001</v>
      </c>
      <c r="M934">
        <v>8</v>
      </c>
      <c r="N934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934">
        <v>-0.33828637</v>
      </c>
      <c r="P934">
        <v>8</v>
      </c>
      <c r="Q934">
        <f>ROUND(Table1[[#This Row],[dass21_raw_score]],0)</f>
        <v>8</v>
      </c>
      <c r="R934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934">
        <v>-0.31683558000000001</v>
      </c>
      <c r="T934">
        <v>0.7780743</v>
      </c>
      <c r="U934">
        <v>7500</v>
      </c>
      <c r="V934" s="1">
        <f>ROUND(Table1[[#This Row],[fmpce]],0)</f>
        <v>7500</v>
      </c>
      <c r="W934">
        <v>102.03498999999999</v>
      </c>
      <c r="X934" s="4">
        <f>Table1[[#This Row],[mpce]]*89</f>
        <v>9081.1141099999986</v>
      </c>
      <c r="Y934" s="2" t="s">
        <v>35</v>
      </c>
      <c r="Z934" s="3">
        <f>VLOOKUP(Y934, rmpce_reference!$B$1:$D$7,3,FALSE) * 89</f>
        <v>9790</v>
      </c>
      <c r="AA934" s="1" t="str">
        <f>IF(Table1[rmpce_inr]&lt;=rmpce_reference!$F$2, "Low Income", IF(Table1[rmpce_inr]&lt;=rmpce_reference!$F$3, "Middle Income", "High Income"))</f>
        <v>High Income</v>
      </c>
    </row>
    <row r="935" spans="1:27" x14ac:dyDescent="0.25">
      <c r="A935">
        <v>5070</v>
      </c>
      <c r="B935" t="s">
        <v>43</v>
      </c>
      <c r="C935" t="s">
        <v>21</v>
      </c>
      <c r="D935">
        <v>42</v>
      </c>
      <c r="E935" t="s">
        <v>22</v>
      </c>
      <c r="F935" t="s">
        <v>23</v>
      </c>
      <c r="G935">
        <v>0</v>
      </c>
      <c r="H935" s="1" t="str">
        <f>IF(Table1[[#This Row],[anxiety_score]]&lt;=10, "Normal", IF(Table1[[#This Row],[anxiety_score]]&lt;=20, "Moderate", IF(Table1[[#This Row],[anxiety_score]]&lt;=30, "Severe", "Extremely Severe")))</f>
        <v>Normal</v>
      </c>
      <c r="I935">
        <v>-1.0134224999999999</v>
      </c>
      <c r="J935">
        <v>0</v>
      </c>
      <c r="K935" s="1" t="str">
        <f>IF(Table1[[#This Row],[stress_score]]&lt;=10, "Normal", IF(Table1[[#This Row],[stress_score]]&lt;=20, "Moderate", IF(Table1[[#This Row],[stress_score]]&lt;=30, "Severe", "Extremely Severe")))</f>
        <v>Normal</v>
      </c>
      <c r="L935">
        <v>-1.1624711999999999</v>
      </c>
      <c r="M935">
        <v>0</v>
      </c>
      <c r="N935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935">
        <v>-1.1088359000000001</v>
      </c>
      <c r="P935">
        <v>0</v>
      </c>
      <c r="Q935">
        <f>ROUND(Table1[[#This Row],[dass21_raw_score]],0)</f>
        <v>0</v>
      </c>
      <c r="R935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935">
        <v>-1.0949099</v>
      </c>
      <c r="T935">
        <v>0</v>
      </c>
      <c r="U935">
        <v>3000</v>
      </c>
      <c r="V935" s="1">
        <f>ROUND(Table1[[#This Row],[fmpce]],0)</f>
        <v>3000</v>
      </c>
      <c r="W935">
        <v>40.813994999999998</v>
      </c>
      <c r="X935" s="4">
        <f>Table1[[#This Row],[mpce]]*89</f>
        <v>3632.4455549999998</v>
      </c>
      <c r="Y935" s="2" t="s">
        <v>32</v>
      </c>
      <c r="Z935" s="3">
        <f>VLOOKUP(Y935, rmpce_reference!$B$1:$D$7,3,FALSE) * 89</f>
        <v>4450</v>
      </c>
      <c r="AA935" s="1" t="str">
        <f>IF(Table1[rmpce_inr]&lt;=rmpce_reference!$F$2, "Low Income", IF(Table1[rmpce_inr]&lt;=rmpce_reference!$F$3, "Middle Income", "High Income"))</f>
        <v>Low Income</v>
      </c>
    </row>
    <row r="936" spans="1:27" x14ac:dyDescent="0.25">
      <c r="A936">
        <v>5071</v>
      </c>
      <c r="B936" t="s">
        <v>43</v>
      </c>
      <c r="C936" t="s">
        <v>36</v>
      </c>
      <c r="D936">
        <v>55</v>
      </c>
      <c r="E936" t="s">
        <v>22</v>
      </c>
      <c r="F936" t="s">
        <v>30</v>
      </c>
      <c r="G936">
        <v>0</v>
      </c>
      <c r="H936" s="1" t="str">
        <f>IF(Table1[[#This Row],[anxiety_score]]&lt;=10, "Normal", IF(Table1[[#This Row],[anxiety_score]]&lt;=20, "Moderate", IF(Table1[[#This Row],[anxiety_score]]&lt;=30, "Severe", "Extremely Severe")))</f>
        <v>Normal</v>
      </c>
      <c r="I936">
        <v>-1.0134224999999999</v>
      </c>
      <c r="J936">
        <v>0</v>
      </c>
      <c r="K936" s="1" t="str">
        <f>IF(Table1[[#This Row],[stress_score]]&lt;=10, "Normal", IF(Table1[[#This Row],[stress_score]]&lt;=20, "Moderate", IF(Table1[[#This Row],[stress_score]]&lt;=30, "Severe", "Extremely Severe")))</f>
        <v>Normal</v>
      </c>
      <c r="L936">
        <v>-1.1624711999999999</v>
      </c>
      <c r="M936">
        <v>0</v>
      </c>
      <c r="N936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936">
        <v>-1.1088359000000001</v>
      </c>
      <c r="P936">
        <v>0</v>
      </c>
      <c r="Q936">
        <f>ROUND(Table1[[#This Row],[dass21_raw_score]],0)</f>
        <v>0</v>
      </c>
      <c r="R936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936">
        <v>-1.0949099</v>
      </c>
      <c r="T936">
        <v>0</v>
      </c>
      <c r="U936">
        <v>9000</v>
      </c>
      <c r="V936" s="1">
        <f>ROUND(Table1[[#This Row],[fmpce]],0)</f>
        <v>9000</v>
      </c>
      <c r="W936">
        <v>122.441986</v>
      </c>
      <c r="X936" s="4">
        <f>Table1[[#This Row],[mpce]]*89</f>
        <v>10897.336754</v>
      </c>
      <c r="Y936" s="2" t="s">
        <v>35</v>
      </c>
      <c r="Z936" s="3">
        <f>VLOOKUP(Y936, rmpce_reference!$B$1:$D$7,3,FALSE) * 89</f>
        <v>9790</v>
      </c>
      <c r="AA936" s="1" t="str">
        <f>IF(Table1[rmpce_inr]&lt;=rmpce_reference!$F$2, "Low Income", IF(Table1[rmpce_inr]&lt;=rmpce_reference!$F$3, "Middle Income", "High Income"))</f>
        <v>High Income</v>
      </c>
    </row>
    <row r="937" spans="1:27" x14ac:dyDescent="0.25">
      <c r="A937">
        <v>5072</v>
      </c>
      <c r="B937" t="s">
        <v>43</v>
      </c>
      <c r="C937" t="s">
        <v>21</v>
      </c>
      <c r="D937">
        <v>48</v>
      </c>
      <c r="E937" t="s">
        <v>25</v>
      </c>
      <c r="F937" t="s">
        <v>26</v>
      </c>
      <c r="G937">
        <v>16</v>
      </c>
      <c r="H937" s="1" t="str">
        <f>IF(Table1[[#This Row],[anxiety_score]]&lt;=10, "Normal", IF(Table1[[#This Row],[anxiety_score]]&lt;=20, "Moderate", IF(Table1[[#This Row],[anxiety_score]]&lt;=30, "Severe", "Extremely Severe")))</f>
        <v>Moderate</v>
      </c>
      <c r="I937">
        <v>0.59493434000000001</v>
      </c>
      <c r="J937">
        <v>14</v>
      </c>
      <c r="K937" s="1" t="str">
        <f>IF(Table1[[#This Row],[stress_score]]&lt;=10, "Normal", IF(Table1[[#This Row],[stress_score]]&lt;=20, "Moderate", IF(Table1[[#This Row],[stress_score]]&lt;=30, "Severe", "Extremely Severe")))</f>
        <v>Moderate</v>
      </c>
      <c r="L937">
        <v>0.20015757000000001</v>
      </c>
      <c r="M937">
        <v>22</v>
      </c>
      <c r="N937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937">
        <v>1.0101753</v>
      </c>
      <c r="P937">
        <v>17.333334000000001</v>
      </c>
      <c r="Q937">
        <f>ROUND(Table1[[#This Row],[dass21_raw_score]],0)</f>
        <v>17</v>
      </c>
      <c r="R937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937">
        <v>0.60175573999999998</v>
      </c>
      <c r="T937">
        <v>1.6966656</v>
      </c>
      <c r="U937">
        <v>3333.3332999999998</v>
      </c>
      <c r="V937" s="1">
        <f>ROUND(Table1[[#This Row],[fmpce]],0)</f>
        <v>3333</v>
      </c>
      <c r="W937">
        <v>45.348880000000001</v>
      </c>
      <c r="X937" s="4">
        <f>Table1[[#This Row],[mpce]]*89</f>
        <v>4036.0503200000003</v>
      </c>
      <c r="Y937" s="2" t="s">
        <v>32</v>
      </c>
      <c r="Z937" s="3">
        <f>VLOOKUP(Y937, rmpce_reference!$B$1:$D$7,3,FALSE) * 89</f>
        <v>4450</v>
      </c>
      <c r="AA937" s="1" t="str">
        <f>IF(Table1[rmpce_inr]&lt;=rmpce_reference!$F$2, "Low Income", IF(Table1[rmpce_inr]&lt;=rmpce_reference!$F$3, "Middle Income", "High Income"))</f>
        <v>Low Income</v>
      </c>
    </row>
    <row r="938" spans="1:27" x14ac:dyDescent="0.25">
      <c r="A938">
        <v>5073</v>
      </c>
      <c r="B938" t="s">
        <v>43</v>
      </c>
      <c r="C938" t="s">
        <v>36</v>
      </c>
      <c r="D938">
        <v>53</v>
      </c>
      <c r="E938" t="s">
        <v>22</v>
      </c>
      <c r="F938" t="s">
        <v>30</v>
      </c>
      <c r="G938">
        <v>0</v>
      </c>
      <c r="H938" s="1" t="str">
        <f>IF(Table1[[#This Row],[anxiety_score]]&lt;=10, "Normal", IF(Table1[[#This Row],[anxiety_score]]&lt;=20, "Moderate", IF(Table1[[#This Row],[anxiety_score]]&lt;=30, "Severe", "Extremely Severe")))</f>
        <v>Normal</v>
      </c>
      <c r="I938">
        <v>-1.0134224999999999</v>
      </c>
      <c r="J938">
        <v>2</v>
      </c>
      <c r="K938" s="1" t="str">
        <f>IF(Table1[[#This Row],[stress_score]]&lt;=10, "Normal", IF(Table1[[#This Row],[stress_score]]&lt;=20, "Moderate", IF(Table1[[#This Row],[stress_score]]&lt;=30, "Severe", "Extremely Severe")))</f>
        <v>Normal</v>
      </c>
      <c r="L938">
        <v>-0.9678099</v>
      </c>
      <c r="M938">
        <v>0</v>
      </c>
      <c r="N938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938">
        <v>-1.1088359000000001</v>
      </c>
      <c r="P938">
        <v>0.66666669999999995</v>
      </c>
      <c r="Q938">
        <f>ROUND(Table1[[#This Row],[dass21_raw_score]],0)</f>
        <v>1</v>
      </c>
      <c r="R938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938">
        <v>-1.0300227</v>
      </c>
      <c r="T938">
        <v>6.4887165999999996E-2</v>
      </c>
      <c r="U938">
        <v>6250</v>
      </c>
      <c r="V938" s="1">
        <f>ROUND(Table1[[#This Row],[fmpce]],0)</f>
        <v>6250</v>
      </c>
      <c r="W938">
        <v>85.029150000000001</v>
      </c>
      <c r="X938" s="4">
        <f>Table1[[#This Row],[mpce]]*89</f>
        <v>7567.5943500000003</v>
      </c>
      <c r="Y938" s="2" t="s">
        <v>31</v>
      </c>
      <c r="Z938" s="3">
        <f>VLOOKUP(Y938, rmpce_reference!$B$1:$D$7,3,FALSE) * 89</f>
        <v>8010</v>
      </c>
      <c r="AA938" s="1" t="str">
        <f>IF(Table1[rmpce_inr]&lt;=rmpce_reference!$F$2, "Low Income", IF(Table1[rmpce_inr]&lt;=rmpce_reference!$F$3, "Middle Income", "High Income"))</f>
        <v>High Income</v>
      </c>
    </row>
    <row r="939" spans="1:27" x14ac:dyDescent="0.25">
      <c r="A939">
        <v>5074</v>
      </c>
      <c r="B939" t="s">
        <v>43</v>
      </c>
      <c r="C939" t="s">
        <v>29</v>
      </c>
      <c r="D939">
        <v>32</v>
      </c>
      <c r="E939" t="s">
        <v>25</v>
      </c>
      <c r="F939" t="s">
        <v>26</v>
      </c>
      <c r="G939">
        <v>0</v>
      </c>
      <c r="H939" s="1" t="str">
        <f>IF(Table1[[#This Row],[anxiety_score]]&lt;=10, "Normal", IF(Table1[[#This Row],[anxiety_score]]&lt;=20, "Moderate", IF(Table1[[#This Row],[anxiety_score]]&lt;=30, "Severe", "Extremely Severe")))</f>
        <v>Normal</v>
      </c>
      <c r="I939">
        <v>-1.0134224999999999</v>
      </c>
      <c r="J939">
        <v>2</v>
      </c>
      <c r="K939" s="1" t="str">
        <f>IF(Table1[[#This Row],[stress_score]]&lt;=10, "Normal", IF(Table1[[#This Row],[stress_score]]&lt;=20, "Moderate", IF(Table1[[#This Row],[stress_score]]&lt;=30, "Severe", "Extremely Severe")))</f>
        <v>Normal</v>
      </c>
      <c r="L939">
        <v>-0.9678099</v>
      </c>
      <c r="M939">
        <v>2</v>
      </c>
      <c r="N939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939">
        <v>-0.91619854999999994</v>
      </c>
      <c r="P939">
        <v>1.3333333999999999</v>
      </c>
      <c r="Q939">
        <f>ROUND(Table1[[#This Row],[dass21_raw_score]],0)</f>
        <v>1</v>
      </c>
      <c r="R939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939">
        <v>-0.96581030000000001</v>
      </c>
      <c r="T939">
        <v>0.12909961</v>
      </c>
      <c r="U939">
        <v>8750</v>
      </c>
      <c r="V939" s="1">
        <f>ROUND(Table1[[#This Row],[fmpce]],0)</f>
        <v>8750</v>
      </c>
      <c r="W939">
        <v>119.04082</v>
      </c>
      <c r="X939" s="4">
        <f>Table1[[#This Row],[mpce]]*89</f>
        <v>10594.63298</v>
      </c>
      <c r="Y939" s="2" t="s">
        <v>35</v>
      </c>
      <c r="Z939" s="3">
        <f>VLOOKUP(Y939, rmpce_reference!$B$1:$D$7,3,FALSE) * 89</f>
        <v>9790</v>
      </c>
      <c r="AA939" s="1" t="str">
        <f>IF(Table1[rmpce_inr]&lt;=rmpce_reference!$F$2, "Low Income", IF(Table1[rmpce_inr]&lt;=rmpce_reference!$F$3, "Middle Income", "High Income"))</f>
        <v>High Income</v>
      </c>
    </row>
    <row r="940" spans="1:27" x14ac:dyDescent="0.25">
      <c r="A940">
        <v>5075</v>
      </c>
      <c r="B940" t="s">
        <v>43</v>
      </c>
      <c r="C940" t="s">
        <v>29</v>
      </c>
      <c r="D940">
        <v>35</v>
      </c>
      <c r="E940" t="s">
        <v>25</v>
      </c>
      <c r="F940" t="s">
        <v>26</v>
      </c>
      <c r="G940">
        <v>0</v>
      </c>
      <c r="H940" s="1" t="str">
        <f>IF(Table1[[#This Row],[anxiety_score]]&lt;=10, "Normal", IF(Table1[[#This Row],[anxiety_score]]&lt;=20, "Moderate", IF(Table1[[#This Row],[anxiety_score]]&lt;=30, "Severe", "Extremely Severe")))</f>
        <v>Normal</v>
      </c>
      <c r="I940">
        <v>-1.0134224999999999</v>
      </c>
      <c r="J940">
        <v>0</v>
      </c>
      <c r="K940" s="1" t="str">
        <f>IF(Table1[[#This Row],[stress_score]]&lt;=10, "Normal", IF(Table1[[#This Row],[stress_score]]&lt;=20, "Moderate", IF(Table1[[#This Row],[stress_score]]&lt;=30, "Severe", "Extremely Severe")))</f>
        <v>Normal</v>
      </c>
      <c r="L940">
        <v>-1.1624711999999999</v>
      </c>
      <c r="M940">
        <v>0</v>
      </c>
      <c r="N940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940">
        <v>-1.1088359000000001</v>
      </c>
      <c r="P940">
        <v>0</v>
      </c>
      <c r="Q940">
        <f>ROUND(Table1[[#This Row],[dass21_raw_score]],0)</f>
        <v>0</v>
      </c>
      <c r="R940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940">
        <v>-1.0949099</v>
      </c>
      <c r="T940">
        <v>0</v>
      </c>
      <c r="U940">
        <v>5666.6665000000003</v>
      </c>
      <c r="V940" s="1">
        <f>ROUND(Table1[[#This Row],[fmpce]],0)</f>
        <v>5667</v>
      </c>
      <c r="W940">
        <v>77.093100000000007</v>
      </c>
      <c r="X940" s="4">
        <f>Table1[[#This Row],[mpce]]*89</f>
        <v>6861.2859000000008</v>
      </c>
      <c r="Y940" s="2" t="s">
        <v>28</v>
      </c>
      <c r="Z940" s="3">
        <f>VLOOKUP(Y940, rmpce_reference!$B$1:$D$7,3,FALSE) * 89</f>
        <v>6230</v>
      </c>
      <c r="AA940" s="1" t="str">
        <f>IF(Table1[rmpce_inr]&lt;=rmpce_reference!$F$2, "Low Income", IF(Table1[rmpce_inr]&lt;=rmpce_reference!$F$3, "Middle Income", "High Income"))</f>
        <v>Middle Income</v>
      </c>
    </row>
    <row r="941" spans="1:27" x14ac:dyDescent="0.25">
      <c r="A941">
        <v>5076</v>
      </c>
      <c r="B941" t="s">
        <v>43</v>
      </c>
      <c r="C941" t="s">
        <v>29</v>
      </c>
      <c r="D941">
        <v>40</v>
      </c>
      <c r="E941" t="s">
        <v>25</v>
      </c>
      <c r="F941" t="s">
        <v>26</v>
      </c>
      <c r="G941">
        <v>2</v>
      </c>
      <c r="H941" s="1" t="str">
        <f>IF(Table1[[#This Row],[anxiety_score]]&lt;=10, "Normal", IF(Table1[[#This Row],[anxiety_score]]&lt;=20, "Moderate", IF(Table1[[#This Row],[anxiety_score]]&lt;=30, "Severe", "Extremely Severe")))</f>
        <v>Normal</v>
      </c>
      <c r="I941">
        <v>-0.81237789999999999</v>
      </c>
      <c r="J941">
        <v>0</v>
      </c>
      <c r="K941" s="1" t="str">
        <f>IF(Table1[[#This Row],[stress_score]]&lt;=10, "Normal", IF(Table1[[#This Row],[stress_score]]&lt;=20, "Moderate", IF(Table1[[#This Row],[stress_score]]&lt;=30, "Severe", "Extremely Severe")))</f>
        <v>Normal</v>
      </c>
      <c r="L941">
        <v>-1.1624711999999999</v>
      </c>
      <c r="M941">
        <v>2</v>
      </c>
      <c r="N941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941">
        <v>-0.91619854999999994</v>
      </c>
      <c r="P941">
        <v>1.3333333999999999</v>
      </c>
      <c r="Q941">
        <f>ROUND(Table1[[#This Row],[dass21_raw_score]],0)</f>
        <v>1</v>
      </c>
      <c r="R941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941">
        <v>-0.96368253000000004</v>
      </c>
      <c r="T941">
        <v>0.13122737000000001</v>
      </c>
      <c r="U941">
        <v>7500</v>
      </c>
      <c r="V941" s="1">
        <f>ROUND(Table1[[#This Row],[fmpce]],0)</f>
        <v>7500</v>
      </c>
      <c r="W941">
        <v>102.03498999999999</v>
      </c>
      <c r="X941" s="4">
        <f>Table1[[#This Row],[mpce]]*89</f>
        <v>9081.1141099999986</v>
      </c>
      <c r="Y941" s="2" t="s">
        <v>35</v>
      </c>
      <c r="Z941" s="3">
        <f>VLOOKUP(Y941, rmpce_reference!$B$1:$D$7,3,FALSE) * 89</f>
        <v>9790</v>
      </c>
      <c r="AA941" s="1" t="str">
        <f>IF(Table1[rmpce_inr]&lt;=rmpce_reference!$F$2, "Low Income", IF(Table1[rmpce_inr]&lt;=rmpce_reference!$F$3, "Middle Income", "High Income"))</f>
        <v>High Income</v>
      </c>
    </row>
    <row r="942" spans="1:27" x14ac:dyDescent="0.25">
      <c r="A942">
        <v>5077</v>
      </c>
      <c r="B942" t="s">
        <v>43</v>
      </c>
      <c r="C942" t="s">
        <v>29</v>
      </c>
      <c r="D942">
        <v>35</v>
      </c>
      <c r="E942" t="s">
        <v>25</v>
      </c>
      <c r="F942" t="s">
        <v>26</v>
      </c>
      <c r="G942">
        <v>0</v>
      </c>
      <c r="H942" s="1" t="str">
        <f>IF(Table1[[#This Row],[anxiety_score]]&lt;=10, "Normal", IF(Table1[[#This Row],[anxiety_score]]&lt;=20, "Moderate", IF(Table1[[#This Row],[anxiety_score]]&lt;=30, "Severe", "Extremely Severe")))</f>
        <v>Normal</v>
      </c>
      <c r="I942">
        <v>-1.0134224999999999</v>
      </c>
      <c r="J942">
        <v>0</v>
      </c>
      <c r="K942" s="1" t="str">
        <f>IF(Table1[[#This Row],[stress_score]]&lt;=10, "Normal", IF(Table1[[#This Row],[stress_score]]&lt;=20, "Moderate", IF(Table1[[#This Row],[stress_score]]&lt;=30, "Severe", "Extremely Severe")))</f>
        <v>Normal</v>
      </c>
      <c r="L942">
        <v>-1.1624711999999999</v>
      </c>
      <c r="M942">
        <v>0</v>
      </c>
      <c r="N942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942">
        <v>-1.1088359000000001</v>
      </c>
      <c r="P942">
        <v>0</v>
      </c>
      <c r="Q942">
        <f>ROUND(Table1[[#This Row],[dass21_raw_score]],0)</f>
        <v>0</v>
      </c>
      <c r="R942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942">
        <v>-1.0949099</v>
      </c>
      <c r="T942">
        <v>0</v>
      </c>
      <c r="U942">
        <v>6000</v>
      </c>
      <c r="V942" s="1">
        <f>ROUND(Table1[[#This Row],[fmpce]],0)</f>
        <v>6000</v>
      </c>
      <c r="W942">
        <v>81.627989999999997</v>
      </c>
      <c r="X942" s="4">
        <f>Table1[[#This Row],[mpce]]*89</f>
        <v>7264.8911099999996</v>
      </c>
      <c r="Y942" s="2" t="s">
        <v>31</v>
      </c>
      <c r="Z942" s="3">
        <f>VLOOKUP(Y942, rmpce_reference!$B$1:$D$7,3,FALSE) * 89</f>
        <v>8010</v>
      </c>
      <c r="AA942" s="1" t="str">
        <f>IF(Table1[rmpce_inr]&lt;=rmpce_reference!$F$2, "Low Income", IF(Table1[rmpce_inr]&lt;=rmpce_reference!$F$3, "Middle Income", "High Income"))</f>
        <v>High Income</v>
      </c>
    </row>
    <row r="943" spans="1:27" x14ac:dyDescent="0.25">
      <c r="A943">
        <v>5078</v>
      </c>
      <c r="B943" t="s">
        <v>43</v>
      </c>
      <c r="C943" t="s">
        <v>29</v>
      </c>
      <c r="D943">
        <v>38</v>
      </c>
      <c r="E943" t="s">
        <v>25</v>
      </c>
      <c r="F943" t="s">
        <v>26</v>
      </c>
      <c r="G943">
        <v>2</v>
      </c>
      <c r="H943" s="1" t="str">
        <f>IF(Table1[[#This Row],[anxiety_score]]&lt;=10, "Normal", IF(Table1[[#This Row],[anxiety_score]]&lt;=20, "Moderate", IF(Table1[[#This Row],[anxiety_score]]&lt;=30, "Severe", "Extremely Severe")))</f>
        <v>Normal</v>
      </c>
      <c r="I943">
        <v>-0.81237789999999999</v>
      </c>
      <c r="J943">
        <v>0</v>
      </c>
      <c r="K943" s="1" t="str">
        <f>IF(Table1[[#This Row],[stress_score]]&lt;=10, "Normal", IF(Table1[[#This Row],[stress_score]]&lt;=20, "Moderate", IF(Table1[[#This Row],[stress_score]]&lt;=30, "Severe", "Extremely Severe")))</f>
        <v>Normal</v>
      </c>
      <c r="L943">
        <v>-1.1624711999999999</v>
      </c>
      <c r="M943">
        <v>2</v>
      </c>
      <c r="N943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943">
        <v>-0.91619854999999994</v>
      </c>
      <c r="P943">
        <v>1.3333333999999999</v>
      </c>
      <c r="Q943">
        <f>ROUND(Table1[[#This Row],[dass21_raw_score]],0)</f>
        <v>1</v>
      </c>
      <c r="R943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943">
        <v>-0.96368253000000004</v>
      </c>
      <c r="T943">
        <v>0.13122737000000001</v>
      </c>
      <c r="U943">
        <v>2200</v>
      </c>
      <c r="V943" s="1">
        <f>ROUND(Table1[[#This Row],[fmpce]],0)</f>
        <v>2200</v>
      </c>
      <c r="W943">
        <v>29.930261999999999</v>
      </c>
      <c r="X943" s="4">
        <f>Table1[[#This Row],[mpce]]*89</f>
        <v>2663.793318</v>
      </c>
      <c r="Y943" s="2" t="s">
        <v>34</v>
      </c>
      <c r="Z943" s="3">
        <f>VLOOKUP(Y943, rmpce_reference!$B$1:$D$7,3,FALSE) * 89</f>
        <v>2848</v>
      </c>
      <c r="AA943" s="1" t="str">
        <f>IF(Table1[rmpce_inr]&lt;=rmpce_reference!$F$2, "Low Income", IF(Table1[rmpce_inr]&lt;=rmpce_reference!$F$3, "Middle Income", "High Income"))</f>
        <v>Low Income</v>
      </c>
    </row>
    <row r="944" spans="1:27" x14ac:dyDescent="0.25">
      <c r="A944">
        <v>5079</v>
      </c>
      <c r="B944" t="s">
        <v>43</v>
      </c>
      <c r="C944" t="s">
        <v>33</v>
      </c>
      <c r="D944">
        <v>28</v>
      </c>
      <c r="E944" t="s">
        <v>25</v>
      </c>
      <c r="F944" t="s">
        <v>30</v>
      </c>
      <c r="G944">
        <v>8</v>
      </c>
      <c r="H944" s="1" t="str">
        <f>IF(Table1[[#This Row],[anxiety_score]]&lt;=10, "Normal", IF(Table1[[#This Row],[anxiety_score]]&lt;=20, "Moderate", IF(Table1[[#This Row],[anxiety_score]]&lt;=30, "Severe", "Extremely Severe")))</f>
        <v>Normal</v>
      </c>
      <c r="I944">
        <v>-0.20924408999999999</v>
      </c>
      <c r="J944">
        <v>16</v>
      </c>
      <c r="K944" s="1" t="str">
        <f>IF(Table1[[#This Row],[stress_score]]&lt;=10, "Normal", IF(Table1[[#This Row],[stress_score]]&lt;=20, "Moderate", IF(Table1[[#This Row],[stress_score]]&lt;=30, "Severe", "Extremely Severe")))</f>
        <v>Moderate</v>
      </c>
      <c r="L944">
        <v>0.39481880000000003</v>
      </c>
      <c r="M944">
        <v>26</v>
      </c>
      <c r="N944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944">
        <v>1.3954502</v>
      </c>
      <c r="P944">
        <v>16.666665999999999</v>
      </c>
      <c r="Q944">
        <f>ROUND(Table1[[#This Row],[dass21_raw_score]],0)</f>
        <v>17</v>
      </c>
      <c r="R944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944">
        <v>0.52700829999999999</v>
      </c>
      <c r="T944">
        <v>1.6219182000000001</v>
      </c>
      <c r="U944">
        <v>6250</v>
      </c>
      <c r="V944" s="1">
        <f>ROUND(Table1[[#This Row],[fmpce]],0)</f>
        <v>6250</v>
      </c>
      <c r="W944">
        <v>85.029150000000001</v>
      </c>
      <c r="X944" s="4">
        <f>Table1[[#This Row],[mpce]]*89</f>
        <v>7567.5943500000003</v>
      </c>
      <c r="Y944" s="2" t="s">
        <v>31</v>
      </c>
      <c r="Z944" s="3">
        <f>VLOOKUP(Y944, rmpce_reference!$B$1:$D$7,3,FALSE) * 89</f>
        <v>8010</v>
      </c>
      <c r="AA944" s="1" t="str">
        <f>IF(Table1[rmpce_inr]&lt;=rmpce_reference!$F$2, "Low Income", IF(Table1[rmpce_inr]&lt;=rmpce_reference!$F$3, "Middle Income", "High Income"))</f>
        <v>High Income</v>
      </c>
    </row>
    <row r="945" spans="1:27" x14ac:dyDescent="0.25">
      <c r="A945">
        <v>5080</v>
      </c>
      <c r="B945" t="s">
        <v>43</v>
      </c>
      <c r="C945" t="s">
        <v>33</v>
      </c>
      <c r="D945">
        <v>28</v>
      </c>
      <c r="E945" t="s">
        <v>22</v>
      </c>
      <c r="F945" t="s">
        <v>30</v>
      </c>
      <c r="G945">
        <v>0</v>
      </c>
      <c r="H945" s="1" t="str">
        <f>IF(Table1[[#This Row],[anxiety_score]]&lt;=10, "Normal", IF(Table1[[#This Row],[anxiety_score]]&lt;=20, "Moderate", IF(Table1[[#This Row],[anxiety_score]]&lt;=30, "Severe", "Extremely Severe")))</f>
        <v>Normal</v>
      </c>
      <c r="I945">
        <v>-1.0134224999999999</v>
      </c>
      <c r="J945">
        <v>0</v>
      </c>
      <c r="K945" s="1" t="str">
        <f>IF(Table1[[#This Row],[stress_score]]&lt;=10, "Normal", IF(Table1[[#This Row],[stress_score]]&lt;=20, "Moderate", IF(Table1[[#This Row],[stress_score]]&lt;=30, "Severe", "Extremely Severe")))</f>
        <v>Normal</v>
      </c>
      <c r="L945">
        <v>-1.1624711999999999</v>
      </c>
      <c r="M945">
        <v>0</v>
      </c>
      <c r="N945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945">
        <v>-1.1088359000000001</v>
      </c>
      <c r="P945">
        <v>0</v>
      </c>
      <c r="Q945">
        <f>ROUND(Table1[[#This Row],[dass21_raw_score]],0)</f>
        <v>0</v>
      </c>
      <c r="R945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945">
        <v>-1.0949099</v>
      </c>
      <c r="T945">
        <v>0</v>
      </c>
      <c r="U945">
        <v>6666.6665000000003</v>
      </c>
      <c r="V945" s="1">
        <f>ROUND(Table1[[#This Row],[fmpce]],0)</f>
        <v>6667</v>
      </c>
      <c r="W945">
        <v>90.697760000000002</v>
      </c>
      <c r="X945" s="4">
        <f>Table1[[#This Row],[mpce]]*89</f>
        <v>8072.1006400000006</v>
      </c>
      <c r="Y945" s="2" t="s">
        <v>31</v>
      </c>
      <c r="Z945" s="3">
        <f>VLOOKUP(Y945, rmpce_reference!$B$1:$D$7,3,FALSE) * 89</f>
        <v>8010</v>
      </c>
      <c r="AA945" s="1" t="str">
        <f>IF(Table1[rmpce_inr]&lt;=rmpce_reference!$F$2, "Low Income", IF(Table1[rmpce_inr]&lt;=rmpce_reference!$F$3, "Middle Income", "High Income"))</f>
        <v>High Income</v>
      </c>
    </row>
    <row r="946" spans="1:27" x14ac:dyDescent="0.25">
      <c r="A946">
        <v>5081</v>
      </c>
      <c r="B946" t="s">
        <v>43</v>
      </c>
      <c r="C946" t="s">
        <v>33</v>
      </c>
      <c r="D946">
        <v>27</v>
      </c>
      <c r="E946" t="s">
        <v>22</v>
      </c>
      <c r="F946" t="s">
        <v>30</v>
      </c>
      <c r="G946">
        <v>4</v>
      </c>
      <c r="H946" s="1" t="str">
        <f>IF(Table1[[#This Row],[anxiety_score]]&lt;=10, "Normal", IF(Table1[[#This Row],[anxiety_score]]&lt;=20, "Moderate", IF(Table1[[#This Row],[anxiety_score]]&lt;=30, "Severe", "Extremely Severe")))</f>
        <v>Normal</v>
      </c>
      <c r="I946">
        <v>-0.61133329999999997</v>
      </c>
      <c r="J946">
        <v>0</v>
      </c>
      <c r="K946" s="1" t="str">
        <f>IF(Table1[[#This Row],[stress_score]]&lt;=10, "Normal", IF(Table1[[#This Row],[stress_score]]&lt;=20, "Moderate", IF(Table1[[#This Row],[stress_score]]&lt;=30, "Severe", "Extremely Severe")))</f>
        <v>Normal</v>
      </c>
      <c r="L946">
        <v>-1.1624711999999999</v>
      </c>
      <c r="M946">
        <v>2</v>
      </c>
      <c r="N946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946">
        <v>-0.91619854999999994</v>
      </c>
      <c r="P946">
        <v>2</v>
      </c>
      <c r="Q946">
        <f>ROUND(Table1[[#This Row],[dass21_raw_score]],0)</f>
        <v>2</v>
      </c>
      <c r="R946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946">
        <v>-0.89666765999999998</v>
      </c>
      <c r="T946">
        <v>0.19824225000000001</v>
      </c>
      <c r="U946">
        <v>11666.666999999999</v>
      </c>
      <c r="V946" s="1">
        <f>ROUND(Table1[[#This Row],[fmpce]],0)</f>
        <v>11667</v>
      </c>
      <c r="W946">
        <v>158.72110000000001</v>
      </c>
      <c r="X946" s="4">
        <f>Table1[[#This Row],[mpce]]*89</f>
        <v>14126.177900000001</v>
      </c>
      <c r="Y946" s="2" t="s">
        <v>35</v>
      </c>
      <c r="Z946" s="3">
        <f>VLOOKUP(Y946, rmpce_reference!$B$1:$D$7,3,FALSE) * 89</f>
        <v>9790</v>
      </c>
      <c r="AA946" s="1" t="str">
        <f>IF(Table1[rmpce_inr]&lt;=rmpce_reference!$F$2, "Low Income", IF(Table1[rmpce_inr]&lt;=rmpce_reference!$F$3, "Middle Income", "High Income"))</f>
        <v>High Income</v>
      </c>
    </row>
    <row r="947" spans="1:27" x14ac:dyDescent="0.25">
      <c r="A947">
        <v>5082</v>
      </c>
      <c r="B947" t="s">
        <v>43</v>
      </c>
      <c r="C947" t="s">
        <v>33</v>
      </c>
      <c r="D947">
        <v>28</v>
      </c>
      <c r="E947" t="s">
        <v>22</v>
      </c>
      <c r="F947" t="s">
        <v>30</v>
      </c>
      <c r="G947">
        <v>0</v>
      </c>
      <c r="H947" s="1" t="str">
        <f>IF(Table1[[#This Row],[anxiety_score]]&lt;=10, "Normal", IF(Table1[[#This Row],[anxiety_score]]&lt;=20, "Moderate", IF(Table1[[#This Row],[anxiety_score]]&lt;=30, "Severe", "Extremely Severe")))</f>
        <v>Normal</v>
      </c>
      <c r="I947">
        <v>-1.0134224999999999</v>
      </c>
      <c r="J947">
        <v>0</v>
      </c>
      <c r="K947" s="1" t="str">
        <f>IF(Table1[[#This Row],[stress_score]]&lt;=10, "Normal", IF(Table1[[#This Row],[stress_score]]&lt;=20, "Moderate", IF(Table1[[#This Row],[stress_score]]&lt;=30, "Severe", "Extremely Severe")))</f>
        <v>Normal</v>
      </c>
      <c r="L947">
        <v>-1.1624711999999999</v>
      </c>
      <c r="M947">
        <v>0</v>
      </c>
      <c r="N947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947">
        <v>-1.1088359000000001</v>
      </c>
      <c r="P947">
        <v>0</v>
      </c>
      <c r="Q947">
        <f>ROUND(Table1[[#This Row],[dass21_raw_score]],0)</f>
        <v>0</v>
      </c>
      <c r="R947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947">
        <v>-1.0949099</v>
      </c>
      <c r="T947">
        <v>0</v>
      </c>
      <c r="U947">
        <v>16666.666000000001</v>
      </c>
      <c r="V947" s="1">
        <f>ROUND(Table1[[#This Row],[fmpce]],0)</f>
        <v>16667</v>
      </c>
      <c r="W947">
        <v>226.74440000000001</v>
      </c>
      <c r="X947" s="4">
        <f>Table1[[#This Row],[mpce]]*89</f>
        <v>20180.2516</v>
      </c>
      <c r="Y947" s="2" t="s">
        <v>35</v>
      </c>
      <c r="Z947" s="3">
        <f>VLOOKUP(Y947, rmpce_reference!$B$1:$D$7,3,FALSE) * 89</f>
        <v>9790</v>
      </c>
      <c r="AA947" s="1" t="str">
        <f>IF(Table1[rmpce_inr]&lt;=rmpce_reference!$F$2, "Low Income", IF(Table1[rmpce_inr]&lt;=rmpce_reference!$F$3, "Middle Income", "High Income"))</f>
        <v>High Income</v>
      </c>
    </row>
    <row r="948" spans="1:27" x14ac:dyDescent="0.25">
      <c r="A948">
        <v>5083</v>
      </c>
      <c r="B948" t="s">
        <v>43</v>
      </c>
      <c r="C948" t="s">
        <v>33</v>
      </c>
      <c r="D948">
        <v>28</v>
      </c>
      <c r="E948" t="s">
        <v>25</v>
      </c>
      <c r="F948" t="s">
        <v>30</v>
      </c>
      <c r="G948">
        <v>2</v>
      </c>
      <c r="H948" s="1" t="str">
        <f>IF(Table1[[#This Row],[anxiety_score]]&lt;=10, "Normal", IF(Table1[[#This Row],[anxiety_score]]&lt;=20, "Moderate", IF(Table1[[#This Row],[anxiety_score]]&lt;=30, "Severe", "Extremely Severe")))</f>
        <v>Normal</v>
      </c>
      <c r="I948">
        <v>-0.81237789999999999</v>
      </c>
      <c r="J948">
        <v>2</v>
      </c>
      <c r="K948" s="1" t="str">
        <f>IF(Table1[[#This Row],[stress_score]]&lt;=10, "Normal", IF(Table1[[#This Row],[stress_score]]&lt;=20, "Moderate", IF(Table1[[#This Row],[stress_score]]&lt;=30, "Severe", "Extremely Severe")))</f>
        <v>Normal</v>
      </c>
      <c r="L948">
        <v>-0.9678099</v>
      </c>
      <c r="M948">
        <v>0</v>
      </c>
      <c r="N948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948">
        <v>-1.1088359000000001</v>
      </c>
      <c r="P948">
        <v>1.3333333999999999</v>
      </c>
      <c r="Q948">
        <f>ROUND(Table1[[#This Row],[dass21_raw_score]],0)</f>
        <v>1</v>
      </c>
      <c r="R948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948">
        <v>-0.96300790000000003</v>
      </c>
      <c r="T948">
        <v>0.13190198</v>
      </c>
      <c r="U948">
        <v>4000</v>
      </c>
      <c r="V948" s="1">
        <f>ROUND(Table1[[#This Row],[fmpce]],0)</f>
        <v>4000</v>
      </c>
      <c r="W948">
        <v>54.418660000000003</v>
      </c>
      <c r="X948" s="4">
        <f>Table1[[#This Row],[mpce]]*89</f>
        <v>4843.2607400000006</v>
      </c>
      <c r="Y948" s="2" t="s">
        <v>32</v>
      </c>
      <c r="Z948" s="3">
        <f>VLOOKUP(Y948, rmpce_reference!$B$1:$D$7,3,FALSE) * 89</f>
        <v>4450</v>
      </c>
      <c r="AA948" s="1" t="str">
        <f>IF(Table1[rmpce_inr]&lt;=rmpce_reference!$F$2, "Low Income", IF(Table1[rmpce_inr]&lt;=rmpce_reference!$F$3, "Middle Income", "High Income"))</f>
        <v>Low Income</v>
      </c>
    </row>
    <row r="949" spans="1:27" x14ac:dyDescent="0.25">
      <c r="A949">
        <v>5084</v>
      </c>
      <c r="B949" t="s">
        <v>43</v>
      </c>
      <c r="C949" t="s">
        <v>33</v>
      </c>
      <c r="D949">
        <v>29</v>
      </c>
      <c r="E949" t="s">
        <v>25</v>
      </c>
      <c r="F949" t="s">
        <v>23</v>
      </c>
      <c r="G949">
        <v>10</v>
      </c>
      <c r="H949" s="1" t="str">
        <f>IF(Table1[[#This Row],[anxiety_score]]&lt;=10, "Normal", IF(Table1[[#This Row],[anxiety_score]]&lt;=20, "Moderate", IF(Table1[[#This Row],[anxiety_score]]&lt;=30, "Severe", "Extremely Severe")))</f>
        <v>Normal</v>
      </c>
      <c r="I949">
        <v>-8.1994660000000007E-3</v>
      </c>
      <c r="J949">
        <v>10</v>
      </c>
      <c r="K949" s="1" t="str">
        <f>IF(Table1[[#This Row],[stress_score]]&lt;=10, "Normal", IF(Table1[[#This Row],[stress_score]]&lt;=20, "Moderate", IF(Table1[[#This Row],[stress_score]]&lt;=30, "Severe", "Extremely Severe")))</f>
        <v>Normal</v>
      </c>
      <c r="L949">
        <v>-0.18916494</v>
      </c>
      <c r="M949">
        <v>4</v>
      </c>
      <c r="N949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949">
        <v>-0.72356116999999998</v>
      </c>
      <c r="P949">
        <v>8</v>
      </c>
      <c r="Q949">
        <f>ROUND(Table1[[#This Row],[dass21_raw_score]],0)</f>
        <v>8</v>
      </c>
      <c r="R949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949">
        <v>-0.3069752</v>
      </c>
      <c r="T949">
        <v>0.78793469999999999</v>
      </c>
      <c r="U949">
        <v>8750</v>
      </c>
      <c r="V949" s="1">
        <f>ROUND(Table1[[#This Row],[fmpce]],0)</f>
        <v>8750</v>
      </c>
      <c r="W949">
        <v>119.04082</v>
      </c>
      <c r="X949" s="4">
        <f>Table1[[#This Row],[mpce]]*89</f>
        <v>10594.63298</v>
      </c>
      <c r="Y949" s="2" t="s">
        <v>35</v>
      </c>
      <c r="Z949" s="3">
        <f>VLOOKUP(Y949, rmpce_reference!$B$1:$D$7,3,FALSE) * 89</f>
        <v>9790</v>
      </c>
      <c r="AA949" s="1" t="str">
        <f>IF(Table1[rmpce_inr]&lt;=rmpce_reference!$F$2, "Low Income", IF(Table1[rmpce_inr]&lt;=rmpce_reference!$F$3, "Middle Income", "High Income"))</f>
        <v>High Income</v>
      </c>
    </row>
    <row r="950" spans="1:27" x14ac:dyDescent="0.25">
      <c r="A950">
        <v>5085</v>
      </c>
      <c r="B950" t="s">
        <v>43</v>
      </c>
      <c r="C950" t="s">
        <v>29</v>
      </c>
      <c r="D950">
        <v>32</v>
      </c>
      <c r="E950" t="s">
        <v>25</v>
      </c>
      <c r="F950" t="s">
        <v>23</v>
      </c>
      <c r="G950">
        <v>0</v>
      </c>
      <c r="H950" s="1" t="str">
        <f>IF(Table1[[#This Row],[anxiety_score]]&lt;=10, "Normal", IF(Table1[[#This Row],[anxiety_score]]&lt;=20, "Moderate", IF(Table1[[#This Row],[anxiety_score]]&lt;=30, "Severe", "Extremely Severe")))</f>
        <v>Normal</v>
      </c>
      <c r="I950">
        <v>-1.0134224999999999</v>
      </c>
      <c r="J950">
        <v>0</v>
      </c>
      <c r="K950" s="1" t="str">
        <f>IF(Table1[[#This Row],[stress_score]]&lt;=10, "Normal", IF(Table1[[#This Row],[stress_score]]&lt;=20, "Moderate", IF(Table1[[#This Row],[stress_score]]&lt;=30, "Severe", "Extremely Severe")))</f>
        <v>Normal</v>
      </c>
      <c r="L950">
        <v>-1.1624711999999999</v>
      </c>
      <c r="M950">
        <v>0</v>
      </c>
      <c r="N950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950">
        <v>-1.1088359000000001</v>
      </c>
      <c r="P950">
        <v>0</v>
      </c>
      <c r="Q950">
        <f>ROUND(Table1[[#This Row],[dass21_raw_score]],0)</f>
        <v>0</v>
      </c>
      <c r="R950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950">
        <v>-1.0949099</v>
      </c>
      <c r="T950">
        <v>0</v>
      </c>
      <c r="U950">
        <v>6250</v>
      </c>
      <c r="V950" s="1">
        <f>ROUND(Table1[[#This Row],[fmpce]],0)</f>
        <v>6250</v>
      </c>
      <c r="W950">
        <v>85.029150000000001</v>
      </c>
      <c r="X950" s="4">
        <f>Table1[[#This Row],[mpce]]*89</f>
        <v>7567.5943500000003</v>
      </c>
      <c r="Y950" s="2" t="s">
        <v>31</v>
      </c>
      <c r="Z950" s="3">
        <f>VLOOKUP(Y950, rmpce_reference!$B$1:$D$7,3,FALSE) * 89</f>
        <v>8010</v>
      </c>
      <c r="AA950" s="1" t="str">
        <f>IF(Table1[rmpce_inr]&lt;=rmpce_reference!$F$2, "Low Income", IF(Table1[rmpce_inr]&lt;=rmpce_reference!$F$3, "Middle Income", "High Income"))</f>
        <v>High Income</v>
      </c>
    </row>
    <row r="951" spans="1:27" x14ac:dyDescent="0.25">
      <c r="A951">
        <v>5086</v>
      </c>
      <c r="B951" t="s">
        <v>43</v>
      </c>
      <c r="C951" t="s">
        <v>29</v>
      </c>
      <c r="D951">
        <v>32</v>
      </c>
      <c r="E951" t="s">
        <v>22</v>
      </c>
      <c r="F951" t="s">
        <v>30</v>
      </c>
      <c r="G951">
        <v>0</v>
      </c>
      <c r="H951" s="1" t="str">
        <f>IF(Table1[[#This Row],[anxiety_score]]&lt;=10, "Normal", IF(Table1[[#This Row],[anxiety_score]]&lt;=20, "Moderate", IF(Table1[[#This Row],[anxiety_score]]&lt;=30, "Severe", "Extremely Severe")))</f>
        <v>Normal</v>
      </c>
      <c r="I951">
        <v>-1.0134224999999999</v>
      </c>
      <c r="J951">
        <v>2</v>
      </c>
      <c r="K951" s="1" t="str">
        <f>IF(Table1[[#This Row],[stress_score]]&lt;=10, "Normal", IF(Table1[[#This Row],[stress_score]]&lt;=20, "Moderate", IF(Table1[[#This Row],[stress_score]]&lt;=30, "Severe", "Extremely Severe")))</f>
        <v>Normal</v>
      </c>
      <c r="L951">
        <v>-0.9678099</v>
      </c>
      <c r="M951">
        <v>0</v>
      </c>
      <c r="N951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951">
        <v>-1.1088359000000001</v>
      </c>
      <c r="P951">
        <v>0.66666669999999995</v>
      </c>
      <c r="Q951">
        <f>ROUND(Table1[[#This Row],[dass21_raw_score]],0)</f>
        <v>1</v>
      </c>
      <c r="R951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951">
        <v>-1.0300227</v>
      </c>
      <c r="T951">
        <v>6.4887165999999996E-2</v>
      </c>
      <c r="U951">
        <v>17500</v>
      </c>
      <c r="V951" s="1">
        <f>ROUND(Table1[[#This Row],[fmpce]],0)</f>
        <v>17500</v>
      </c>
      <c r="W951">
        <v>238.08162999999999</v>
      </c>
      <c r="X951" s="4">
        <f>Table1[[#This Row],[mpce]]*89</f>
        <v>21189.265069999998</v>
      </c>
      <c r="Y951" s="2" t="s">
        <v>35</v>
      </c>
      <c r="Z951" s="3">
        <f>VLOOKUP(Y951, rmpce_reference!$B$1:$D$7,3,FALSE) * 89</f>
        <v>9790</v>
      </c>
      <c r="AA951" s="1" t="str">
        <f>IF(Table1[rmpce_inr]&lt;=rmpce_reference!$F$2, "Low Income", IF(Table1[rmpce_inr]&lt;=rmpce_reference!$F$3, "Middle Income", "High Income"))</f>
        <v>High Income</v>
      </c>
    </row>
    <row r="952" spans="1:27" x14ac:dyDescent="0.25">
      <c r="A952">
        <v>5087</v>
      </c>
      <c r="B952" t="s">
        <v>43</v>
      </c>
      <c r="C952" t="s">
        <v>29</v>
      </c>
      <c r="D952">
        <v>34</v>
      </c>
      <c r="E952" t="s">
        <v>25</v>
      </c>
      <c r="F952" t="s">
        <v>26</v>
      </c>
      <c r="G952">
        <v>6</v>
      </c>
      <c r="H952" s="1" t="str">
        <f>IF(Table1[[#This Row],[anxiety_score]]&lt;=10, "Normal", IF(Table1[[#This Row],[anxiety_score]]&lt;=20, "Moderate", IF(Table1[[#This Row],[anxiety_score]]&lt;=30, "Severe", "Extremely Severe")))</f>
        <v>Normal</v>
      </c>
      <c r="I952">
        <v>-0.41028870000000001</v>
      </c>
      <c r="J952">
        <v>4</v>
      </c>
      <c r="K952" s="1" t="str">
        <f>IF(Table1[[#This Row],[stress_score]]&lt;=10, "Normal", IF(Table1[[#This Row],[stress_score]]&lt;=20, "Moderate", IF(Table1[[#This Row],[stress_score]]&lt;=30, "Severe", "Extremely Severe")))</f>
        <v>Normal</v>
      </c>
      <c r="L952">
        <v>-0.77314866000000004</v>
      </c>
      <c r="M952">
        <v>4</v>
      </c>
      <c r="N952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952">
        <v>-0.72356116999999998</v>
      </c>
      <c r="P952">
        <v>4.6666664999999998</v>
      </c>
      <c r="Q952">
        <f>ROUND(Table1[[#This Row],[dass21_raw_score]],0)</f>
        <v>5</v>
      </c>
      <c r="R952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952">
        <v>-0.63566619999999996</v>
      </c>
      <c r="T952">
        <v>0.45924369999999998</v>
      </c>
      <c r="U952">
        <v>3750</v>
      </c>
      <c r="V952" s="1">
        <f>ROUND(Table1[[#This Row],[fmpce]],0)</f>
        <v>3750</v>
      </c>
      <c r="W952">
        <v>51.017493999999999</v>
      </c>
      <c r="X952" s="4">
        <f>Table1[[#This Row],[mpce]]*89</f>
        <v>4540.5569660000001</v>
      </c>
      <c r="Y952" s="2" t="s">
        <v>32</v>
      </c>
      <c r="Z952" s="3">
        <f>VLOOKUP(Y952, rmpce_reference!$B$1:$D$7,3,FALSE) * 89</f>
        <v>4450</v>
      </c>
      <c r="AA952" s="1" t="str">
        <f>IF(Table1[rmpce_inr]&lt;=rmpce_reference!$F$2, "Low Income", IF(Table1[rmpce_inr]&lt;=rmpce_reference!$F$3, "Middle Income", "High Income"))</f>
        <v>Low Income</v>
      </c>
    </row>
    <row r="953" spans="1:27" x14ac:dyDescent="0.25">
      <c r="A953">
        <v>5088</v>
      </c>
      <c r="B953" t="s">
        <v>43</v>
      </c>
      <c r="C953" t="s">
        <v>29</v>
      </c>
      <c r="D953">
        <v>31</v>
      </c>
      <c r="E953" t="s">
        <v>25</v>
      </c>
      <c r="F953" t="s">
        <v>26</v>
      </c>
      <c r="G953">
        <v>0</v>
      </c>
      <c r="H953" s="1" t="str">
        <f>IF(Table1[[#This Row],[anxiety_score]]&lt;=10, "Normal", IF(Table1[[#This Row],[anxiety_score]]&lt;=20, "Moderate", IF(Table1[[#This Row],[anxiety_score]]&lt;=30, "Severe", "Extremely Severe")))</f>
        <v>Normal</v>
      </c>
      <c r="I953">
        <v>-1.0134224999999999</v>
      </c>
      <c r="J953">
        <v>14</v>
      </c>
      <c r="K953" s="1" t="str">
        <f>IF(Table1[[#This Row],[stress_score]]&lt;=10, "Normal", IF(Table1[[#This Row],[stress_score]]&lt;=20, "Moderate", IF(Table1[[#This Row],[stress_score]]&lt;=30, "Severe", "Extremely Severe")))</f>
        <v>Moderate</v>
      </c>
      <c r="L953">
        <v>0.20015757000000001</v>
      </c>
      <c r="M953">
        <v>10</v>
      </c>
      <c r="N953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953">
        <v>-0.14564899000000001</v>
      </c>
      <c r="P953">
        <v>8</v>
      </c>
      <c r="Q953">
        <f>ROUND(Table1[[#This Row],[dass21_raw_score]],0)</f>
        <v>8</v>
      </c>
      <c r="R953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953">
        <v>-0.31963795</v>
      </c>
      <c r="T953">
        <v>0.77527195000000004</v>
      </c>
      <c r="U953">
        <v>0</v>
      </c>
      <c r="V953" s="1">
        <f>ROUND(Table1[[#This Row],[fmpce]],0)</f>
        <v>0</v>
      </c>
      <c r="W953">
        <v>0</v>
      </c>
      <c r="X953" s="4">
        <f>Table1[[#This Row],[mpce]]*89</f>
        <v>0</v>
      </c>
      <c r="Y953" s="2" t="s">
        <v>24</v>
      </c>
      <c r="Z953" s="3">
        <f>VLOOKUP(Y953, rmpce_reference!$B$1:$D$7,3,FALSE) * 89</f>
        <v>2225</v>
      </c>
      <c r="AA953" s="1" t="str">
        <f>IF(Table1[rmpce_inr]&lt;=rmpce_reference!$F$2, "Low Income", IF(Table1[rmpce_inr]&lt;=rmpce_reference!$F$3, "Middle Income", "High Income"))</f>
        <v>Low Income</v>
      </c>
    </row>
    <row r="954" spans="1:27" x14ac:dyDescent="0.25">
      <c r="A954">
        <v>5089</v>
      </c>
      <c r="B954" t="s">
        <v>43</v>
      </c>
      <c r="C954" t="s">
        <v>33</v>
      </c>
      <c r="D954">
        <v>28</v>
      </c>
      <c r="E954" t="s">
        <v>22</v>
      </c>
      <c r="F954" t="s">
        <v>30</v>
      </c>
      <c r="G954">
        <v>0</v>
      </c>
      <c r="H954" s="1" t="str">
        <f>IF(Table1[[#This Row],[anxiety_score]]&lt;=10, "Normal", IF(Table1[[#This Row],[anxiety_score]]&lt;=20, "Moderate", IF(Table1[[#This Row],[anxiety_score]]&lt;=30, "Severe", "Extremely Severe")))</f>
        <v>Normal</v>
      </c>
      <c r="I954">
        <v>-1.0134224999999999</v>
      </c>
      <c r="J954">
        <v>0</v>
      </c>
      <c r="K954" s="1" t="str">
        <f>IF(Table1[[#This Row],[stress_score]]&lt;=10, "Normal", IF(Table1[[#This Row],[stress_score]]&lt;=20, "Moderate", IF(Table1[[#This Row],[stress_score]]&lt;=30, "Severe", "Extremely Severe")))</f>
        <v>Normal</v>
      </c>
      <c r="L954">
        <v>-1.1624711999999999</v>
      </c>
      <c r="M954">
        <v>2</v>
      </c>
      <c r="N954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954">
        <v>-0.91619854999999994</v>
      </c>
      <c r="P954">
        <v>0.66666669999999995</v>
      </c>
      <c r="Q954">
        <f>ROUND(Table1[[#This Row],[dass21_raw_score]],0)</f>
        <v>1</v>
      </c>
      <c r="R954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954">
        <v>-1.0306972999999999</v>
      </c>
      <c r="T954">
        <v>6.4212560000000002E-2</v>
      </c>
      <c r="U954">
        <v>6666.6665000000003</v>
      </c>
      <c r="V954" s="1">
        <f>ROUND(Table1[[#This Row],[fmpce]],0)</f>
        <v>6667</v>
      </c>
      <c r="W954">
        <v>90.697760000000002</v>
      </c>
      <c r="X954" s="4">
        <f>Table1[[#This Row],[mpce]]*89</f>
        <v>8072.1006400000006</v>
      </c>
      <c r="Y954" s="2" t="s">
        <v>31</v>
      </c>
      <c r="Z954" s="3">
        <f>VLOOKUP(Y954, rmpce_reference!$B$1:$D$7,3,FALSE) * 89</f>
        <v>8010</v>
      </c>
      <c r="AA954" s="1" t="str">
        <f>IF(Table1[rmpce_inr]&lt;=rmpce_reference!$F$2, "Low Income", IF(Table1[rmpce_inr]&lt;=rmpce_reference!$F$3, "Middle Income", "High Income"))</f>
        <v>High Income</v>
      </c>
    </row>
    <row r="955" spans="1:27" x14ac:dyDescent="0.25">
      <c r="A955">
        <v>5090</v>
      </c>
      <c r="B955" t="s">
        <v>43</v>
      </c>
      <c r="C955" t="s">
        <v>29</v>
      </c>
      <c r="D955">
        <v>31</v>
      </c>
      <c r="E955" t="s">
        <v>22</v>
      </c>
      <c r="F955" t="s">
        <v>30</v>
      </c>
      <c r="G955">
        <v>0</v>
      </c>
      <c r="H955" s="1" t="str">
        <f>IF(Table1[[#This Row],[anxiety_score]]&lt;=10, "Normal", IF(Table1[[#This Row],[anxiety_score]]&lt;=20, "Moderate", IF(Table1[[#This Row],[anxiety_score]]&lt;=30, "Severe", "Extremely Severe")))</f>
        <v>Normal</v>
      </c>
      <c r="I955">
        <v>-1.0134224999999999</v>
      </c>
      <c r="J955">
        <v>0</v>
      </c>
      <c r="K955" s="1" t="str">
        <f>IF(Table1[[#This Row],[stress_score]]&lt;=10, "Normal", IF(Table1[[#This Row],[stress_score]]&lt;=20, "Moderate", IF(Table1[[#This Row],[stress_score]]&lt;=30, "Severe", "Extremely Severe")))</f>
        <v>Normal</v>
      </c>
      <c r="L955">
        <v>-1.1624711999999999</v>
      </c>
      <c r="M955">
        <v>2</v>
      </c>
      <c r="N955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955">
        <v>-0.91619854999999994</v>
      </c>
      <c r="P955">
        <v>0.66666669999999995</v>
      </c>
      <c r="Q955">
        <f>ROUND(Table1[[#This Row],[dass21_raw_score]],0)</f>
        <v>1</v>
      </c>
      <c r="R955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955">
        <v>-1.0306972999999999</v>
      </c>
      <c r="T955">
        <v>6.4212560000000002E-2</v>
      </c>
      <c r="U955">
        <v>12000</v>
      </c>
      <c r="V955" s="1">
        <f>ROUND(Table1[[#This Row],[fmpce]],0)</f>
        <v>12000</v>
      </c>
      <c r="W955">
        <v>163.25597999999999</v>
      </c>
      <c r="X955" s="4">
        <f>Table1[[#This Row],[mpce]]*89</f>
        <v>14529.782219999999</v>
      </c>
      <c r="Y955" s="2" t="s">
        <v>35</v>
      </c>
      <c r="Z955" s="3">
        <f>VLOOKUP(Y955, rmpce_reference!$B$1:$D$7,3,FALSE) * 89</f>
        <v>9790</v>
      </c>
      <c r="AA955" s="1" t="str">
        <f>IF(Table1[rmpce_inr]&lt;=rmpce_reference!$F$2, "Low Income", IF(Table1[rmpce_inr]&lt;=rmpce_reference!$F$3, "Middle Income", "High Income"))</f>
        <v>High Income</v>
      </c>
    </row>
    <row r="956" spans="1:27" x14ac:dyDescent="0.25">
      <c r="A956">
        <v>5091</v>
      </c>
      <c r="B956" t="s">
        <v>43</v>
      </c>
      <c r="C956" t="s">
        <v>33</v>
      </c>
      <c r="D956">
        <v>25</v>
      </c>
      <c r="E956" t="s">
        <v>25</v>
      </c>
      <c r="F956" t="s">
        <v>30</v>
      </c>
      <c r="G956">
        <v>8</v>
      </c>
      <c r="H956" s="1" t="str">
        <f>IF(Table1[[#This Row],[anxiety_score]]&lt;=10, "Normal", IF(Table1[[#This Row],[anxiety_score]]&lt;=20, "Moderate", IF(Table1[[#This Row],[anxiety_score]]&lt;=30, "Severe", "Extremely Severe")))</f>
        <v>Normal</v>
      </c>
      <c r="I956">
        <v>-0.20924408999999999</v>
      </c>
      <c r="J956">
        <v>24</v>
      </c>
      <c r="K956" s="1" t="str">
        <f>IF(Table1[[#This Row],[stress_score]]&lt;=10, "Normal", IF(Table1[[#This Row],[stress_score]]&lt;=20, "Moderate", IF(Table1[[#This Row],[stress_score]]&lt;=30, "Severe", "Extremely Severe")))</f>
        <v>Severe</v>
      </c>
      <c r="L956">
        <v>1.1734637999999999</v>
      </c>
      <c r="M956">
        <v>4</v>
      </c>
      <c r="N956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956">
        <v>-0.72356116999999998</v>
      </c>
      <c r="P956">
        <v>12</v>
      </c>
      <c r="Q956">
        <f>ROUND(Table1[[#This Row],[dass21_raw_score]],0)</f>
        <v>12</v>
      </c>
      <c r="R956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956">
        <v>8.0219520000000002E-2</v>
      </c>
      <c r="T956">
        <v>1.1751294000000001</v>
      </c>
      <c r="U956">
        <v>3333.3332999999998</v>
      </c>
      <c r="V956" s="1">
        <f>ROUND(Table1[[#This Row],[fmpce]],0)</f>
        <v>3333</v>
      </c>
      <c r="W956">
        <v>45.348880000000001</v>
      </c>
      <c r="X956" s="4">
        <f>Table1[[#This Row],[mpce]]*89</f>
        <v>4036.0503200000003</v>
      </c>
      <c r="Y956" s="2" t="s">
        <v>32</v>
      </c>
      <c r="Z956" s="3">
        <f>VLOOKUP(Y956, rmpce_reference!$B$1:$D$7,3,FALSE) * 89</f>
        <v>4450</v>
      </c>
      <c r="AA956" s="1" t="str">
        <f>IF(Table1[rmpce_inr]&lt;=rmpce_reference!$F$2, "Low Income", IF(Table1[rmpce_inr]&lt;=rmpce_reference!$F$3, "Middle Income", "High Income"))</f>
        <v>Low Income</v>
      </c>
    </row>
    <row r="957" spans="1:27" x14ac:dyDescent="0.25">
      <c r="A957">
        <v>5092</v>
      </c>
      <c r="B957" t="s">
        <v>43</v>
      </c>
      <c r="C957" t="s">
        <v>36</v>
      </c>
      <c r="D957">
        <v>51</v>
      </c>
      <c r="E957" t="s">
        <v>22</v>
      </c>
      <c r="F957" t="s">
        <v>23</v>
      </c>
      <c r="G957">
        <v>4</v>
      </c>
      <c r="H957" s="1" t="str">
        <f>IF(Table1[[#This Row],[anxiety_score]]&lt;=10, "Normal", IF(Table1[[#This Row],[anxiety_score]]&lt;=20, "Moderate", IF(Table1[[#This Row],[anxiety_score]]&lt;=30, "Severe", "Extremely Severe")))</f>
        <v>Normal</v>
      </c>
      <c r="I957">
        <v>-0.61133329999999997</v>
      </c>
      <c r="J957">
        <v>4</v>
      </c>
      <c r="K957" s="1" t="str">
        <f>IF(Table1[[#This Row],[stress_score]]&lt;=10, "Normal", IF(Table1[[#This Row],[stress_score]]&lt;=20, "Moderate", IF(Table1[[#This Row],[stress_score]]&lt;=30, "Severe", "Extremely Severe")))</f>
        <v>Normal</v>
      </c>
      <c r="L957">
        <v>-0.77314866000000004</v>
      </c>
      <c r="M957">
        <v>12</v>
      </c>
      <c r="N957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957">
        <v>4.6988415999999998E-2</v>
      </c>
      <c r="P957">
        <v>6.6666664999999998</v>
      </c>
      <c r="Q957">
        <f>ROUND(Table1[[#This Row],[dass21_raw_score]],0)</f>
        <v>7</v>
      </c>
      <c r="R957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957">
        <v>-0.44583117999999999</v>
      </c>
      <c r="T957">
        <v>0.64907870000000001</v>
      </c>
      <c r="U957">
        <v>3000</v>
      </c>
      <c r="V957" s="1">
        <f>ROUND(Table1[[#This Row],[fmpce]],0)</f>
        <v>3000</v>
      </c>
      <c r="W957">
        <v>40.813994999999998</v>
      </c>
      <c r="X957" s="4">
        <f>Table1[[#This Row],[mpce]]*89</f>
        <v>3632.4455549999998</v>
      </c>
      <c r="Y957" s="2" t="s">
        <v>32</v>
      </c>
      <c r="Z957" s="3">
        <f>VLOOKUP(Y957, rmpce_reference!$B$1:$D$7,3,FALSE) * 89</f>
        <v>4450</v>
      </c>
      <c r="AA957" s="1" t="str">
        <f>IF(Table1[rmpce_inr]&lt;=rmpce_reference!$F$2, "Low Income", IF(Table1[rmpce_inr]&lt;=rmpce_reference!$F$3, "Middle Income", "High Income"))</f>
        <v>Low Income</v>
      </c>
    </row>
    <row r="958" spans="1:27" x14ac:dyDescent="0.25">
      <c r="A958">
        <v>5093</v>
      </c>
      <c r="B958" t="s">
        <v>43</v>
      </c>
      <c r="C958" t="s">
        <v>29</v>
      </c>
      <c r="D958">
        <v>34</v>
      </c>
      <c r="E958" t="s">
        <v>22</v>
      </c>
      <c r="F958" t="s">
        <v>23</v>
      </c>
      <c r="G958">
        <v>0</v>
      </c>
      <c r="H958" s="1" t="str">
        <f>IF(Table1[[#This Row],[anxiety_score]]&lt;=10, "Normal", IF(Table1[[#This Row],[anxiety_score]]&lt;=20, "Moderate", IF(Table1[[#This Row],[anxiety_score]]&lt;=30, "Severe", "Extremely Severe")))</f>
        <v>Normal</v>
      </c>
      <c r="I958">
        <v>-1.0134224999999999</v>
      </c>
      <c r="J958">
        <v>2</v>
      </c>
      <c r="K958" s="1" t="str">
        <f>IF(Table1[[#This Row],[stress_score]]&lt;=10, "Normal", IF(Table1[[#This Row],[stress_score]]&lt;=20, "Moderate", IF(Table1[[#This Row],[stress_score]]&lt;=30, "Severe", "Extremely Severe")))</f>
        <v>Normal</v>
      </c>
      <c r="L958">
        <v>-0.9678099</v>
      </c>
      <c r="M958">
        <v>2</v>
      </c>
      <c r="N958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958">
        <v>-0.91619854999999994</v>
      </c>
      <c r="P958">
        <v>1.3333333999999999</v>
      </c>
      <c r="Q958">
        <f>ROUND(Table1[[#This Row],[dass21_raw_score]],0)</f>
        <v>1</v>
      </c>
      <c r="R958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958">
        <v>-0.96581030000000001</v>
      </c>
      <c r="T958">
        <v>0.12909961</v>
      </c>
      <c r="U958">
        <v>3000</v>
      </c>
      <c r="V958" s="1">
        <f>ROUND(Table1[[#This Row],[fmpce]],0)</f>
        <v>3000</v>
      </c>
      <c r="W958">
        <v>40.813994999999998</v>
      </c>
      <c r="X958" s="4">
        <f>Table1[[#This Row],[mpce]]*89</f>
        <v>3632.4455549999998</v>
      </c>
      <c r="Y958" s="2" t="s">
        <v>32</v>
      </c>
      <c r="Z958" s="3">
        <f>VLOOKUP(Y958, rmpce_reference!$B$1:$D$7,3,FALSE) * 89</f>
        <v>4450</v>
      </c>
      <c r="AA958" s="1" t="str">
        <f>IF(Table1[rmpce_inr]&lt;=rmpce_reference!$F$2, "Low Income", IF(Table1[rmpce_inr]&lt;=rmpce_reference!$F$3, "Middle Income", "High Income"))</f>
        <v>Low Income</v>
      </c>
    </row>
    <row r="959" spans="1:27" x14ac:dyDescent="0.25">
      <c r="A959">
        <v>5094</v>
      </c>
      <c r="B959" t="s">
        <v>43</v>
      </c>
      <c r="C959" t="s">
        <v>21</v>
      </c>
      <c r="D959">
        <v>42</v>
      </c>
      <c r="E959" t="s">
        <v>25</v>
      </c>
      <c r="F959" t="s">
        <v>26</v>
      </c>
      <c r="G959">
        <v>0</v>
      </c>
      <c r="H959" s="1" t="str">
        <f>IF(Table1[[#This Row],[anxiety_score]]&lt;=10, "Normal", IF(Table1[[#This Row],[anxiety_score]]&lt;=20, "Moderate", IF(Table1[[#This Row],[anxiety_score]]&lt;=30, "Severe", "Extremely Severe")))</f>
        <v>Normal</v>
      </c>
      <c r="I959">
        <v>-1.0134224999999999</v>
      </c>
      <c r="J959">
        <v>0</v>
      </c>
      <c r="K959" s="1" t="str">
        <f>IF(Table1[[#This Row],[stress_score]]&lt;=10, "Normal", IF(Table1[[#This Row],[stress_score]]&lt;=20, "Moderate", IF(Table1[[#This Row],[stress_score]]&lt;=30, "Severe", "Extremely Severe")))</f>
        <v>Normal</v>
      </c>
      <c r="L959">
        <v>-1.1624711999999999</v>
      </c>
      <c r="M959">
        <v>0</v>
      </c>
      <c r="N959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959">
        <v>-1.1088359000000001</v>
      </c>
      <c r="P959">
        <v>0</v>
      </c>
      <c r="Q959">
        <f>ROUND(Table1[[#This Row],[dass21_raw_score]],0)</f>
        <v>0</v>
      </c>
      <c r="R959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959">
        <v>-1.0949099</v>
      </c>
      <c r="T959">
        <v>0</v>
      </c>
      <c r="U959">
        <v>6666.6665000000003</v>
      </c>
      <c r="V959" s="1">
        <f>ROUND(Table1[[#This Row],[fmpce]],0)</f>
        <v>6667</v>
      </c>
      <c r="W959">
        <v>90.697760000000002</v>
      </c>
      <c r="X959" s="4">
        <f>Table1[[#This Row],[mpce]]*89</f>
        <v>8072.1006400000006</v>
      </c>
      <c r="Y959" s="2" t="s">
        <v>31</v>
      </c>
      <c r="Z959" s="3">
        <f>VLOOKUP(Y959, rmpce_reference!$B$1:$D$7,3,FALSE) * 89</f>
        <v>8010</v>
      </c>
      <c r="AA959" s="1" t="str">
        <f>IF(Table1[rmpce_inr]&lt;=rmpce_reference!$F$2, "Low Income", IF(Table1[rmpce_inr]&lt;=rmpce_reference!$F$3, "Middle Income", "High Income"))</f>
        <v>High Income</v>
      </c>
    </row>
    <row r="960" spans="1:27" x14ac:dyDescent="0.25">
      <c r="A960">
        <v>5095</v>
      </c>
      <c r="B960" t="s">
        <v>43</v>
      </c>
      <c r="C960" t="s">
        <v>33</v>
      </c>
      <c r="D960">
        <v>27</v>
      </c>
      <c r="E960" t="s">
        <v>25</v>
      </c>
      <c r="F960" t="s">
        <v>30</v>
      </c>
      <c r="G960">
        <v>0</v>
      </c>
      <c r="H960" s="1" t="str">
        <f>IF(Table1[[#This Row],[anxiety_score]]&lt;=10, "Normal", IF(Table1[[#This Row],[anxiety_score]]&lt;=20, "Moderate", IF(Table1[[#This Row],[anxiety_score]]&lt;=30, "Severe", "Extremely Severe")))</f>
        <v>Normal</v>
      </c>
      <c r="I960">
        <v>-1.0134224999999999</v>
      </c>
      <c r="J960">
        <v>0</v>
      </c>
      <c r="K960" s="1" t="str">
        <f>IF(Table1[[#This Row],[stress_score]]&lt;=10, "Normal", IF(Table1[[#This Row],[stress_score]]&lt;=20, "Moderate", IF(Table1[[#This Row],[stress_score]]&lt;=30, "Severe", "Extremely Severe")))</f>
        <v>Normal</v>
      </c>
      <c r="L960">
        <v>-1.1624711999999999</v>
      </c>
      <c r="M960">
        <v>0</v>
      </c>
      <c r="N960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960">
        <v>-1.1088359000000001</v>
      </c>
      <c r="P960">
        <v>0</v>
      </c>
      <c r="Q960">
        <f>ROUND(Table1[[#This Row],[dass21_raw_score]],0)</f>
        <v>0</v>
      </c>
      <c r="R960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960">
        <v>-1.0949099</v>
      </c>
      <c r="T960">
        <v>0</v>
      </c>
      <c r="U960">
        <v>7500</v>
      </c>
      <c r="V960" s="1">
        <f>ROUND(Table1[[#This Row],[fmpce]],0)</f>
        <v>7500</v>
      </c>
      <c r="W960">
        <v>102.03498999999999</v>
      </c>
      <c r="X960" s="4">
        <f>Table1[[#This Row],[mpce]]*89</f>
        <v>9081.1141099999986</v>
      </c>
      <c r="Y960" s="2" t="s">
        <v>35</v>
      </c>
      <c r="Z960" s="3">
        <f>VLOOKUP(Y960, rmpce_reference!$B$1:$D$7,3,FALSE) * 89</f>
        <v>9790</v>
      </c>
      <c r="AA960" s="1" t="str">
        <f>IF(Table1[rmpce_inr]&lt;=rmpce_reference!$F$2, "Low Income", IF(Table1[rmpce_inr]&lt;=rmpce_reference!$F$3, "Middle Income", "High Income"))</f>
        <v>High Income</v>
      </c>
    </row>
    <row r="961" spans="1:27" x14ac:dyDescent="0.25">
      <c r="A961">
        <v>5096</v>
      </c>
      <c r="B961" t="s">
        <v>43</v>
      </c>
      <c r="C961" t="s">
        <v>29</v>
      </c>
      <c r="D961">
        <v>36</v>
      </c>
      <c r="E961" t="s">
        <v>25</v>
      </c>
      <c r="F961" t="s">
        <v>26</v>
      </c>
      <c r="G961">
        <v>0</v>
      </c>
      <c r="H961" s="1" t="str">
        <f>IF(Table1[[#This Row],[anxiety_score]]&lt;=10, "Normal", IF(Table1[[#This Row],[anxiety_score]]&lt;=20, "Moderate", IF(Table1[[#This Row],[anxiety_score]]&lt;=30, "Severe", "Extremely Severe")))</f>
        <v>Normal</v>
      </c>
      <c r="I961">
        <v>-1.0134224999999999</v>
      </c>
      <c r="J961">
        <v>0</v>
      </c>
      <c r="K961" s="1" t="str">
        <f>IF(Table1[[#This Row],[stress_score]]&lt;=10, "Normal", IF(Table1[[#This Row],[stress_score]]&lt;=20, "Moderate", IF(Table1[[#This Row],[stress_score]]&lt;=30, "Severe", "Extremely Severe")))</f>
        <v>Normal</v>
      </c>
      <c r="L961">
        <v>-1.1624711999999999</v>
      </c>
      <c r="M961">
        <v>0</v>
      </c>
      <c r="N961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961">
        <v>-1.1088359000000001</v>
      </c>
      <c r="P961">
        <v>0</v>
      </c>
      <c r="Q961">
        <f>ROUND(Table1[[#This Row],[dass21_raw_score]],0)</f>
        <v>0</v>
      </c>
      <c r="R961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961">
        <v>-1.0949099</v>
      </c>
      <c r="T961">
        <v>0</v>
      </c>
      <c r="U961">
        <v>8333.3330000000005</v>
      </c>
      <c r="V961" s="1">
        <f>ROUND(Table1[[#This Row],[fmpce]],0)</f>
        <v>8333</v>
      </c>
      <c r="W961">
        <v>113.37220000000001</v>
      </c>
      <c r="X961" s="4">
        <f>Table1[[#This Row],[mpce]]*89</f>
        <v>10090.1258</v>
      </c>
      <c r="Y961" s="2" t="s">
        <v>35</v>
      </c>
      <c r="Z961" s="3">
        <f>VLOOKUP(Y961, rmpce_reference!$B$1:$D$7,3,FALSE) * 89</f>
        <v>9790</v>
      </c>
      <c r="AA961" s="1" t="str">
        <f>IF(Table1[rmpce_inr]&lt;=rmpce_reference!$F$2, "Low Income", IF(Table1[rmpce_inr]&lt;=rmpce_reference!$F$3, "Middle Income", "High Income"))</f>
        <v>High Income</v>
      </c>
    </row>
    <row r="962" spans="1:27" x14ac:dyDescent="0.25">
      <c r="A962">
        <v>5097</v>
      </c>
      <c r="B962" t="s">
        <v>43</v>
      </c>
      <c r="C962" t="s">
        <v>29</v>
      </c>
      <c r="D962">
        <v>34</v>
      </c>
      <c r="E962" t="s">
        <v>22</v>
      </c>
      <c r="F962" t="s">
        <v>23</v>
      </c>
      <c r="G962">
        <v>4</v>
      </c>
      <c r="H962" s="1" t="str">
        <f>IF(Table1[[#This Row],[anxiety_score]]&lt;=10, "Normal", IF(Table1[[#This Row],[anxiety_score]]&lt;=20, "Moderate", IF(Table1[[#This Row],[anxiety_score]]&lt;=30, "Severe", "Extremely Severe")))</f>
        <v>Normal</v>
      </c>
      <c r="I962">
        <v>-0.61133329999999997</v>
      </c>
      <c r="J962">
        <v>0</v>
      </c>
      <c r="K962" s="1" t="str">
        <f>IF(Table1[[#This Row],[stress_score]]&lt;=10, "Normal", IF(Table1[[#This Row],[stress_score]]&lt;=20, "Moderate", IF(Table1[[#This Row],[stress_score]]&lt;=30, "Severe", "Extremely Severe")))</f>
        <v>Normal</v>
      </c>
      <c r="L962">
        <v>-1.1624711999999999</v>
      </c>
      <c r="M962">
        <v>8</v>
      </c>
      <c r="N962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962">
        <v>-0.33828637</v>
      </c>
      <c r="P962">
        <v>4</v>
      </c>
      <c r="Q962">
        <f>ROUND(Table1[[#This Row],[dass21_raw_score]],0)</f>
        <v>4</v>
      </c>
      <c r="R962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962">
        <v>-0.7040303</v>
      </c>
      <c r="T962">
        <v>0.39087962999999998</v>
      </c>
      <c r="U962">
        <v>3000</v>
      </c>
      <c r="V962" s="1">
        <f>ROUND(Table1[[#This Row],[fmpce]],0)</f>
        <v>3000</v>
      </c>
      <c r="W962">
        <v>40.813994999999998</v>
      </c>
      <c r="X962" s="4">
        <f>Table1[[#This Row],[mpce]]*89</f>
        <v>3632.4455549999998</v>
      </c>
      <c r="Y962" s="2" t="s">
        <v>32</v>
      </c>
      <c r="Z962" s="3">
        <f>VLOOKUP(Y962, rmpce_reference!$B$1:$D$7,3,FALSE) * 89</f>
        <v>4450</v>
      </c>
      <c r="AA962" s="1" t="str">
        <f>IF(Table1[rmpce_inr]&lt;=rmpce_reference!$F$2, "Low Income", IF(Table1[rmpce_inr]&lt;=rmpce_reference!$F$3, "Middle Income", "High Income"))</f>
        <v>Low Income</v>
      </c>
    </row>
    <row r="963" spans="1:27" x14ac:dyDescent="0.25">
      <c r="A963">
        <v>5098</v>
      </c>
      <c r="B963" t="s">
        <v>43</v>
      </c>
      <c r="C963" t="s">
        <v>29</v>
      </c>
      <c r="D963">
        <v>40</v>
      </c>
      <c r="E963" t="s">
        <v>25</v>
      </c>
      <c r="F963" t="s">
        <v>26</v>
      </c>
      <c r="G963">
        <v>0</v>
      </c>
      <c r="H963" s="1" t="str">
        <f>IF(Table1[[#This Row],[anxiety_score]]&lt;=10, "Normal", IF(Table1[[#This Row],[anxiety_score]]&lt;=20, "Moderate", IF(Table1[[#This Row],[anxiety_score]]&lt;=30, "Severe", "Extremely Severe")))</f>
        <v>Normal</v>
      </c>
      <c r="I963">
        <v>-1.0134224999999999</v>
      </c>
      <c r="J963">
        <v>0</v>
      </c>
      <c r="K963" s="1" t="str">
        <f>IF(Table1[[#This Row],[stress_score]]&lt;=10, "Normal", IF(Table1[[#This Row],[stress_score]]&lt;=20, "Moderate", IF(Table1[[#This Row],[stress_score]]&lt;=30, "Severe", "Extremely Severe")))</f>
        <v>Normal</v>
      </c>
      <c r="L963">
        <v>-1.1624711999999999</v>
      </c>
      <c r="M963">
        <v>0</v>
      </c>
      <c r="N963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963">
        <v>-1.1088359000000001</v>
      </c>
      <c r="P963">
        <v>0</v>
      </c>
      <c r="Q963">
        <f>ROUND(Table1[[#This Row],[dass21_raw_score]],0)</f>
        <v>0</v>
      </c>
      <c r="R963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963">
        <v>-1.0949099</v>
      </c>
      <c r="T963">
        <v>0</v>
      </c>
      <c r="U963">
        <v>7500</v>
      </c>
      <c r="V963" s="1">
        <f>ROUND(Table1[[#This Row],[fmpce]],0)</f>
        <v>7500</v>
      </c>
      <c r="W963">
        <v>102.03498999999999</v>
      </c>
      <c r="X963" s="4">
        <f>Table1[[#This Row],[mpce]]*89</f>
        <v>9081.1141099999986</v>
      </c>
      <c r="Y963" s="2" t="s">
        <v>35</v>
      </c>
      <c r="Z963" s="3">
        <f>VLOOKUP(Y963, rmpce_reference!$B$1:$D$7,3,FALSE) * 89</f>
        <v>9790</v>
      </c>
      <c r="AA963" s="1" t="str">
        <f>IF(Table1[rmpce_inr]&lt;=rmpce_reference!$F$2, "Low Income", IF(Table1[rmpce_inr]&lt;=rmpce_reference!$F$3, "Middle Income", "High Income"))</f>
        <v>High Income</v>
      </c>
    </row>
    <row r="964" spans="1:27" x14ac:dyDescent="0.25">
      <c r="A964">
        <v>5099</v>
      </c>
      <c r="B964" t="s">
        <v>43</v>
      </c>
      <c r="C964" t="s">
        <v>21</v>
      </c>
      <c r="D964">
        <v>47</v>
      </c>
      <c r="E964" t="s">
        <v>22</v>
      </c>
      <c r="F964" t="s">
        <v>23</v>
      </c>
      <c r="G964">
        <v>2</v>
      </c>
      <c r="H964" s="1" t="str">
        <f>IF(Table1[[#This Row],[anxiety_score]]&lt;=10, "Normal", IF(Table1[[#This Row],[anxiety_score]]&lt;=20, "Moderate", IF(Table1[[#This Row],[anxiety_score]]&lt;=30, "Severe", "Extremely Severe")))</f>
        <v>Normal</v>
      </c>
      <c r="I964">
        <v>-0.81237789999999999</v>
      </c>
      <c r="J964">
        <v>0</v>
      </c>
      <c r="K964" s="1" t="str">
        <f>IF(Table1[[#This Row],[stress_score]]&lt;=10, "Normal", IF(Table1[[#This Row],[stress_score]]&lt;=20, "Moderate", IF(Table1[[#This Row],[stress_score]]&lt;=30, "Severe", "Extremely Severe")))</f>
        <v>Normal</v>
      </c>
      <c r="L964">
        <v>-1.1624711999999999</v>
      </c>
      <c r="M964">
        <v>0</v>
      </c>
      <c r="N964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964">
        <v>-1.1088359000000001</v>
      </c>
      <c r="P964">
        <v>0.66666669999999995</v>
      </c>
      <c r="Q964">
        <f>ROUND(Table1[[#This Row],[dass21_raw_score]],0)</f>
        <v>1</v>
      </c>
      <c r="R964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964">
        <v>-1.027895</v>
      </c>
      <c r="T964">
        <v>6.701493E-2</v>
      </c>
      <c r="U964">
        <v>6666.6665000000003</v>
      </c>
      <c r="V964" s="1">
        <f>ROUND(Table1[[#This Row],[fmpce]],0)</f>
        <v>6667</v>
      </c>
      <c r="W964">
        <v>90.697760000000002</v>
      </c>
      <c r="X964" s="4">
        <f>Table1[[#This Row],[mpce]]*89</f>
        <v>8072.1006400000006</v>
      </c>
      <c r="Y964" s="2" t="s">
        <v>31</v>
      </c>
      <c r="Z964" s="3">
        <f>VLOOKUP(Y964, rmpce_reference!$B$1:$D$7,3,FALSE) * 89</f>
        <v>8010</v>
      </c>
      <c r="AA964" s="1" t="str">
        <f>IF(Table1[rmpce_inr]&lt;=rmpce_reference!$F$2, "Low Income", IF(Table1[rmpce_inr]&lt;=rmpce_reference!$F$3, "Middle Income", "High Income"))</f>
        <v>High Income</v>
      </c>
    </row>
    <row r="965" spans="1:27" x14ac:dyDescent="0.25">
      <c r="A965">
        <v>5100</v>
      </c>
      <c r="B965" t="s">
        <v>43</v>
      </c>
      <c r="C965" t="s">
        <v>29</v>
      </c>
      <c r="D965">
        <v>34</v>
      </c>
      <c r="E965" t="s">
        <v>25</v>
      </c>
      <c r="F965" t="s">
        <v>23</v>
      </c>
      <c r="G965">
        <v>0</v>
      </c>
      <c r="H965" s="1" t="str">
        <f>IF(Table1[[#This Row],[anxiety_score]]&lt;=10, "Normal", IF(Table1[[#This Row],[anxiety_score]]&lt;=20, "Moderate", IF(Table1[[#This Row],[anxiety_score]]&lt;=30, "Severe", "Extremely Severe")))</f>
        <v>Normal</v>
      </c>
      <c r="I965">
        <v>-1.0134224999999999</v>
      </c>
      <c r="J965">
        <v>14</v>
      </c>
      <c r="K965" s="1" t="str">
        <f>IF(Table1[[#This Row],[stress_score]]&lt;=10, "Normal", IF(Table1[[#This Row],[stress_score]]&lt;=20, "Moderate", IF(Table1[[#This Row],[stress_score]]&lt;=30, "Severe", "Extremely Severe")))</f>
        <v>Moderate</v>
      </c>
      <c r="L965">
        <v>0.20015757000000001</v>
      </c>
      <c r="M965">
        <v>10</v>
      </c>
      <c r="N965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965">
        <v>-0.14564899000000001</v>
      </c>
      <c r="P965">
        <v>8</v>
      </c>
      <c r="Q965">
        <f>ROUND(Table1[[#This Row],[dass21_raw_score]],0)</f>
        <v>8</v>
      </c>
      <c r="R965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965">
        <v>-0.31963795</v>
      </c>
      <c r="T965">
        <v>0.77527195000000004</v>
      </c>
      <c r="U965">
        <v>8333.3330000000005</v>
      </c>
      <c r="V965" s="1">
        <f>ROUND(Table1[[#This Row],[fmpce]],0)</f>
        <v>8333</v>
      </c>
      <c r="W965">
        <v>113.37220000000001</v>
      </c>
      <c r="X965" s="4">
        <f>Table1[[#This Row],[mpce]]*89</f>
        <v>10090.1258</v>
      </c>
      <c r="Y965" s="2" t="s">
        <v>35</v>
      </c>
      <c r="Z965" s="3">
        <f>VLOOKUP(Y965, rmpce_reference!$B$1:$D$7,3,FALSE) * 89</f>
        <v>9790</v>
      </c>
      <c r="AA965" s="1" t="str">
        <f>IF(Table1[rmpce_inr]&lt;=rmpce_reference!$F$2, "Low Income", IF(Table1[rmpce_inr]&lt;=rmpce_reference!$F$3, "Middle Income", "High Income"))</f>
        <v>High Income</v>
      </c>
    </row>
    <row r="966" spans="1:27" x14ac:dyDescent="0.25">
      <c r="A966">
        <v>5101</v>
      </c>
      <c r="B966" t="s">
        <v>43</v>
      </c>
      <c r="C966" t="s">
        <v>21</v>
      </c>
      <c r="D966">
        <v>42</v>
      </c>
      <c r="E966" t="s">
        <v>25</v>
      </c>
      <c r="F966" t="s">
        <v>26</v>
      </c>
      <c r="G966">
        <v>6</v>
      </c>
      <c r="H966" s="1" t="str">
        <f>IF(Table1[[#This Row],[anxiety_score]]&lt;=10, "Normal", IF(Table1[[#This Row],[anxiety_score]]&lt;=20, "Moderate", IF(Table1[[#This Row],[anxiety_score]]&lt;=30, "Severe", "Extremely Severe")))</f>
        <v>Normal</v>
      </c>
      <c r="I966">
        <v>-0.41028870000000001</v>
      </c>
      <c r="J966">
        <v>8</v>
      </c>
      <c r="K966" s="1" t="str">
        <f>IF(Table1[[#This Row],[stress_score]]&lt;=10, "Normal", IF(Table1[[#This Row],[stress_score]]&lt;=20, "Moderate", IF(Table1[[#This Row],[stress_score]]&lt;=30, "Severe", "Extremely Severe")))</f>
        <v>Normal</v>
      </c>
      <c r="L966">
        <v>-0.38382620000000001</v>
      </c>
      <c r="M966">
        <v>8</v>
      </c>
      <c r="N966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966">
        <v>-0.33828637</v>
      </c>
      <c r="P966">
        <v>7.3333335000000002</v>
      </c>
      <c r="Q966">
        <f>ROUND(Table1[[#This Row],[dass21_raw_score]],0)</f>
        <v>7</v>
      </c>
      <c r="R966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966">
        <v>-0.3774671</v>
      </c>
      <c r="T966">
        <v>0.71744280000000005</v>
      </c>
      <c r="U966">
        <v>6666.6665000000003</v>
      </c>
      <c r="V966" s="1">
        <f>ROUND(Table1[[#This Row],[fmpce]],0)</f>
        <v>6667</v>
      </c>
      <c r="W966">
        <v>90.697760000000002</v>
      </c>
      <c r="X966" s="4">
        <f>Table1[[#This Row],[mpce]]*89</f>
        <v>8072.1006400000006</v>
      </c>
      <c r="Y966" s="2" t="s">
        <v>31</v>
      </c>
      <c r="Z966" s="3">
        <f>VLOOKUP(Y966, rmpce_reference!$B$1:$D$7,3,FALSE) * 89</f>
        <v>8010</v>
      </c>
      <c r="AA966" s="1" t="str">
        <f>IF(Table1[rmpce_inr]&lt;=rmpce_reference!$F$2, "Low Income", IF(Table1[rmpce_inr]&lt;=rmpce_reference!$F$3, "Middle Income", "High Income"))</f>
        <v>High Income</v>
      </c>
    </row>
    <row r="967" spans="1:27" x14ac:dyDescent="0.25">
      <c r="A967">
        <v>5102</v>
      </c>
      <c r="B967" t="s">
        <v>43</v>
      </c>
      <c r="C967" t="s">
        <v>36</v>
      </c>
      <c r="D967">
        <v>53</v>
      </c>
      <c r="E967" t="s">
        <v>25</v>
      </c>
      <c r="F967" t="s">
        <v>30</v>
      </c>
      <c r="G967">
        <v>0</v>
      </c>
      <c r="H967" s="1" t="str">
        <f>IF(Table1[[#This Row],[anxiety_score]]&lt;=10, "Normal", IF(Table1[[#This Row],[anxiety_score]]&lt;=20, "Moderate", IF(Table1[[#This Row],[anxiety_score]]&lt;=30, "Severe", "Extremely Severe")))</f>
        <v>Normal</v>
      </c>
      <c r="I967">
        <v>-1.0134224999999999</v>
      </c>
      <c r="J967">
        <v>2</v>
      </c>
      <c r="K967" s="1" t="str">
        <f>IF(Table1[[#This Row],[stress_score]]&lt;=10, "Normal", IF(Table1[[#This Row],[stress_score]]&lt;=20, "Moderate", IF(Table1[[#This Row],[stress_score]]&lt;=30, "Severe", "Extremely Severe")))</f>
        <v>Normal</v>
      </c>
      <c r="L967">
        <v>-0.9678099</v>
      </c>
      <c r="M967">
        <v>6</v>
      </c>
      <c r="N967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967">
        <v>-0.53092379999999995</v>
      </c>
      <c r="P967">
        <v>2.6666666999999999</v>
      </c>
      <c r="Q967">
        <f>ROUND(Table1[[#This Row],[dass21_raw_score]],0)</f>
        <v>3</v>
      </c>
      <c r="R967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967">
        <v>-0.83738539999999995</v>
      </c>
      <c r="T967">
        <v>0.25752449999999999</v>
      </c>
      <c r="U967">
        <v>12857.143</v>
      </c>
      <c r="V967" s="1">
        <f>ROUND(Table1[[#This Row],[fmpce]],0)</f>
        <v>12857</v>
      </c>
      <c r="W967">
        <v>174.91711000000001</v>
      </c>
      <c r="X967" s="4">
        <f>Table1[[#This Row],[mpce]]*89</f>
        <v>15567.622790000001</v>
      </c>
      <c r="Y967" s="2" t="s">
        <v>35</v>
      </c>
      <c r="Z967" s="3">
        <f>VLOOKUP(Y967, rmpce_reference!$B$1:$D$7,3,FALSE) * 89</f>
        <v>9790</v>
      </c>
      <c r="AA967" s="1" t="str">
        <f>IF(Table1[rmpce_inr]&lt;=rmpce_reference!$F$2, "Low Income", IF(Table1[rmpce_inr]&lt;=rmpce_reference!$F$3, "Middle Income", "High Income"))</f>
        <v>High Income</v>
      </c>
    </row>
    <row r="968" spans="1:27" x14ac:dyDescent="0.25">
      <c r="A968">
        <v>5103</v>
      </c>
      <c r="B968" t="s">
        <v>43</v>
      </c>
      <c r="C968" t="s">
        <v>21</v>
      </c>
      <c r="D968">
        <v>49</v>
      </c>
      <c r="E968" t="s">
        <v>22</v>
      </c>
      <c r="F968" t="s">
        <v>30</v>
      </c>
      <c r="G968">
        <v>4</v>
      </c>
      <c r="H968" s="1" t="str">
        <f>IF(Table1[[#This Row],[anxiety_score]]&lt;=10, "Normal", IF(Table1[[#This Row],[anxiety_score]]&lt;=20, "Moderate", IF(Table1[[#This Row],[anxiety_score]]&lt;=30, "Severe", "Extremely Severe")))</f>
        <v>Normal</v>
      </c>
      <c r="I968">
        <v>-0.61133329999999997</v>
      </c>
      <c r="J968">
        <v>8</v>
      </c>
      <c r="K968" s="1" t="str">
        <f>IF(Table1[[#This Row],[stress_score]]&lt;=10, "Normal", IF(Table1[[#This Row],[stress_score]]&lt;=20, "Moderate", IF(Table1[[#This Row],[stress_score]]&lt;=30, "Severe", "Extremely Severe")))</f>
        <v>Normal</v>
      </c>
      <c r="L968">
        <v>-0.38382620000000001</v>
      </c>
      <c r="M968">
        <v>6</v>
      </c>
      <c r="N968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968">
        <v>-0.53092379999999995</v>
      </c>
      <c r="P968">
        <v>6</v>
      </c>
      <c r="Q968">
        <f>ROUND(Table1[[#This Row],[dass21_raw_score]],0)</f>
        <v>6</v>
      </c>
      <c r="R968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968">
        <v>-0.50869439999999999</v>
      </c>
      <c r="T968">
        <v>0.5862155</v>
      </c>
      <c r="U968">
        <v>3000</v>
      </c>
      <c r="V968" s="1">
        <f>ROUND(Table1[[#This Row],[fmpce]],0)</f>
        <v>3000</v>
      </c>
      <c r="W968">
        <v>40.813994999999998</v>
      </c>
      <c r="X968" s="4">
        <f>Table1[[#This Row],[mpce]]*89</f>
        <v>3632.4455549999998</v>
      </c>
      <c r="Y968" s="2" t="s">
        <v>32</v>
      </c>
      <c r="Z968" s="3">
        <f>VLOOKUP(Y968, rmpce_reference!$B$1:$D$7,3,FALSE) * 89</f>
        <v>4450</v>
      </c>
      <c r="AA968" s="1" t="str">
        <f>IF(Table1[rmpce_inr]&lt;=rmpce_reference!$F$2, "Low Income", IF(Table1[rmpce_inr]&lt;=rmpce_reference!$F$3, "Middle Income", "High Income"))</f>
        <v>Low Income</v>
      </c>
    </row>
    <row r="969" spans="1:27" x14ac:dyDescent="0.25">
      <c r="A969">
        <v>5104</v>
      </c>
      <c r="B969" t="s">
        <v>43</v>
      </c>
      <c r="C969" t="s">
        <v>33</v>
      </c>
      <c r="D969">
        <v>29</v>
      </c>
      <c r="E969" t="s">
        <v>22</v>
      </c>
      <c r="F969" t="s">
        <v>30</v>
      </c>
      <c r="G969">
        <v>0</v>
      </c>
      <c r="H969" s="1" t="str">
        <f>IF(Table1[[#This Row],[anxiety_score]]&lt;=10, "Normal", IF(Table1[[#This Row],[anxiety_score]]&lt;=20, "Moderate", IF(Table1[[#This Row],[anxiety_score]]&lt;=30, "Severe", "Extremely Severe")))</f>
        <v>Normal</v>
      </c>
      <c r="I969">
        <v>-1.0134224999999999</v>
      </c>
      <c r="J969">
        <v>2</v>
      </c>
      <c r="K969" s="1" t="str">
        <f>IF(Table1[[#This Row],[stress_score]]&lt;=10, "Normal", IF(Table1[[#This Row],[stress_score]]&lt;=20, "Moderate", IF(Table1[[#This Row],[stress_score]]&lt;=30, "Severe", "Extremely Severe")))</f>
        <v>Normal</v>
      </c>
      <c r="L969">
        <v>-0.9678099</v>
      </c>
      <c r="M969">
        <v>4</v>
      </c>
      <c r="N969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969">
        <v>-0.72356116999999998</v>
      </c>
      <c r="P969">
        <v>2</v>
      </c>
      <c r="Q969">
        <f>ROUND(Table1[[#This Row],[dass21_raw_score]],0)</f>
        <v>2</v>
      </c>
      <c r="R969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969">
        <v>-0.90159785999999997</v>
      </c>
      <c r="T969">
        <v>0.19331205000000001</v>
      </c>
      <c r="U969">
        <v>5500</v>
      </c>
      <c r="V969" s="1">
        <f>ROUND(Table1[[#This Row],[fmpce]],0)</f>
        <v>5500</v>
      </c>
      <c r="W969">
        <v>74.825649999999996</v>
      </c>
      <c r="X969" s="4">
        <f>Table1[[#This Row],[mpce]]*89</f>
        <v>6659.4828499999994</v>
      </c>
      <c r="Y969" s="2" t="s">
        <v>28</v>
      </c>
      <c r="Z969" s="3">
        <f>VLOOKUP(Y969, rmpce_reference!$B$1:$D$7,3,FALSE) * 89</f>
        <v>6230</v>
      </c>
      <c r="AA969" s="1" t="str">
        <f>IF(Table1[rmpce_inr]&lt;=rmpce_reference!$F$2, "Low Income", IF(Table1[rmpce_inr]&lt;=rmpce_reference!$F$3, "Middle Income", "High Income"))</f>
        <v>Middle Income</v>
      </c>
    </row>
    <row r="970" spans="1:27" x14ac:dyDescent="0.25">
      <c r="A970">
        <v>5105</v>
      </c>
      <c r="B970" t="s">
        <v>43</v>
      </c>
      <c r="C970" t="s">
        <v>33</v>
      </c>
      <c r="D970">
        <v>25</v>
      </c>
      <c r="E970" t="s">
        <v>25</v>
      </c>
      <c r="F970" t="s">
        <v>26</v>
      </c>
      <c r="G970">
        <v>2</v>
      </c>
      <c r="H970" s="1" t="str">
        <f>IF(Table1[[#This Row],[anxiety_score]]&lt;=10, "Normal", IF(Table1[[#This Row],[anxiety_score]]&lt;=20, "Moderate", IF(Table1[[#This Row],[anxiety_score]]&lt;=30, "Severe", "Extremely Severe")))</f>
        <v>Normal</v>
      </c>
      <c r="I970">
        <v>-0.81237789999999999</v>
      </c>
      <c r="J970">
        <v>14</v>
      </c>
      <c r="K970" s="1" t="str">
        <f>IF(Table1[[#This Row],[stress_score]]&lt;=10, "Normal", IF(Table1[[#This Row],[stress_score]]&lt;=20, "Moderate", IF(Table1[[#This Row],[stress_score]]&lt;=30, "Severe", "Extremely Severe")))</f>
        <v>Moderate</v>
      </c>
      <c r="L970">
        <v>0.20015757000000001</v>
      </c>
      <c r="M970">
        <v>12</v>
      </c>
      <c r="N970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970">
        <v>4.6988415999999998E-2</v>
      </c>
      <c r="P970">
        <v>9.3333329999999997</v>
      </c>
      <c r="Q970">
        <f>ROUND(Table1[[#This Row],[dass21_raw_score]],0)</f>
        <v>9</v>
      </c>
      <c r="R970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970">
        <v>-0.18841065000000001</v>
      </c>
      <c r="T970">
        <v>0.90649926999999997</v>
      </c>
      <c r="U970">
        <v>0</v>
      </c>
      <c r="V970" s="1">
        <f>ROUND(Table1[[#This Row],[fmpce]],0)</f>
        <v>0</v>
      </c>
      <c r="W970">
        <v>0</v>
      </c>
      <c r="X970" s="4">
        <f>Table1[[#This Row],[mpce]]*89</f>
        <v>0</v>
      </c>
      <c r="Y970" s="2" t="s">
        <v>24</v>
      </c>
      <c r="Z970" s="3">
        <f>VLOOKUP(Y970, rmpce_reference!$B$1:$D$7,3,FALSE) * 89</f>
        <v>2225</v>
      </c>
      <c r="AA970" s="1" t="str">
        <f>IF(Table1[rmpce_inr]&lt;=rmpce_reference!$F$2, "Low Income", IF(Table1[rmpce_inr]&lt;=rmpce_reference!$F$3, "Middle Income", "High Income"))</f>
        <v>Low Income</v>
      </c>
    </row>
    <row r="971" spans="1:27" x14ac:dyDescent="0.25">
      <c r="A971">
        <v>5106</v>
      </c>
      <c r="B971" t="s">
        <v>43</v>
      </c>
      <c r="C971" t="s">
        <v>21</v>
      </c>
      <c r="D971">
        <v>49</v>
      </c>
      <c r="E971" t="s">
        <v>25</v>
      </c>
      <c r="F971" t="s">
        <v>26</v>
      </c>
      <c r="G971">
        <v>2</v>
      </c>
      <c r="H971" s="1" t="str">
        <f>IF(Table1[[#This Row],[anxiety_score]]&lt;=10, "Normal", IF(Table1[[#This Row],[anxiety_score]]&lt;=20, "Moderate", IF(Table1[[#This Row],[anxiety_score]]&lt;=30, "Severe", "Extremely Severe")))</f>
        <v>Normal</v>
      </c>
      <c r="I971">
        <v>-0.81237789999999999</v>
      </c>
      <c r="J971">
        <v>0</v>
      </c>
      <c r="K971" s="1" t="str">
        <f>IF(Table1[[#This Row],[stress_score]]&lt;=10, "Normal", IF(Table1[[#This Row],[stress_score]]&lt;=20, "Moderate", IF(Table1[[#This Row],[stress_score]]&lt;=30, "Severe", "Extremely Severe")))</f>
        <v>Normal</v>
      </c>
      <c r="L971">
        <v>-1.1624711999999999</v>
      </c>
      <c r="M971">
        <v>0</v>
      </c>
      <c r="N971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971">
        <v>-1.1088359000000001</v>
      </c>
      <c r="P971">
        <v>0.66666669999999995</v>
      </c>
      <c r="Q971">
        <f>ROUND(Table1[[#This Row],[dass21_raw_score]],0)</f>
        <v>1</v>
      </c>
      <c r="R971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971">
        <v>-1.027895</v>
      </c>
      <c r="T971">
        <v>6.701493E-2</v>
      </c>
      <c r="U971">
        <v>7500</v>
      </c>
      <c r="V971" s="1">
        <f>ROUND(Table1[[#This Row],[fmpce]],0)</f>
        <v>7500</v>
      </c>
      <c r="W971">
        <v>102.03498999999999</v>
      </c>
      <c r="X971" s="4">
        <f>Table1[[#This Row],[mpce]]*89</f>
        <v>9081.1141099999986</v>
      </c>
      <c r="Y971" s="2" t="s">
        <v>35</v>
      </c>
      <c r="Z971" s="3">
        <f>VLOOKUP(Y971, rmpce_reference!$B$1:$D$7,3,FALSE) * 89</f>
        <v>9790</v>
      </c>
      <c r="AA971" s="1" t="str">
        <f>IF(Table1[rmpce_inr]&lt;=rmpce_reference!$F$2, "Low Income", IF(Table1[rmpce_inr]&lt;=rmpce_reference!$F$3, "Middle Income", "High Income"))</f>
        <v>High Income</v>
      </c>
    </row>
    <row r="972" spans="1:27" x14ac:dyDescent="0.25">
      <c r="A972">
        <v>5107</v>
      </c>
      <c r="B972" t="s">
        <v>43</v>
      </c>
      <c r="C972" t="s">
        <v>21</v>
      </c>
      <c r="D972">
        <v>45</v>
      </c>
      <c r="E972" t="s">
        <v>22</v>
      </c>
      <c r="F972" t="s">
        <v>23</v>
      </c>
      <c r="G972">
        <v>4</v>
      </c>
      <c r="H972" s="1" t="str">
        <f>IF(Table1[[#This Row],[anxiety_score]]&lt;=10, "Normal", IF(Table1[[#This Row],[anxiety_score]]&lt;=20, "Moderate", IF(Table1[[#This Row],[anxiety_score]]&lt;=30, "Severe", "Extremely Severe")))</f>
        <v>Normal</v>
      </c>
      <c r="I972">
        <v>-0.61133329999999997</v>
      </c>
      <c r="J972">
        <v>24</v>
      </c>
      <c r="K972" s="1" t="str">
        <f>IF(Table1[[#This Row],[stress_score]]&lt;=10, "Normal", IF(Table1[[#This Row],[stress_score]]&lt;=20, "Moderate", IF(Table1[[#This Row],[stress_score]]&lt;=30, "Severe", "Extremely Severe")))</f>
        <v>Severe</v>
      </c>
      <c r="L972">
        <v>1.1734637999999999</v>
      </c>
      <c r="M972">
        <v>14</v>
      </c>
      <c r="N972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972">
        <v>0.23962580999999999</v>
      </c>
      <c r="P972">
        <v>14</v>
      </c>
      <c r="Q972">
        <f>ROUND(Table1[[#This Row],[dass21_raw_score]],0)</f>
        <v>14</v>
      </c>
      <c r="R972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972">
        <v>0.26725211999999998</v>
      </c>
      <c r="T972">
        <v>1.3621620000000001</v>
      </c>
      <c r="U972">
        <v>0</v>
      </c>
      <c r="V972" s="1">
        <f>ROUND(Table1[[#This Row],[fmpce]],0)</f>
        <v>0</v>
      </c>
      <c r="W972">
        <v>0</v>
      </c>
      <c r="X972" s="4">
        <f>Table1[[#This Row],[mpce]]*89</f>
        <v>0</v>
      </c>
      <c r="Y972" s="2" t="s">
        <v>24</v>
      </c>
      <c r="Z972" s="3">
        <f>VLOOKUP(Y972, rmpce_reference!$B$1:$D$7,3,FALSE) * 89</f>
        <v>2225</v>
      </c>
      <c r="AA972" s="1" t="str">
        <f>IF(Table1[rmpce_inr]&lt;=rmpce_reference!$F$2, "Low Income", IF(Table1[rmpce_inr]&lt;=rmpce_reference!$F$3, "Middle Income", "High Income"))</f>
        <v>Low Income</v>
      </c>
    </row>
    <row r="973" spans="1:27" x14ac:dyDescent="0.25">
      <c r="A973">
        <v>5108</v>
      </c>
      <c r="B973" t="s">
        <v>43</v>
      </c>
      <c r="C973" t="s">
        <v>36</v>
      </c>
      <c r="D973">
        <v>52</v>
      </c>
      <c r="E973" t="s">
        <v>25</v>
      </c>
      <c r="F973" t="s">
        <v>26</v>
      </c>
      <c r="G973">
        <v>0</v>
      </c>
      <c r="H973" s="1" t="str">
        <f>IF(Table1[[#This Row],[anxiety_score]]&lt;=10, "Normal", IF(Table1[[#This Row],[anxiety_score]]&lt;=20, "Moderate", IF(Table1[[#This Row],[anxiety_score]]&lt;=30, "Severe", "Extremely Severe")))</f>
        <v>Normal</v>
      </c>
      <c r="I973">
        <v>-1.0134224999999999</v>
      </c>
      <c r="J973">
        <v>0</v>
      </c>
      <c r="K973" s="1" t="str">
        <f>IF(Table1[[#This Row],[stress_score]]&lt;=10, "Normal", IF(Table1[[#This Row],[stress_score]]&lt;=20, "Moderate", IF(Table1[[#This Row],[stress_score]]&lt;=30, "Severe", "Extremely Severe")))</f>
        <v>Normal</v>
      </c>
      <c r="L973">
        <v>-1.1624711999999999</v>
      </c>
      <c r="M973">
        <v>2</v>
      </c>
      <c r="N973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973">
        <v>-0.91619854999999994</v>
      </c>
      <c r="P973">
        <v>0.66666669999999995</v>
      </c>
      <c r="Q973">
        <f>ROUND(Table1[[#This Row],[dass21_raw_score]],0)</f>
        <v>1</v>
      </c>
      <c r="R973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973">
        <v>-1.0306972999999999</v>
      </c>
      <c r="T973">
        <v>6.4212560000000002E-2</v>
      </c>
      <c r="U973">
        <v>0</v>
      </c>
      <c r="V973" s="1">
        <f>ROUND(Table1[[#This Row],[fmpce]],0)</f>
        <v>0</v>
      </c>
      <c r="W973">
        <v>0</v>
      </c>
      <c r="X973" s="4">
        <f>Table1[[#This Row],[mpce]]*89</f>
        <v>0</v>
      </c>
      <c r="Y973" s="2" t="s">
        <v>24</v>
      </c>
      <c r="Z973" s="3">
        <f>VLOOKUP(Y973, rmpce_reference!$B$1:$D$7,3,FALSE) * 89</f>
        <v>2225</v>
      </c>
      <c r="AA973" s="1" t="str">
        <f>IF(Table1[rmpce_inr]&lt;=rmpce_reference!$F$2, "Low Income", IF(Table1[rmpce_inr]&lt;=rmpce_reference!$F$3, "Middle Income", "High Income"))</f>
        <v>Low Income</v>
      </c>
    </row>
    <row r="974" spans="1:27" x14ac:dyDescent="0.25">
      <c r="A974">
        <v>5109</v>
      </c>
      <c r="B974" t="s">
        <v>43</v>
      </c>
      <c r="C974" t="s">
        <v>21</v>
      </c>
      <c r="D974">
        <v>45</v>
      </c>
      <c r="E974" t="s">
        <v>25</v>
      </c>
      <c r="F974" t="s">
        <v>30</v>
      </c>
      <c r="G974">
        <v>0</v>
      </c>
      <c r="H974" s="1" t="str">
        <f>IF(Table1[[#This Row],[anxiety_score]]&lt;=10, "Normal", IF(Table1[[#This Row],[anxiety_score]]&lt;=20, "Moderate", IF(Table1[[#This Row],[anxiety_score]]&lt;=30, "Severe", "Extremely Severe")))</f>
        <v>Normal</v>
      </c>
      <c r="I974">
        <v>-1.0134224999999999</v>
      </c>
      <c r="J974">
        <v>0</v>
      </c>
      <c r="K974" s="1" t="str">
        <f>IF(Table1[[#This Row],[stress_score]]&lt;=10, "Normal", IF(Table1[[#This Row],[stress_score]]&lt;=20, "Moderate", IF(Table1[[#This Row],[stress_score]]&lt;=30, "Severe", "Extremely Severe")))</f>
        <v>Normal</v>
      </c>
      <c r="L974">
        <v>-1.1624711999999999</v>
      </c>
      <c r="M974">
        <v>0</v>
      </c>
      <c r="N974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974">
        <v>-1.1088359000000001</v>
      </c>
      <c r="P974">
        <v>0</v>
      </c>
      <c r="Q974">
        <f>ROUND(Table1[[#This Row],[dass21_raw_score]],0)</f>
        <v>0</v>
      </c>
      <c r="R974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974">
        <v>-1.0949099</v>
      </c>
      <c r="T974">
        <v>0</v>
      </c>
      <c r="U974">
        <v>11666.666999999999</v>
      </c>
      <c r="V974" s="1">
        <f>ROUND(Table1[[#This Row],[fmpce]],0)</f>
        <v>11667</v>
      </c>
      <c r="W974">
        <v>158.72110000000001</v>
      </c>
      <c r="X974" s="4">
        <f>Table1[[#This Row],[mpce]]*89</f>
        <v>14126.177900000001</v>
      </c>
      <c r="Y974" s="2" t="s">
        <v>35</v>
      </c>
      <c r="Z974" s="3">
        <f>VLOOKUP(Y974, rmpce_reference!$B$1:$D$7,3,FALSE) * 89</f>
        <v>9790</v>
      </c>
      <c r="AA974" s="1" t="str">
        <f>IF(Table1[rmpce_inr]&lt;=rmpce_reference!$F$2, "Low Income", IF(Table1[rmpce_inr]&lt;=rmpce_reference!$F$3, "Middle Income", "High Income"))</f>
        <v>High Income</v>
      </c>
    </row>
    <row r="975" spans="1:27" x14ac:dyDescent="0.25">
      <c r="A975">
        <v>5110</v>
      </c>
      <c r="B975" t="s">
        <v>43</v>
      </c>
      <c r="C975" t="s">
        <v>21</v>
      </c>
      <c r="D975">
        <v>47</v>
      </c>
      <c r="E975" t="s">
        <v>25</v>
      </c>
      <c r="F975" t="s">
        <v>26</v>
      </c>
      <c r="G975">
        <v>2</v>
      </c>
      <c r="H975" s="1" t="str">
        <f>IF(Table1[[#This Row],[anxiety_score]]&lt;=10, "Normal", IF(Table1[[#This Row],[anxiety_score]]&lt;=20, "Moderate", IF(Table1[[#This Row],[anxiety_score]]&lt;=30, "Severe", "Extremely Severe")))</f>
        <v>Normal</v>
      </c>
      <c r="I975">
        <v>-0.81237789999999999</v>
      </c>
      <c r="J975">
        <v>12</v>
      </c>
      <c r="K975" s="1" t="str">
        <f>IF(Table1[[#This Row],[stress_score]]&lt;=10, "Normal", IF(Table1[[#This Row],[stress_score]]&lt;=20, "Moderate", IF(Table1[[#This Row],[stress_score]]&lt;=30, "Severe", "Extremely Severe")))</f>
        <v>Moderate</v>
      </c>
      <c r="L975">
        <v>5.496318E-3</v>
      </c>
      <c r="M975">
        <v>6</v>
      </c>
      <c r="N975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975">
        <v>-0.53092379999999995</v>
      </c>
      <c r="P975">
        <v>6.6666664999999998</v>
      </c>
      <c r="Q975">
        <f>ROUND(Table1[[#This Row],[dass21_raw_score]],0)</f>
        <v>7</v>
      </c>
      <c r="R975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975">
        <v>-0.44593513000000001</v>
      </c>
      <c r="T975">
        <v>0.64897479999999996</v>
      </c>
      <c r="U975">
        <v>13333.333000000001</v>
      </c>
      <c r="V975" s="1">
        <f>ROUND(Table1[[#This Row],[fmpce]],0)</f>
        <v>13333</v>
      </c>
      <c r="W975">
        <v>181.39552</v>
      </c>
      <c r="X975" s="4">
        <f>Table1[[#This Row],[mpce]]*89</f>
        <v>16144.201280000001</v>
      </c>
      <c r="Y975" s="2" t="s">
        <v>35</v>
      </c>
      <c r="Z975" s="3">
        <f>VLOOKUP(Y975, rmpce_reference!$B$1:$D$7,3,FALSE) * 89</f>
        <v>9790</v>
      </c>
      <c r="AA975" s="1" t="str">
        <f>IF(Table1[rmpce_inr]&lt;=rmpce_reference!$F$2, "Low Income", IF(Table1[rmpce_inr]&lt;=rmpce_reference!$F$3, "Middle Income", "High Income"))</f>
        <v>High Income</v>
      </c>
    </row>
    <row r="976" spans="1:27" x14ac:dyDescent="0.25">
      <c r="A976">
        <v>5111</v>
      </c>
      <c r="B976" t="s">
        <v>43</v>
      </c>
      <c r="C976" t="s">
        <v>21</v>
      </c>
      <c r="D976">
        <v>49</v>
      </c>
      <c r="E976" t="s">
        <v>25</v>
      </c>
      <c r="F976" t="s">
        <v>30</v>
      </c>
      <c r="G976">
        <v>4</v>
      </c>
      <c r="H976" s="1" t="str">
        <f>IF(Table1[[#This Row],[anxiety_score]]&lt;=10, "Normal", IF(Table1[[#This Row],[anxiety_score]]&lt;=20, "Moderate", IF(Table1[[#This Row],[anxiety_score]]&lt;=30, "Severe", "Extremely Severe")))</f>
        <v>Normal</v>
      </c>
      <c r="I976">
        <v>-0.61133329999999997</v>
      </c>
      <c r="J976">
        <v>4</v>
      </c>
      <c r="K976" s="1" t="str">
        <f>IF(Table1[[#This Row],[stress_score]]&lt;=10, "Normal", IF(Table1[[#This Row],[stress_score]]&lt;=20, "Moderate", IF(Table1[[#This Row],[stress_score]]&lt;=30, "Severe", "Extremely Severe")))</f>
        <v>Normal</v>
      </c>
      <c r="L976">
        <v>-0.77314866000000004</v>
      </c>
      <c r="M976">
        <v>2</v>
      </c>
      <c r="N976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976">
        <v>-0.91619854999999994</v>
      </c>
      <c r="P976">
        <v>3.3333333000000001</v>
      </c>
      <c r="Q976">
        <f>ROUND(Table1[[#This Row],[dass21_raw_score]],0)</f>
        <v>3</v>
      </c>
      <c r="R976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976">
        <v>-0.76689350000000001</v>
      </c>
      <c r="T976">
        <v>0.32801639999999999</v>
      </c>
      <c r="U976">
        <v>9000</v>
      </c>
      <c r="V976" s="1">
        <f>ROUND(Table1[[#This Row],[fmpce]],0)</f>
        <v>9000</v>
      </c>
      <c r="W976">
        <v>122.441986</v>
      </c>
      <c r="X976" s="4">
        <f>Table1[[#This Row],[mpce]]*89</f>
        <v>10897.336754</v>
      </c>
      <c r="Y976" s="2" t="s">
        <v>35</v>
      </c>
      <c r="Z976" s="3">
        <f>VLOOKUP(Y976, rmpce_reference!$B$1:$D$7,3,FALSE) * 89</f>
        <v>9790</v>
      </c>
      <c r="AA976" s="1" t="str">
        <f>IF(Table1[rmpce_inr]&lt;=rmpce_reference!$F$2, "Low Income", IF(Table1[rmpce_inr]&lt;=rmpce_reference!$F$3, "Middle Income", "High Income"))</f>
        <v>High Income</v>
      </c>
    </row>
    <row r="977" spans="1:27" x14ac:dyDescent="0.25">
      <c r="A977">
        <v>5112</v>
      </c>
      <c r="B977" t="s">
        <v>43</v>
      </c>
      <c r="C977" t="s">
        <v>36</v>
      </c>
      <c r="D977">
        <v>51</v>
      </c>
      <c r="E977" t="s">
        <v>25</v>
      </c>
      <c r="F977" t="s">
        <v>26</v>
      </c>
      <c r="G977">
        <v>0</v>
      </c>
      <c r="H977" s="1" t="str">
        <f>IF(Table1[[#This Row],[anxiety_score]]&lt;=10, "Normal", IF(Table1[[#This Row],[anxiety_score]]&lt;=20, "Moderate", IF(Table1[[#This Row],[anxiety_score]]&lt;=30, "Severe", "Extremely Severe")))</f>
        <v>Normal</v>
      </c>
      <c r="I977">
        <v>-1.0134224999999999</v>
      </c>
      <c r="J977">
        <v>0</v>
      </c>
      <c r="K977" s="1" t="str">
        <f>IF(Table1[[#This Row],[stress_score]]&lt;=10, "Normal", IF(Table1[[#This Row],[stress_score]]&lt;=20, "Moderate", IF(Table1[[#This Row],[stress_score]]&lt;=30, "Severe", "Extremely Severe")))</f>
        <v>Normal</v>
      </c>
      <c r="L977">
        <v>-1.1624711999999999</v>
      </c>
      <c r="M977">
        <v>4</v>
      </c>
      <c r="N977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977">
        <v>-0.72356116999999998</v>
      </c>
      <c r="P977">
        <v>1.3333333999999999</v>
      </c>
      <c r="Q977">
        <f>ROUND(Table1[[#This Row],[dass21_raw_score]],0)</f>
        <v>1</v>
      </c>
      <c r="R977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977">
        <v>-0.96648495999999995</v>
      </c>
      <c r="T977">
        <v>0.12842493999999999</v>
      </c>
      <c r="U977">
        <v>5714.2856000000002</v>
      </c>
      <c r="V977" s="1">
        <f>ROUND(Table1[[#This Row],[fmpce]],0)</f>
        <v>5714</v>
      </c>
      <c r="W977">
        <v>77.740943999999999</v>
      </c>
      <c r="X977" s="4">
        <f>Table1[[#This Row],[mpce]]*89</f>
        <v>6918.9440159999995</v>
      </c>
      <c r="Y977" s="2" t="s">
        <v>28</v>
      </c>
      <c r="Z977" s="3">
        <f>VLOOKUP(Y977, rmpce_reference!$B$1:$D$7,3,FALSE) * 89</f>
        <v>6230</v>
      </c>
      <c r="AA977" s="1" t="str">
        <f>IF(Table1[rmpce_inr]&lt;=rmpce_reference!$F$2, "Low Income", IF(Table1[rmpce_inr]&lt;=rmpce_reference!$F$3, "Middle Income", "High Income"))</f>
        <v>Middle Income</v>
      </c>
    </row>
    <row r="978" spans="1:27" x14ac:dyDescent="0.25">
      <c r="A978">
        <v>5113</v>
      </c>
      <c r="B978" t="s">
        <v>43</v>
      </c>
      <c r="C978" t="s">
        <v>29</v>
      </c>
      <c r="D978">
        <v>35</v>
      </c>
      <c r="E978" t="s">
        <v>25</v>
      </c>
      <c r="F978" t="s">
        <v>26</v>
      </c>
      <c r="G978">
        <v>2</v>
      </c>
      <c r="H978" s="1" t="str">
        <f>IF(Table1[[#This Row],[anxiety_score]]&lt;=10, "Normal", IF(Table1[[#This Row],[anxiety_score]]&lt;=20, "Moderate", IF(Table1[[#This Row],[anxiety_score]]&lt;=30, "Severe", "Extremely Severe")))</f>
        <v>Normal</v>
      </c>
      <c r="I978">
        <v>-0.81237789999999999</v>
      </c>
      <c r="J978">
        <v>12</v>
      </c>
      <c r="K978" s="1" t="str">
        <f>IF(Table1[[#This Row],[stress_score]]&lt;=10, "Normal", IF(Table1[[#This Row],[stress_score]]&lt;=20, "Moderate", IF(Table1[[#This Row],[stress_score]]&lt;=30, "Severe", "Extremely Severe")))</f>
        <v>Moderate</v>
      </c>
      <c r="L978">
        <v>5.496318E-3</v>
      </c>
      <c r="M978">
        <v>10</v>
      </c>
      <c r="N978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978">
        <v>-0.14564899000000001</v>
      </c>
      <c r="P978">
        <v>8</v>
      </c>
      <c r="Q978">
        <f>ROUND(Table1[[#This Row],[dass21_raw_score]],0)</f>
        <v>8</v>
      </c>
      <c r="R978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978">
        <v>-0.31751020000000002</v>
      </c>
      <c r="T978">
        <v>0.77739970000000003</v>
      </c>
      <c r="U978">
        <v>5714.2856000000002</v>
      </c>
      <c r="V978" s="1">
        <f>ROUND(Table1[[#This Row],[fmpce]],0)</f>
        <v>5714</v>
      </c>
      <c r="W978">
        <v>77.740943999999999</v>
      </c>
      <c r="X978" s="4">
        <f>Table1[[#This Row],[mpce]]*89</f>
        <v>6918.9440159999995</v>
      </c>
      <c r="Y978" s="2" t="s">
        <v>28</v>
      </c>
      <c r="Z978" s="3">
        <f>VLOOKUP(Y978, rmpce_reference!$B$1:$D$7,3,FALSE) * 89</f>
        <v>6230</v>
      </c>
      <c r="AA978" s="1" t="str">
        <f>IF(Table1[rmpce_inr]&lt;=rmpce_reference!$F$2, "Low Income", IF(Table1[rmpce_inr]&lt;=rmpce_reference!$F$3, "Middle Income", "High Income"))</f>
        <v>Middle Income</v>
      </c>
    </row>
    <row r="979" spans="1:27" x14ac:dyDescent="0.25">
      <c r="A979">
        <v>5114</v>
      </c>
      <c r="B979" t="s">
        <v>43</v>
      </c>
      <c r="C979" t="s">
        <v>21</v>
      </c>
      <c r="D979">
        <v>42</v>
      </c>
      <c r="E979" t="s">
        <v>25</v>
      </c>
      <c r="F979" t="s">
        <v>26</v>
      </c>
      <c r="G979">
        <v>0</v>
      </c>
      <c r="H979" s="1" t="str">
        <f>IF(Table1[[#This Row],[anxiety_score]]&lt;=10, "Normal", IF(Table1[[#This Row],[anxiety_score]]&lt;=20, "Moderate", IF(Table1[[#This Row],[anxiety_score]]&lt;=30, "Severe", "Extremely Severe")))</f>
        <v>Normal</v>
      </c>
      <c r="I979">
        <v>-1.0134224999999999</v>
      </c>
      <c r="J979">
        <v>0</v>
      </c>
      <c r="K979" s="1" t="str">
        <f>IF(Table1[[#This Row],[stress_score]]&lt;=10, "Normal", IF(Table1[[#This Row],[stress_score]]&lt;=20, "Moderate", IF(Table1[[#This Row],[stress_score]]&lt;=30, "Severe", "Extremely Severe")))</f>
        <v>Normal</v>
      </c>
      <c r="L979">
        <v>-1.1624711999999999</v>
      </c>
      <c r="M979">
        <v>0</v>
      </c>
      <c r="N979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979">
        <v>-1.1088359000000001</v>
      </c>
      <c r="P979">
        <v>0</v>
      </c>
      <c r="Q979">
        <f>ROUND(Table1[[#This Row],[dass21_raw_score]],0)</f>
        <v>0</v>
      </c>
      <c r="R979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979">
        <v>-1.0949099</v>
      </c>
      <c r="T979">
        <v>0</v>
      </c>
      <c r="U979">
        <v>25000</v>
      </c>
      <c r="V979" s="1">
        <f>ROUND(Table1[[#This Row],[fmpce]],0)</f>
        <v>25000</v>
      </c>
      <c r="W979">
        <v>340.11660000000001</v>
      </c>
      <c r="X979" s="4">
        <f>Table1[[#This Row],[mpce]]*89</f>
        <v>30270.377400000001</v>
      </c>
      <c r="Y979" s="2" t="s">
        <v>35</v>
      </c>
      <c r="Z979" s="3">
        <f>VLOOKUP(Y979, rmpce_reference!$B$1:$D$7,3,FALSE) * 89</f>
        <v>9790</v>
      </c>
      <c r="AA979" s="1" t="str">
        <f>IF(Table1[rmpce_inr]&lt;=rmpce_reference!$F$2, "Low Income", IF(Table1[rmpce_inr]&lt;=rmpce_reference!$F$3, "Middle Income", "High Income"))</f>
        <v>High Income</v>
      </c>
    </row>
    <row r="980" spans="1:27" x14ac:dyDescent="0.25">
      <c r="A980">
        <v>5115</v>
      </c>
      <c r="B980" t="s">
        <v>43</v>
      </c>
      <c r="C980" t="s">
        <v>21</v>
      </c>
      <c r="D980">
        <v>42</v>
      </c>
      <c r="E980" t="s">
        <v>25</v>
      </c>
      <c r="F980" t="s">
        <v>26</v>
      </c>
      <c r="G980">
        <v>0</v>
      </c>
      <c r="H980" s="1" t="str">
        <f>IF(Table1[[#This Row],[anxiety_score]]&lt;=10, "Normal", IF(Table1[[#This Row],[anxiety_score]]&lt;=20, "Moderate", IF(Table1[[#This Row],[anxiety_score]]&lt;=30, "Severe", "Extremely Severe")))</f>
        <v>Normal</v>
      </c>
      <c r="I980">
        <v>-1.0134224999999999</v>
      </c>
      <c r="J980">
        <v>0</v>
      </c>
      <c r="K980" s="1" t="str">
        <f>IF(Table1[[#This Row],[stress_score]]&lt;=10, "Normal", IF(Table1[[#This Row],[stress_score]]&lt;=20, "Moderate", IF(Table1[[#This Row],[stress_score]]&lt;=30, "Severe", "Extremely Severe")))</f>
        <v>Normal</v>
      </c>
      <c r="L980">
        <v>-1.1624711999999999</v>
      </c>
      <c r="M980">
        <v>0</v>
      </c>
      <c r="N980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980">
        <v>-1.1088359000000001</v>
      </c>
      <c r="P980">
        <v>0</v>
      </c>
      <c r="Q980">
        <f>ROUND(Table1[[#This Row],[dass21_raw_score]],0)</f>
        <v>0</v>
      </c>
      <c r="R980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980">
        <v>-1.0949099</v>
      </c>
      <c r="T980">
        <v>0</v>
      </c>
      <c r="U980">
        <v>0</v>
      </c>
      <c r="V980" s="1">
        <f>ROUND(Table1[[#This Row],[fmpce]],0)</f>
        <v>0</v>
      </c>
      <c r="W980">
        <v>0</v>
      </c>
      <c r="X980" s="4">
        <f>Table1[[#This Row],[mpce]]*89</f>
        <v>0</v>
      </c>
      <c r="Y980" s="2" t="s">
        <v>24</v>
      </c>
      <c r="Z980" s="3">
        <f>VLOOKUP(Y980, rmpce_reference!$B$1:$D$7,3,FALSE) * 89</f>
        <v>2225</v>
      </c>
      <c r="AA980" s="1" t="str">
        <f>IF(Table1[rmpce_inr]&lt;=rmpce_reference!$F$2, "Low Income", IF(Table1[rmpce_inr]&lt;=rmpce_reference!$F$3, "Middle Income", "High Income"))</f>
        <v>Low Income</v>
      </c>
    </row>
    <row r="981" spans="1:27" x14ac:dyDescent="0.25">
      <c r="A981">
        <v>5116</v>
      </c>
      <c r="B981" t="s">
        <v>43</v>
      </c>
      <c r="C981" t="s">
        <v>33</v>
      </c>
      <c r="D981">
        <v>25</v>
      </c>
      <c r="E981" t="s">
        <v>22</v>
      </c>
      <c r="F981" t="s">
        <v>38</v>
      </c>
      <c r="G981">
        <v>4</v>
      </c>
      <c r="H981" s="1" t="str">
        <f>IF(Table1[[#This Row],[anxiety_score]]&lt;=10, "Normal", IF(Table1[[#This Row],[anxiety_score]]&lt;=20, "Moderate", IF(Table1[[#This Row],[anxiety_score]]&lt;=30, "Severe", "Extremely Severe")))</f>
        <v>Normal</v>
      </c>
      <c r="I981">
        <v>-0.61133329999999997</v>
      </c>
      <c r="J981">
        <v>20</v>
      </c>
      <c r="K981" s="1" t="str">
        <f>IF(Table1[[#This Row],[stress_score]]&lt;=10, "Normal", IF(Table1[[#This Row],[stress_score]]&lt;=20, "Moderate", IF(Table1[[#This Row],[stress_score]]&lt;=30, "Severe", "Extremely Severe")))</f>
        <v>Moderate</v>
      </c>
      <c r="L981">
        <v>0.78414130000000004</v>
      </c>
      <c r="M981">
        <v>20</v>
      </c>
      <c r="N981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981">
        <v>0.81753799999999999</v>
      </c>
      <c r="P981">
        <v>14.666667</v>
      </c>
      <c r="Q981">
        <f>ROUND(Table1[[#This Row],[dass21_raw_score]],0)</f>
        <v>15</v>
      </c>
      <c r="R981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981">
        <v>0.33011534999999997</v>
      </c>
      <c r="T981">
        <v>1.4250252000000001</v>
      </c>
      <c r="U981">
        <v>0</v>
      </c>
      <c r="V981" s="1">
        <f>ROUND(Table1[[#This Row],[fmpce]],0)</f>
        <v>0</v>
      </c>
      <c r="W981">
        <v>0</v>
      </c>
      <c r="X981" s="4">
        <f>Table1[[#This Row],[mpce]]*89</f>
        <v>0</v>
      </c>
      <c r="Y981" s="2" t="s">
        <v>24</v>
      </c>
      <c r="Z981" s="3">
        <f>VLOOKUP(Y981, rmpce_reference!$B$1:$D$7,3,FALSE) * 89</f>
        <v>2225</v>
      </c>
      <c r="AA981" s="1" t="str">
        <f>IF(Table1[rmpce_inr]&lt;=rmpce_reference!$F$2, "Low Income", IF(Table1[rmpce_inr]&lt;=rmpce_reference!$F$3, "Middle Income", "High Income"))</f>
        <v>Low Income</v>
      </c>
    </row>
    <row r="982" spans="1:27" x14ac:dyDescent="0.25">
      <c r="A982">
        <v>5117</v>
      </c>
      <c r="B982" t="s">
        <v>43</v>
      </c>
      <c r="C982" t="s">
        <v>33</v>
      </c>
      <c r="D982">
        <v>25</v>
      </c>
      <c r="E982" t="s">
        <v>22</v>
      </c>
      <c r="F982" t="s">
        <v>30</v>
      </c>
      <c r="G982">
        <v>0</v>
      </c>
      <c r="H982" s="1" t="str">
        <f>IF(Table1[[#This Row],[anxiety_score]]&lt;=10, "Normal", IF(Table1[[#This Row],[anxiety_score]]&lt;=20, "Moderate", IF(Table1[[#This Row],[anxiety_score]]&lt;=30, "Severe", "Extremely Severe")))</f>
        <v>Normal</v>
      </c>
      <c r="I982">
        <v>-1.0134224999999999</v>
      </c>
      <c r="J982">
        <v>16</v>
      </c>
      <c r="K982" s="1" t="str">
        <f>IF(Table1[[#This Row],[stress_score]]&lt;=10, "Normal", IF(Table1[[#This Row],[stress_score]]&lt;=20, "Moderate", IF(Table1[[#This Row],[stress_score]]&lt;=30, "Severe", "Extremely Severe")))</f>
        <v>Moderate</v>
      </c>
      <c r="L982">
        <v>0.39481880000000003</v>
      </c>
      <c r="M982">
        <v>18</v>
      </c>
      <c r="N982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982">
        <v>0.62490060000000003</v>
      </c>
      <c r="P982">
        <v>11.333333</v>
      </c>
      <c r="Q982">
        <f>ROUND(Table1[[#This Row],[dass21_raw_score]],0)</f>
        <v>11</v>
      </c>
      <c r="R982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982">
        <v>2.0989680000000001E-3</v>
      </c>
      <c r="T982">
        <v>1.0970088</v>
      </c>
      <c r="U982">
        <v>9000</v>
      </c>
      <c r="V982" s="1">
        <f>ROUND(Table1[[#This Row],[fmpce]],0)</f>
        <v>9000</v>
      </c>
      <c r="W982">
        <v>122.441986</v>
      </c>
      <c r="X982" s="4">
        <f>Table1[[#This Row],[mpce]]*89</f>
        <v>10897.336754</v>
      </c>
      <c r="Y982" s="2" t="s">
        <v>35</v>
      </c>
      <c r="Z982" s="3">
        <f>VLOOKUP(Y982, rmpce_reference!$B$1:$D$7,3,FALSE) * 89</f>
        <v>9790</v>
      </c>
      <c r="AA982" s="1" t="str">
        <f>IF(Table1[rmpce_inr]&lt;=rmpce_reference!$F$2, "Low Income", IF(Table1[rmpce_inr]&lt;=rmpce_reference!$F$3, "Middle Income", "High Income"))</f>
        <v>High Income</v>
      </c>
    </row>
    <row r="983" spans="1:27" x14ac:dyDescent="0.25">
      <c r="A983">
        <v>5118</v>
      </c>
      <c r="B983" t="s">
        <v>43</v>
      </c>
      <c r="C983" t="s">
        <v>33</v>
      </c>
      <c r="D983">
        <v>28</v>
      </c>
      <c r="E983" t="s">
        <v>22</v>
      </c>
      <c r="F983" t="s">
        <v>30</v>
      </c>
      <c r="G983">
        <v>2</v>
      </c>
      <c r="H983" s="1" t="str">
        <f>IF(Table1[[#This Row],[anxiety_score]]&lt;=10, "Normal", IF(Table1[[#This Row],[anxiety_score]]&lt;=20, "Moderate", IF(Table1[[#This Row],[anxiety_score]]&lt;=30, "Severe", "Extremely Severe")))</f>
        <v>Normal</v>
      </c>
      <c r="I983">
        <v>-0.81237789999999999</v>
      </c>
      <c r="J983">
        <v>4</v>
      </c>
      <c r="K983" s="1" t="str">
        <f>IF(Table1[[#This Row],[stress_score]]&lt;=10, "Normal", IF(Table1[[#This Row],[stress_score]]&lt;=20, "Moderate", IF(Table1[[#This Row],[stress_score]]&lt;=30, "Severe", "Extremely Severe")))</f>
        <v>Normal</v>
      </c>
      <c r="L983">
        <v>-0.77314866000000004</v>
      </c>
      <c r="M983">
        <v>12</v>
      </c>
      <c r="N983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983">
        <v>4.6988415999999998E-2</v>
      </c>
      <c r="P983">
        <v>6</v>
      </c>
      <c r="Q983">
        <f>ROUND(Table1[[#This Row],[dass21_raw_score]],0)</f>
        <v>6</v>
      </c>
      <c r="R983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983">
        <v>-0.51284605000000005</v>
      </c>
      <c r="T983">
        <v>0.58206385000000005</v>
      </c>
      <c r="U983">
        <v>5000</v>
      </c>
      <c r="V983" s="1">
        <f>ROUND(Table1[[#This Row],[fmpce]],0)</f>
        <v>5000</v>
      </c>
      <c r="W983">
        <v>68.023319999999998</v>
      </c>
      <c r="X983" s="4">
        <f>Table1[[#This Row],[mpce]]*89</f>
        <v>6054.0754799999995</v>
      </c>
      <c r="Y983" s="2" t="s">
        <v>28</v>
      </c>
      <c r="Z983" s="3">
        <f>VLOOKUP(Y983, rmpce_reference!$B$1:$D$7,3,FALSE) * 89</f>
        <v>6230</v>
      </c>
      <c r="AA983" s="1" t="str">
        <f>IF(Table1[rmpce_inr]&lt;=rmpce_reference!$F$2, "Low Income", IF(Table1[rmpce_inr]&lt;=rmpce_reference!$F$3, "Middle Income", "High Income"))</f>
        <v>Middle Income</v>
      </c>
    </row>
    <row r="984" spans="1:27" x14ac:dyDescent="0.25">
      <c r="A984">
        <v>5119</v>
      </c>
      <c r="B984" t="s">
        <v>43</v>
      </c>
      <c r="C984" t="s">
        <v>33</v>
      </c>
      <c r="D984">
        <v>30</v>
      </c>
      <c r="E984" t="s">
        <v>22</v>
      </c>
      <c r="F984" t="s">
        <v>23</v>
      </c>
      <c r="G984">
        <v>2</v>
      </c>
      <c r="H984" s="1" t="str">
        <f>IF(Table1[[#This Row],[anxiety_score]]&lt;=10, "Normal", IF(Table1[[#This Row],[anxiety_score]]&lt;=20, "Moderate", IF(Table1[[#This Row],[anxiety_score]]&lt;=30, "Severe", "Extremely Severe")))</f>
        <v>Normal</v>
      </c>
      <c r="I984">
        <v>-0.81237789999999999</v>
      </c>
      <c r="J984">
        <v>0</v>
      </c>
      <c r="K984" s="1" t="str">
        <f>IF(Table1[[#This Row],[stress_score]]&lt;=10, "Normal", IF(Table1[[#This Row],[stress_score]]&lt;=20, "Moderate", IF(Table1[[#This Row],[stress_score]]&lt;=30, "Severe", "Extremely Severe")))</f>
        <v>Normal</v>
      </c>
      <c r="L984">
        <v>-1.1624711999999999</v>
      </c>
      <c r="M984">
        <v>0</v>
      </c>
      <c r="N984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984">
        <v>-1.1088359000000001</v>
      </c>
      <c r="P984">
        <v>0.66666669999999995</v>
      </c>
      <c r="Q984">
        <f>ROUND(Table1[[#This Row],[dass21_raw_score]],0)</f>
        <v>1</v>
      </c>
      <c r="R984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984">
        <v>-1.027895</v>
      </c>
      <c r="T984">
        <v>6.701493E-2</v>
      </c>
      <c r="U984">
        <v>6250</v>
      </c>
      <c r="V984" s="1">
        <f>ROUND(Table1[[#This Row],[fmpce]],0)</f>
        <v>6250</v>
      </c>
      <c r="W984">
        <v>85.029150000000001</v>
      </c>
      <c r="X984" s="4">
        <f>Table1[[#This Row],[mpce]]*89</f>
        <v>7567.5943500000003</v>
      </c>
      <c r="Y984" s="2" t="s">
        <v>31</v>
      </c>
      <c r="Z984" s="3">
        <f>VLOOKUP(Y984, rmpce_reference!$B$1:$D$7,3,FALSE) * 89</f>
        <v>8010</v>
      </c>
      <c r="AA984" s="1" t="str">
        <f>IF(Table1[rmpce_inr]&lt;=rmpce_reference!$F$2, "Low Income", IF(Table1[rmpce_inr]&lt;=rmpce_reference!$F$3, "Middle Income", "High Income"))</f>
        <v>High Income</v>
      </c>
    </row>
    <row r="985" spans="1:27" x14ac:dyDescent="0.25">
      <c r="A985">
        <v>5120</v>
      </c>
      <c r="B985" t="s">
        <v>43</v>
      </c>
      <c r="C985" t="s">
        <v>29</v>
      </c>
      <c r="D985">
        <v>36</v>
      </c>
      <c r="E985" t="s">
        <v>25</v>
      </c>
      <c r="F985" t="s">
        <v>26</v>
      </c>
      <c r="G985">
        <v>2</v>
      </c>
      <c r="H985" s="1" t="str">
        <f>IF(Table1[[#This Row],[anxiety_score]]&lt;=10, "Normal", IF(Table1[[#This Row],[anxiety_score]]&lt;=20, "Moderate", IF(Table1[[#This Row],[anxiety_score]]&lt;=30, "Severe", "Extremely Severe")))</f>
        <v>Normal</v>
      </c>
      <c r="I985">
        <v>-0.81237789999999999</v>
      </c>
      <c r="J985">
        <v>6</v>
      </c>
      <c r="K985" s="1" t="str">
        <f>IF(Table1[[#This Row],[stress_score]]&lt;=10, "Normal", IF(Table1[[#This Row],[stress_score]]&lt;=20, "Moderate", IF(Table1[[#This Row],[stress_score]]&lt;=30, "Severe", "Extremely Severe")))</f>
        <v>Normal</v>
      </c>
      <c r="L985">
        <v>-0.57848745999999995</v>
      </c>
      <c r="M985">
        <v>4</v>
      </c>
      <c r="N985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985">
        <v>-0.72356116999999998</v>
      </c>
      <c r="P985">
        <v>4</v>
      </c>
      <c r="Q985">
        <f>ROUND(Table1[[#This Row],[dass21_raw_score]],0)</f>
        <v>4</v>
      </c>
      <c r="R985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985">
        <v>-0.70480883000000005</v>
      </c>
      <c r="T985">
        <v>0.39010107999999999</v>
      </c>
      <c r="U985">
        <v>12000</v>
      </c>
      <c r="V985" s="1">
        <f>ROUND(Table1[[#This Row],[fmpce]],0)</f>
        <v>12000</v>
      </c>
      <c r="W985">
        <v>163.25597999999999</v>
      </c>
      <c r="X985" s="4">
        <f>Table1[[#This Row],[mpce]]*89</f>
        <v>14529.782219999999</v>
      </c>
      <c r="Y985" s="2" t="s">
        <v>35</v>
      </c>
      <c r="Z985" s="3">
        <f>VLOOKUP(Y985, rmpce_reference!$B$1:$D$7,3,FALSE) * 89</f>
        <v>9790</v>
      </c>
      <c r="AA985" s="1" t="str">
        <f>IF(Table1[rmpce_inr]&lt;=rmpce_reference!$F$2, "Low Income", IF(Table1[rmpce_inr]&lt;=rmpce_reference!$F$3, "Middle Income", "High Income"))</f>
        <v>High Income</v>
      </c>
    </row>
    <row r="986" spans="1:27" x14ac:dyDescent="0.25">
      <c r="A986">
        <v>5121</v>
      </c>
      <c r="B986" t="s">
        <v>43</v>
      </c>
      <c r="C986" t="s">
        <v>36</v>
      </c>
      <c r="D986">
        <v>57</v>
      </c>
      <c r="E986" t="s">
        <v>25</v>
      </c>
      <c r="F986" t="s">
        <v>30</v>
      </c>
      <c r="G986">
        <v>0</v>
      </c>
      <c r="H986" s="1" t="str">
        <f>IF(Table1[[#This Row],[anxiety_score]]&lt;=10, "Normal", IF(Table1[[#This Row],[anxiety_score]]&lt;=20, "Moderate", IF(Table1[[#This Row],[anxiety_score]]&lt;=30, "Severe", "Extremely Severe")))</f>
        <v>Normal</v>
      </c>
      <c r="I986">
        <v>-1.0134224999999999</v>
      </c>
      <c r="J986">
        <v>0</v>
      </c>
      <c r="K986" s="1" t="str">
        <f>IF(Table1[[#This Row],[stress_score]]&lt;=10, "Normal", IF(Table1[[#This Row],[stress_score]]&lt;=20, "Moderate", IF(Table1[[#This Row],[stress_score]]&lt;=30, "Severe", "Extremely Severe")))</f>
        <v>Normal</v>
      </c>
      <c r="L986">
        <v>-1.1624711999999999</v>
      </c>
      <c r="M986">
        <v>0</v>
      </c>
      <c r="N986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986">
        <v>-1.1088359000000001</v>
      </c>
      <c r="P986">
        <v>0</v>
      </c>
      <c r="Q986">
        <f>ROUND(Table1[[#This Row],[dass21_raw_score]],0)</f>
        <v>0</v>
      </c>
      <c r="R986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986">
        <v>-1.0949099</v>
      </c>
      <c r="T986">
        <v>0</v>
      </c>
      <c r="U986">
        <v>16666.666000000001</v>
      </c>
      <c r="V986" s="1">
        <f>ROUND(Table1[[#This Row],[fmpce]],0)</f>
        <v>16667</v>
      </c>
      <c r="W986">
        <v>226.74440000000001</v>
      </c>
      <c r="X986" s="4">
        <f>Table1[[#This Row],[mpce]]*89</f>
        <v>20180.2516</v>
      </c>
      <c r="Y986" s="2" t="s">
        <v>35</v>
      </c>
      <c r="Z986" s="3">
        <f>VLOOKUP(Y986, rmpce_reference!$B$1:$D$7,3,FALSE) * 89</f>
        <v>9790</v>
      </c>
      <c r="AA986" s="1" t="str">
        <f>IF(Table1[rmpce_inr]&lt;=rmpce_reference!$F$2, "Low Income", IF(Table1[rmpce_inr]&lt;=rmpce_reference!$F$3, "Middle Income", "High Income"))</f>
        <v>High Income</v>
      </c>
    </row>
    <row r="987" spans="1:27" x14ac:dyDescent="0.25">
      <c r="A987">
        <v>5122</v>
      </c>
      <c r="B987" t="s">
        <v>43</v>
      </c>
      <c r="C987" t="s">
        <v>29</v>
      </c>
      <c r="D987">
        <v>33</v>
      </c>
      <c r="E987" t="s">
        <v>25</v>
      </c>
      <c r="F987" t="s">
        <v>26</v>
      </c>
      <c r="G987">
        <v>0</v>
      </c>
      <c r="H987" s="1" t="str">
        <f>IF(Table1[[#This Row],[anxiety_score]]&lt;=10, "Normal", IF(Table1[[#This Row],[anxiety_score]]&lt;=20, "Moderate", IF(Table1[[#This Row],[anxiety_score]]&lt;=30, "Severe", "Extremely Severe")))</f>
        <v>Normal</v>
      </c>
      <c r="I987">
        <v>-1.0134224999999999</v>
      </c>
      <c r="J987">
        <v>0</v>
      </c>
      <c r="K987" s="1" t="str">
        <f>IF(Table1[[#This Row],[stress_score]]&lt;=10, "Normal", IF(Table1[[#This Row],[stress_score]]&lt;=20, "Moderate", IF(Table1[[#This Row],[stress_score]]&lt;=30, "Severe", "Extremely Severe")))</f>
        <v>Normal</v>
      </c>
      <c r="L987">
        <v>-1.1624711999999999</v>
      </c>
      <c r="M987">
        <v>0</v>
      </c>
      <c r="N987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987">
        <v>-1.1088359000000001</v>
      </c>
      <c r="P987">
        <v>0</v>
      </c>
      <c r="Q987">
        <f>ROUND(Table1[[#This Row],[dass21_raw_score]],0)</f>
        <v>0</v>
      </c>
      <c r="R987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987">
        <v>-1.0949099</v>
      </c>
      <c r="T987">
        <v>0</v>
      </c>
      <c r="U987">
        <v>15000</v>
      </c>
      <c r="V987" s="1">
        <f>ROUND(Table1[[#This Row],[fmpce]],0)</f>
        <v>15000</v>
      </c>
      <c r="W987">
        <v>204.06997999999999</v>
      </c>
      <c r="X987" s="4">
        <f>Table1[[#This Row],[mpce]]*89</f>
        <v>18162.228219999997</v>
      </c>
      <c r="Y987" s="2" t="s">
        <v>35</v>
      </c>
      <c r="Z987" s="3">
        <f>VLOOKUP(Y987, rmpce_reference!$B$1:$D$7,3,FALSE) * 89</f>
        <v>9790</v>
      </c>
      <c r="AA987" s="1" t="str">
        <f>IF(Table1[rmpce_inr]&lt;=rmpce_reference!$F$2, "Low Income", IF(Table1[rmpce_inr]&lt;=rmpce_reference!$F$3, "Middle Income", "High Income"))</f>
        <v>High Income</v>
      </c>
    </row>
    <row r="988" spans="1:27" x14ac:dyDescent="0.25">
      <c r="A988">
        <v>5123</v>
      </c>
      <c r="B988" t="s">
        <v>43</v>
      </c>
      <c r="C988" t="s">
        <v>29</v>
      </c>
      <c r="D988">
        <v>39</v>
      </c>
      <c r="E988" t="s">
        <v>25</v>
      </c>
      <c r="F988" t="s">
        <v>26</v>
      </c>
      <c r="G988">
        <v>0</v>
      </c>
      <c r="H988" s="1" t="str">
        <f>IF(Table1[[#This Row],[anxiety_score]]&lt;=10, "Normal", IF(Table1[[#This Row],[anxiety_score]]&lt;=20, "Moderate", IF(Table1[[#This Row],[anxiety_score]]&lt;=30, "Severe", "Extremely Severe")))</f>
        <v>Normal</v>
      </c>
      <c r="I988">
        <v>-1.0134224999999999</v>
      </c>
      <c r="J988">
        <v>0</v>
      </c>
      <c r="K988" s="1" t="str">
        <f>IF(Table1[[#This Row],[stress_score]]&lt;=10, "Normal", IF(Table1[[#This Row],[stress_score]]&lt;=20, "Moderate", IF(Table1[[#This Row],[stress_score]]&lt;=30, "Severe", "Extremely Severe")))</f>
        <v>Normal</v>
      </c>
      <c r="L988">
        <v>-1.1624711999999999</v>
      </c>
      <c r="M988">
        <v>0</v>
      </c>
      <c r="N988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988">
        <v>-1.1088359000000001</v>
      </c>
      <c r="P988">
        <v>0</v>
      </c>
      <c r="Q988">
        <f>ROUND(Table1[[#This Row],[dass21_raw_score]],0)</f>
        <v>0</v>
      </c>
      <c r="R988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988">
        <v>-1.0949099</v>
      </c>
      <c r="T988">
        <v>0</v>
      </c>
      <c r="U988">
        <v>6666.6665000000003</v>
      </c>
      <c r="V988" s="1">
        <f>ROUND(Table1[[#This Row],[fmpce]],0)</f>
        <v>6667</v>
      </c>
      <c r="W988">
        <v>90.697760000000002</v>
      </c>
      <c r="X988" s="4">
        <f>Table1[[#This Row],[mpce]]*89</f>
        <v>8072.1006400000006</v>
      </c>
      <c r="Y988" s="2" t="s">
        <v>31</v>
      </c>
      <c r="Z988" s="3">
        <f>VLOOKUP(Y988, rmpce_reference!$B$1:$D$7,3,FALSE) * 89</f>
        <v>8010</v>
      </c>
      <c r="AA988" s="1" t="str">
        <f>IF(Table1[rmpce_inr]&lt;=rmpce_reference!$F$2, "Low Income", IF(Table1[rmpce_inr]&lt;=rmpce_reference!$F$3, "Middle Income", "High Income"))</f>
        <v>High Income</v>
      </c>
    </row>
    <row r="989" spans="1:27" x14ac:dyDescent="0.25">
      <c r="A989">
        <v>5124</v>
      </c>
      <c r="B989" t="s">
        <v>43</v>
      </c>
      <c r="C989" t="s">
        <v>36</v>
      </c>
      <c r="D989">
        <v>56</v>
      </c>
      <c r="E989" t="s">
        <v>25</v>
      </c>
      <c r="F989" t="s">
        <v>27</v>
      </c>
      <c r="G989">
        <v>0</v>
      </c>
      <c r="H989" s="1" t="str">
        <f>IF(Table1[[#This Row],[anxiety_score]]&lt;=10, "Normal", IF(Table1[[#This Row],[anxiety_score]]&lt;=20, "Moderate", IF(Table1[[#This Row],[anxiety_score]]&lt;=30, "Severe", "Extremely Severe")))</f>
        <v>Normal</v>
      </c>
      <c r="I989">
        <v>-1.0134224999999999</v>
      </c>
      <c r="J989">
        <v>0</v>
      </c>
      <c r="K989" s="1" t="str">
        <f>IF(Table1[[#This Row],[stress_score]]&lt;=10, "Normal", IF(Table1[[#This Row],[stress_score]]&lt;=20, "Moderate", IF(Table1[[#This Row],[stress_score]]&lt;=30, "Severe", "Extremely Severe")))</f>
        <v>Normal</v>
      </c>
      <c r="L989">
        <v>-1.1624711999999999</v>
      </c>
      <c r="M989">
        <v>0</v>
      </c>
      <c r="N989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989">
        <v>-1.1088359000000001</v>
      </c>
      <c r="P989">
        <v>0</v>
      </c>
      <c r="Q989">
        <f>ROUND(Table1[[#This Row],[dass21_raw_score]],0)</f>
        <v>0</v>
      </c>
      <c r="R989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989">
        <v>-1.0949099</v>
      </c>
      <c r="T989">
        <v>0</v>
      </c>
      <c r="U989">
        <v>5666.6665000000003</v>
      </c>
      <c r="V989" s="1">
        <f>ROUND(Table1[[#This Row],[fmpce]],0)</f>
        <v>5667</v>
      </c>
      <c r="W989">
        <v>77.093100000000007</v>
      </c>
      <c r="X989" s="4">
        <f>Table1[[#This Row],[mpce]]*89</f>
        <v>6861.2859000000008</v>
      </c>
      <c r="Y989" s="2" t="s">
        <v>28</v>
      </c>
      <c r="Z989" s="3">
        <f>VLOOKUP(Y989, rmpce_reference!$B$1:$D$7,3,FALSE) * 89</f>
        <v>6230</v>
      </c>
      <c r="AA989" s="1" t="str">
        <f>IF(Table1[rmpce_inr]&lt;=rmpce_reference!$F$2, "Low Income", IF(Table1[rmpce_inr]&lt;=rmpce_reference!$F$3, "Middle Income", "High Income"))</f>
        <v>Middle Income</v>
      </c>
    </row>
    <row r="990" spans="1:27" x14ac:dyDescent="0.25">
      <c r="A990">
        <v>5125</v>
      </c>
      <c r="B990" t="s">
        <v>43</v>
      </c>
      <c r="C990" t="s">
        <v>33</v>
      </c>
      <c r="D990">
        <v>30</v>
      </c>
      <c r="E990" t="s">
        <v>22</v>
      </c>
      <c r="F990" t="s">
        <v>30</v>
      </c>
      <c r="G990">
        <v>0</v>
      </c>
      <c r="H990" s="1" t="str">
        <f>IF(Table1[[#This Row],[anxiety_score]]&lt;=10, "Normal", IF(Table1[[#This Row],[anxiety_score]]&lt;=20, "Moderate", IF(Table1[[#This Row],[anxiety_score]]&lt;=30, "Severe", "Extremely Severe")))</f>
        <v>Normal</v>
      </c>
      <c r="I990">
        <v>-1.0134224999999999</v>
      </c>
      <c r="J990">
        <v>2</v>
      </c>
      <c r="K990" s="1" t="str">
        <f>IF(Table1[[#This Row],[stress_score]]&lt;=10, "Normal", IF(Table1[[#This Row],[stress_score]]&lt;=20, "Moderate", IF(Table1[[#This Row],[stress_score]]&lt;=30, "Severe", "Extremely Severe")))</f>
        <v>Normal</v>
      </c>
      <c r="L990">
        <v>-0.9678099</v>
      </c>
      <c r="M990">
        <v>2</v>
      </c>
      <c r="N990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990">
        <v>-0.91619854999999994</v>
      </c>
      <c r="P990">
        <v>1.3333333999999999</v>
      </c>
      <c r="Q990">
        <f>ROUND(Table1[[#This Row],[dass21_raw_score]],0)</f>
        <v>1</v>
      </c>
      <c r="R990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990">
        <v>-0.96581030000000001</v>
      </c>
      <c r="T990">
        <v>0.12909961</v>
      </c>
      <c r="U990">
        <v>2857.1428000000001</v>
      </c>
      <c r="V990" s="1">
        <f>ROUND(Table1[[#This Row],[fmpce]],0)</f>
        <v>2857</v>
      </c>
      <c r="W990">
        <v>38.870471999999999</v>
      </c>
      <c r="X990" s="4">
        <f>Table1[[#This Row],[mpce]]*89</f>
        <v>3459.4720079999997</v>
      </c>
      <c r="Y990" s="2" t="s">
        <v>34</v>
      </c>
      <c r="Z990" s="3">
        <f>VLOOKUP(Y990, rmpce_reference!$B$1:$D$7,3,FALSE) * 89</f>
        <v>2848</v>
      </c>
      <c r="AA990" s="1" t="str">
        <f>IF(Table1[rmpce_inr]&lt;=rmpce_reference!$F$2, "Low Income", IF(Table1[rmpce_inr]&lt;=rmpce_reference!$F$3, "Middle Income", "High Income"))</f>
        <v>Low Income</v>
      </c>
    </row>
    <row r="991" spans="1:27" x14ac:dyDescent="0.25">
      <c r="A991">
        <v>5126</v>
      </c>
      <c r="B991" t="s">
        <v>43</v>
      </c>
      <c r="C991" t="s">
        <v>29</v>
      </c>
      <c r="D991">
        <v>37</v>
      </c>
      <c r="E991" t="s">
        <v>25</v>
      </c>
      <c r="F991" t="s">
        <v>23</v>
      </c>
      <c r="G991">
        <v>0</v>
      </c>
      <c r="H991" s="1" t="str">
        <f>IF(Table1[[#This Row],[anxiety_score]]&lt;=10, "Normal", IF(Table1[[#This Row],[anxiety_score]]&lt;=20, "Moderate", IF(Table1[[#This Row],[anxiety_score]]&lt;=30, "Severe", "Extremely Severe")))</f>
        <v>Normal</v>
      </c>
      <c r="I991">
        <v>-1.0134224999999999</v>
      </c>
      <c r="J991">
        <v>2</v>
      </c>
      <c r="K991" s="1" t="str">
        <f>IF(Table1[[#This Row],[stress_score]]&lt;=10, "Normal", IF(Table1[[#This Row],[stress_score]]&lt;=20, "Moderate", IF(Table1[[#This Row],[stress_score]]&lt;=30, "Severe", "Extremely Severe")))</f>
        <v>Normal</v>
      </c>
      <c r="L991">
        <v>-0.9678099</v>
      </c>
      <c r="M991">
        <v>2</v>
      </c>
      <c r="N991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991">
        <v>-0.91619854999999994</v>
      </c>
      <c r="P991">
        <v>1.3333333999999999</v>
      </c>
      <c r="Q991">
        <f>ROUND(Table1[[#This Row],[dass21_raw_score]],0)</f>
        <v>1</v>
      </c>
      <c r="R991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991">
        <v>-0.96581030000000001</v>
      </c>
      <c r="T991">
        <v>0.12909961</v>
      </c>
      <c r="U991">
        <v>6666.6665000000003</v>
      </c>
      <c r="V991" s="1">
        <f>ROUND(Table1[[#This Row],[fmpce]],0)</f>
        <v>6667</v>
      </c>
      <c r="W991">
        <v>90.697760000000002</v>
      </c>
      <c r="X991" s="4">
        <f>Table1[[#This Row],[mpce]]*89</f>
        <v>8072.1006400000006</v>
      </c>
      <c r="Y991" s="2" t="s">
        <v>31</v>
      </c>
      <c r="Z991" s="3">
        <f>VLOOKUP(Y991, rmpce_reference!$B$1:$D$7,3,FALSE) * 89</f>
        <v>8010</v>
      </c>
      <c r="AA991" s="1" t="str">
        <f>IF(Table1[rmpce_inr]&lt;=rmpce_reference!$F$2, "Low Income", IF(Table1[rmpce_inr]&lt;=rmpce_reference!$F$3, "Middle Income", "High Income"))</f>
        <v>High Income</v>
      </c>
    </row>
    <row r="992" spans="1:27" x14ac:dyDescent="0.25">
      <c r="A992">
        <v>5127</v>
      </c>
      <c r="B992" t="s">
        <v>43</v>
      </c>
      <c r="C992" t="s">
        <v>29</v>
      </c>
      <c r="D992">
        <v>31</v>
      </c>
      <c r="E992" t="s">
        <v>25</v>
      </c>
      <c r="F992" t="s">
        <v>26</v>
      </c>
      <c r="G992">
        <v>6</v>
      </c>
      <c r="H992" s="1" t="str">
        <f>IF(Table1[[#This Row],[anxiety_score]]&lt;=10, "Normal", IF(Table1[[#This Row],[anxiety_score]]&lt;=20, "Moderate", IF(Table1[[#This Row],[anxiety_score]]&lt;=30, "Severe", "Extremely Severe")))</f>
        <v>Normal</v>
      </c>
      <c r="I992">
        <v>-0.41028870000000001</v>
      </c>
      <c r="J992">
        <v>12</v>
      </c>
      <c r="K992" s="1" t="str">
        <f>IF(Table1[[#This Row],[stress_score]]&lt;=10, "Normal", IF(Table1[[#This Row],[stress_score]]&lt;=20, "Moderate", IF(Table1[[#This Row],[stress_score]]&lt;=30, "Severe", "Extremely Severe")))</f>
        <v>Moderate</v>
      </c>
      <c r="L992">
        <v>5.496318E-3</v>
      </c>
      <c r="M992">
        <v>10</v>
      </c>
      <c r="N992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992">
        <v>-0.14564899000000001</v>
      </c>
      <c r="P992">
        <v>9.3333329999999997</v>
      </c>
      <c r="Q992">
        <f>ROUND(Table1[[#This Row],[dass21_raw_score]],0)</f>
        <v>9</v>
      </c>
      <c r="R992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992">
        <v>-0.18348046000000001</v>
      </c>
      <c r="T992">
        <v>0.91142946000000002</v>
      </c>
      <c r="U992">
        <v>5666.6665000000003</v>
      </c>
      <c r="V992" s="1">
        <f>ROUND(Table1[[#This Row],[fmpce]],0)</f>
        <v>5667</v>
      </c>
      <c r="W992">
        <v>77.093100000000007</v>
      </c>
      <c r="X992" s="4">
        <f>Table1[[#This Row],[mpce]]*89</f>
        <v>6861.2859000000008</v>
      </c>
      <c r="Y992" s="2" t="s">
        <v>28</v>
      </c>
      <c r="Z992" s="3">
        <f>VLOOKUP(Y992, rmpce_reference!$B$1:$D$7,3,FALSE) * 89</f>
        <v>6230</v>
      </c>
      <c r="AA992" s="1" t="str">
        <f>IF(Table1[rmpce_inr]&lt;=rmpce_reference!$F$2, "Low Income", IF(Table1[rmpce_inr]&lt;=rmpce_reference!$F$3, "Middle Income", "High Income"))</f>
        <v>Middle Income</v>
      </c>
    </row>
    <row r="993" spans="1:27" x14ac:dyDescent="0.25">
      <c r="A993">
        <v>5128</v>
      </c>
      <c r="B993" t="s">
        <v>43</v>
      </c>
      <c r="C993" t="s">
        <v>21</v>
      </c>
      <c r="D993">
        <v>44</v>
      </c>
      <c r="E993" t="s">
        <v>22</v>
      </c>
      <c r="F993" t="s">
        <v>30</v>
      </c>
      <c r="G993">
        <v>0</v>
      </c>
      <c r="H993" s="1" t="str">
        <f>IF(Table1[[#This Row],[anxiety_score]]&lt;=10, "Normal", IF(Table1[[#This Row],[anxiety_score]]&lt;=20, "Moderate", IF(Table1[[#This Row],[anxiety_score]]&lt;=30, "Severe", "Extremely Severe")))</f>
        <v>Normal</v>
      </c>
      <c r="I993">
        <v>-1.0134224999999999</v>
      </c>
      <c r="J993">
        <v>0</v>
      </c>
      <c r="K993" s="1" t="str">
        <f>IF(Table1[[#This Row],[stress_score]]&lt;=10, "Normal", IF(Table1[[#This Row],[stress_score]]&lt;=20, "Moderate", IF(Table1[[#This Row],[stress_score]]&lt;=30, "Severe", "Extremely Severe")))</f>
        <v>Normal</v>
      </c>
      <c r="L993">
        <v>-1.1624711999999999</v>
      </c>
      <c r="M993">
        <v>0</v>
      </c>
      <c r="N993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993">
        <v>-1.1088359000000001</v>
      </c>
      <c r="P993">
        <v>0</v>
      </c>
      <c r="Q993">
        <f>ROUND(Table1[[#This Row],[dass21_raw_score]],0)</f>
        <v>0</v>
      </c>
      <c r="R993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993">
        <v>-1.0949099</v>
      </c>
      <c r="T993">
        <v>0</v>
      </c>
      <c r="U993">
        <v>10000</v>
      </c>
      <c r="V993" s="1">
        <f>ROUND(Table1[[#This Row],[fmpce]],0)</f>
        <v>10000</v>
      </c>
      <c r="W993">
        <v>136.04665</v>
      </c>
      <c r="X993" s="4">
        <f>Table1[[#This Row],[mpce]]*89</f>
        <v>12108.15185</v>
      </c>
      <c r="Y993" s="2" t="s">
        <v>35</v>
      </c>
      <c r="Z993" s="3">
        <f>VLOOKUP(Y993, rmpce_reference!$B$1:$D$7,3,FALSE) * 89</f>
        <v>9790</v>
      </c>
      <c r="AA993" s="1" t="str">
        <f>IF(Table1[rmpce_inr]&lt;=rmpce_reference!$F$2, "Low Income", IF(Table1[rmpce_inr]&lt;=rmpce_reference!$F$3, "Middle Income", "High Income"))</f>
        <v>High Income</v>
      </c>
    </row>
    <row r="994" spans="1:27" x14ac:dyDescent="0.25">
      <c r="A994">
        <v>5129</v>
      </c>
      <c r="B994" t="s">
        <v>43</v>
      </c>
      <c r="C994" t="s">
        <v>33</v>
      </c>
      <c r="D994">
        <v>25</v>
      </c>
      <c r="E994" t="s">
        <v>25</v>
      </c>
      <c r="F994" t="s">
        <v>38</v>
      </c>
      <c r="G994">
        <v>6</v>
      </c>
      <c r="H994" s="1" t="str">
        <f>IF(Table1[[#This Row],[anxiety_score]]&lt;=10, "Normal", IF(Table1[[#This Row],[anxiety_score]]&lt;=20, "Moderate", IF(Table1[[#This Row],[anxiety_score]]&lt;=30, "Severe", "Extremely Severe")))</f>
        <v>Normal</v>
      </c>
      <c r="I994">
        <v>-0.41028870000000001</v>
      </c>
      <c r="J994">
        <v>14</v>
      </c>
      <c r="K994" s="1" t="str">
        <f>IF(Table1[[#This Row],[stress_score]]&lt;=10, "Normal", IF(Table1[[#This Row],[stress_score]]&lt;=20, "Moderate", IF(Table1[[#This Row],[stress_score]]&lt;=30, "Severe", "Extremely Severe")))</f>
        <v>Moderate</v>
      </c>
      <c r="L994">
        <v>0.20015757000000001</v>
      </c>
      <c r="M994">
        <v>22</v>
      </c>
      <c r="N994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994">
        <v>1.0101753</v>
      </c>
      <c r="P994">
        <v>14</v>
      </c>
      <c r="Q994">
        <f>ROUND(Table1[[#This Row],[dass21_raw_score]],0)</f>
        <v>14</v>
      </c>
      <c r="R994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994">
        <v>0.26668140000000001</v>
      </c>
      <c r="T994">
        <v>1.3615912999999999</v>
      </c>
      <c r="U994">
        <v>4000</v>
      </c>
      <c r="V994" s="1">
        <f>ROUND(Table1[[#This Row],[fmpce]],0)</f>
        <v>4000</v>
      </c>
      <c r="W994">
        <v>54.418660000000003</v>
      </c>
      <c r="X994" s="4">
        <f>Table1[[#This Row],[mpce]]*89</f>
        <v>4843.2607400000006</v>
      </c>
      <c r="Y994" s="2" t="s">
        <v>32</v>
      </c>
      <c r="Z994" s="3">
        <f>VLOOKUP(Y994, rmpce_reference!$B$1:$D$7,3,FALSE) * 89</f>
        <v>4450</v>
      </c>
      <c r="AA994" s="1" t="str">
        <f>IF(Table1[rmpce_inr]&lt;=rmpce_reference!$F$2, "Low Income", IF(Table1[rmpce_inr]&lt;=rmpce_reference!$F$3, "Middle Income", "High Income"))</f>
        <v>Low Income</v>
      </c>
    </row>
    <row r="995" spans="1:27" x14ac:dyDescent="0.25">
      <c r="A995">
        <v>5130</v>
      </c>
      <c r="B995" t="s">
        <v>43</v>
      </c>
      <c r="C995" t="s">
        <v>29</v>
      </c>
      <c r="D995">
        <v>34</v>
      </c>
      <c r="E995" t="s">
        <v>22</v>
      </c>
      <c r="F995" t="s">
        <v>30</v>
      </c>
      <c r="G995">
        <v>10</v>
      </c>
      <c r="H995" s="1" t="str">
        <f>IF(Table1[[#This Row],[anxiety_score]]&lt;=10, "Normal", IF(Table1[[#This Row],[anxiety_score]]&lt;=20, "Moderate", IF(Table1[[#This Row],[anxiety_score]]&lt;=30, "Severe", "Extremely Severe")))</f>
        <v>Normal</v>
      </c>
      <c r="I995">
        <v>-8.1994660000000007E-3</v>
      </c>
      <c r="J995">
        <v>0</v>
      </c>
      <c r="K995" s="1" t="str">
        <f>IF(Table1[[#This Row],[stress_score]]&lt;=10, "Normal", IF(Table1[[#This Row],[stress_score]]&lt;=20, "Moderate", IF(Table1[[#This Row],[stress_score]]&lt;=30, "Severe", "Extremely Severe")))</f>
        <v>Normal</v>
      </c>
      <c r="L995">
        <v>-1.1624711999999999</v>
      </c>
      <c r="M995">
        <v>12</v>
      </c>
      <c r="N995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995">
        <v>4.6988415999999998E-2</v>
      </c>
      <c r="P995">
        <v>7.3333335000000002</v>
      </c>
      <c r="Q995">
        <f>ROUND(Table1[[#This Row],[dass21_raw_score]],0)</f>
        <v>7</v>
      </c>
      <c r="R995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995">
        <v>-0.37456074</v>
      </c>
      <c r="T995">
        <v>0.72034920000000002</v>
      </c>
      <c r="U995">
        <v>20000</v>
      </c>
      <c r="V995" s="1">
        <f>ROUND(Table1[[#This Row],[fmpce]],0)</f>
        <v>20000</v>
      </c>
      <c r="W995">
        <v>272.0933</v>
      </c>
      <c r="X995" s="4">
        <f>Table1[[#This Row],[mpce]]*89</f>
        <v>24216.3037</v>
      </c>
      <c r="Y995" s="2" t="s">
        <v>35</v>
      </c>
      <c r="Z995" s="3">
        <f>VLOOKUP(Y995, rmpce_reference!$B$1:$D$7,3,FALSE) * 89</f>
        <v>9790</v>
      </c>
      <c r="AA995" s="1" t="str">
        <f>IF(Table1[rmpce_inr]&lt;=rmpce_reference!$F$2, "Low Income", IF(Table1[rmpce_inr]&lt;=rmpce_reference!$F$3, "Middle Income", "High Income"))</f>
        <v>High Income</v>
      </c>
    </row>
    <row r="996" spans="1:27" x14ac:dyDescent="0.25">
      <c r="A996">
        <v>5131</v>
      </c>
      <c r="B996" t="s">
        <v>43</v>
      </c>
      <c r="C996" t="s">
        <v>33</v>
      </c>
      <c r="D996">
        <v>27</v>
      </c>
      <c r="E996" t="s">
        <v>25</v>
      </c>
      <c r="F996" t="s">
        <v>30</v>
      </c>
      <c r="G996">
        <v>0</v>
      </c>
      <c r="H996" s="1" t="str">
        <f>IF(Table1[[#This Row],[anxiety_score]]&lt;=10, "Normal", IF(Table1[[#This Row],[anxiety_score]]&lt;=20, "Moderate", IF(Table1[[#This Row],[anxiety_score]]&lt;=30, "Severe", "Extremely Severe")))</f>
        <v>Normal</v>
      </c>
      <c r="I996">
        <v>-1.0134224999999999</v>
      </c>
      <c r="J996">
        <v>0</v>
      </c>
      <c r="K996" s="1" t="str">
        <f>IF(Table1[[#This Row],[stress_score]]&lt;=10, "Normal", IF(Table1[[#This Row],[stress_score]]&lt;=20, "Moderate", IF(Table1[[#This Row],[stress_score]]&lt;=30, "Severe", "Extremely Severe")))</f>
        <v>Normal</v>
      </c>
      <c r="L996">
        <v>-1.1624711999999999</v>
      </c>
      <c r="M996">
        <v>2</v>
      </c>
      <c r="N996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996">
        <v>-0.91619854999999994</v>
      </c>
      <c r="P996">
        <v>0.66666669999999995</v>
      </c>
      <c r="Q996">
        <f>ROUND(Table1[[#This Row],[dass21_raw_score]],0)</f>
        <v>1</v>
      </c>
      <c r="R996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996">
        <v>-1.0306972999999999</v>
      </c>
      <c r="T996">
        <v>6.4212560000000002E-2</v>
      </c>
      <c r="U996">
        <v>10000</v>
      </c>
      <c r="V996" s="1">
        <f>ROUND(Table1[[#This Row],[fmpce]],0)</f>
        <v>10000</v>
      </c>
      <c r="W996">
        <v>136.04665</v>
      </c>
      <c r="X996" s="4">
        <f>Table1[[#This Row],[mpce]]*89</f>
        <v>12108.15185</v>
      </c>
      <c r="Y996" s="2" t="s">
        <v>35</v>
      </c>
      <c r="Z996" s="3">
        <f>VLOOKUP(Y996, rmpce_reference!$B$1:$D$7,3,FALSE) * 89</f>
        <v>9790</v>
      </c>
      <c r="AA996" s="1" t="str">
        <f>IF(Table1[rmpce_inr]&lt;=rmpce_reference!$F$2, "Low Income", IF(Table1[rmpce_inr]&lt;=rmpce_reference!$F$3, "Middle Income", "High Income"))</f>
        <v>High Income</v>
      </c>
    </row>
    <row r="997" spans="1:27" x14ac:dyDescent="0.25">
      <c r="A997">
        <v>5132</v>
      </c>
      <c r="B997" t="s">
        <v>43</v>
      </c>
      <c r="C997" t="s">
        <v>29</v>
      </c>
      <c r="D997">
        <v>33</v>
      </c>
      <c r="E997" t="s">
        <v>22</v>
      </c>
      <c r="F997" t="s">
        <v>23</v>
      </c>
      <c r="G997">
        <v>0</v>
      </c>
      <c r="H997" s="1" t="str">
        <f>IF(Table1[[#This Row],[anxiety_score]]&lt;=10, "Normal", IF(Table1[[#This Row],[anxiety_score]]&lt;=20, "Moderate", IF(Table1[[#This Row],[anxiety_score]]&lt;=30, "Severe", "Extremely Severe")))</f>
        <v>Normal</v>
      </c>
      <c r="I997">
        <v>-1.0134224999999999</v>
      </c>
      <c r="J997">
        <v>14</v>
      </c>
      <c r="K997" s="1" t="str">
        <f>IF(Table1[[#This Row],[stress_score]]&lt;=10, "Normal", IF(Table1[[#This Row],[stress_score]]&lt;=20, "Moderate", IF(Table1[[#This Row],[stress_score]]&lt;=30, "Severe", "Extremely Severe")))</f>
        <v>Moderate</v>
      </c>
      <c r="L997">
        <v>0.20015757000000001</v>
      </c>
      <c r="M997">
        <v>0</v>
      </c>
      <c r="N997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997">
        <v>-1.1088359000000001</v>
      </c>
      <c r="P997">
        <v>4.6666664999999998</v>
      </c>
      <c r="Q997">
        <f>ROUND(Table1[[#This Row],[dass21_raw_score]],0)</f>
        <v>5</v>
      </c>
      <c r="R997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997">
        <v>-0.6407003</v>
      </c>
      <c r="T997">
        <v>0.45420962999999998</v>
      </c>
      <c r="U997">
        <v>2142.8571999999999</v>
      </c>
      <c r="V997" s="1">
        <f>ROUND(Table1[[#This Row],[fmpce]],0)</f>
        <v>2143</v>
      </c>
      <c r="W997">
        <v>29.152853</v>
      </c>
      <c r="X997" s="4">
        <f>Table1[[#This Row],[mpce]]*89</f>
        <v>2594.6039169999999</v>
      </c>
      <c r="Y997" s="2" t="s">
        <v>34</v>
      </c>
      <c r="Z997" s="3">
        <f>VLOOKUP(Y997, rmpce_reference!$B$1:$D$7,3,FALSE) * 89</f>
        <v>2848</v>
      </c>
      <c r="AA997" s="1" t="str">
        <f>IF(Table1[rmpce_inr]&lt;=rmpce_reference!$F$2, "Low Income", IF(Table1[rmpce_inr]&lt;=rmpce_reference!$F$3, "Middle Income", "High Income"))</f>
        <v>Low Income</v>
      </c>
    </row>
    <row r="998" spans="1:27" x14ac:dyDescent="0.25">
      <c r="A998">
        <v>5133</v>
      </c>
      <c r="B998" t="s">
        <v>43</v>
      </c>
      <c r="C998" t="s">
        <v>29</v>
      </c>
      <c r="D998">
        <v>37</v>
      </c>
      <c r="E998" t="s">
        <v>22</v>
      </c>
      <c r="F998" t="s">
        <v>23</v>
      </c>
      <c r="G998">
        <v>0</v>
      </c>
      <c r="H998" s="1" t="str">
        <f>IF(Table1[[#This Row],[anxiety_score]]&lt;=10, "Normal", IF(Table1[[#This Row],[anxiety_score]]&lt;=20, "Moderate", IF(Table1[[#This Row],[anxiety_score]]&lt;=30, "Severe", "Extremely Severe")))</f>
        <v>Normal</v>
      </c>
      <c r="I998">
        <v>-1.0134224999999999</v>
      </c>
      <c r="J998">
        <v>2</v>
      </c>
      <c r="K998" s="1" t="str">
        <f>IF(Table1[[#This Row],[stress_score]]&lt;=10, "Normal", IF(Table1[[#This Row],[stress_score]]&lt;=20, "Moderate", IF(Table1[[#This Row],[stress_score]]&lt;=30, "Severe", "Extremely Severe")))</f>
        <v>Normal</v>
      </c>
      <c r="L998">
        <v>-0.9678099</v>
      </c>
      <c r="M998">
        <v>8</v>
      </c>
      <c r="N998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998">
        <v>-0.33828637</v>
      </c>
      <c r="P998">
        <v>3.3333333000000001</v>
      </c>
      <c r="Q998">
        <f>ROUND(Table1[[#This Row],[dass21_raw_score]],0)</f>
        <v>3</v>
      </c>
      <c r="R998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998">
        <v>-0.77317290000000005</v>
      </c>
      <c r="T998">
        <v>0.321737</v>
      </c>
      <c r="U998">
        <v>2500</v>
      </c>
      <c r="V998" s="1">
        <f>ROUND(Table1[[#This Row],[fmpce]],0)</f>
        <v>2500</v>
      </c>
      <c r="W998">
        <v>34.011659999999999</v>
      </c>
      <c r="X998" s="4">
        <f>Table1[[#This Row],[mpce]]*89</f>
        <v>3027.0377399999998</v>
      </c>
      <c r="Y998" s="2" t="s">
        <v>34</v>
      </c>
      <c r="Z998" s="3">
        <f>VLOOKUP(Y998, rmpce_reference!$B$1:$D$7,3,FALSE) * 89</f>
        <v>2848</v>
      </c>
      <c r="AA998" s="1" t="str">
        <f>IF(Table1[rmpce_inr]&lt;=rmpce_reference!$F$2, "Low Income", IF(Table1[rmpce_inr]&lt;=rmpce_reference!$F$3, "Middle Income", "High Income"))</f>
        <v>Low Income</v>
      </c>
    </row>
    <row r="999" spans="1:27" x14ac:dyDescent="0.25">
      <c r="A999">
        <v>5134</v>
      </c>
      <c r="B999" t="s">
        <v>43</v>
      </c>
      <c r="C999" t="s">
        <v>29</v>
      </c>
      <c r="D999">
        <v>33</v>
      </c>
      <c r="E999" t="s">
        <v>22</v>
      </c>
      <c r="F999" t="s">
        <v>30</v>
      </c>
      <c r="G999">
        <v>4</v>
      </c>
      <c r="H999" s="1" t="str">
        <f>IF(Table1[[#This Row],[anxiety_score]]&lt;=10, "Normal", IF(Table1[[#This Row],[anxiety_score]]&lt;=20, "Moderate", IF(Table1[[#This Row],[anxiety_score]]&lt;=30, "Severe", "Extremely Severe")))</f>
        <v>Normal</v>
      </c>
      <c r="I999">
        <v>-0.61133329999999997</v>
      </c>
      <c r="J999">
        <v>12</v>
      </c>
      <c r="K999" s="1" t="str">
        <f>IF(Table1[[#This Row],[stress_score]]&lt;=10, "Normal", IF(Table1[[#This Row],[stress_score]]&lt;=20, "Moderate", IF(Table1[[#This Row],[stress_score]]&lt;=30, "Severe", "Extremely Severe")))</f>
        <v>Moderate</v>
      </c>
      <c r="L999">
        <v>5.496318E-3</v>
      </c>
      <c r="M999">
        <v>10</v>
      </c>
      <c r="N999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999">
        <v>-0.14564899000000001</v>
      </c>
      <c r="P999">
        <v>8.6666670000000003</v>
      </c>
      <c r="Q999">
        <f>ROUND(Table1[[#This Row],[dass21_raw_score]],0)</f>
        <v>9</v>
      </c>
      <c r="R999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999">
        <v>-0.25049529999999998</v>
      </c>
      <c r="T999">
        <v>0.84441460000000002</v>
      </c>
      <c r="U999">
        <v>3800</v>
      </c>
      <c r="V999" s="1">
        <f>ROUND(Table1[[#This Row],[fmpce]],0)</f>
        <v>3800</v>
      </c>
      <c r="W999">
        <v>51.697727</v>
      </c>
      <c r="X999" s="4">
        <f>Table1[[#This Row],[mpce]]*89</f>
        <v>4601.0977030000004</v>
      </c>
      <c r="Y999" s="2" t="s">
        <v>32</v>
      </c>
      <c r="Z999" s="3">
        <f>VLOOKUP(Y999, rmpce_reference!$B$1:$D$7,3,FALSE) * 89</f>
        <v>4450</v>
      </c>
      <c r="AA999" s="1" t="str">
        <f>IF(Table1[rmpce_inr]&lt;=rmpce_reference!$F$2, "Low Income", IF(Table1[rmpce_inr]&lt;=rmpce_reference!$F$3, "Middle Income", "High Income"))</f>
        <v>Low Income</v>
      </c>
    </row>
    <row r="1000" spans="1:27" x14ac:dyDescent="0.25">
      <c r="A1000">
        <v>5135</v>
      </c>
      <c r="B1000" t="s">
        <v>43</v>
      </c>
      <c r="C1000" t="s">
        <v>29</v>
      </c>
      <c r="D1000">
        <v>37</v>
      </c>
      <c r="E1000" t="s">
        <v>22</v>
      </c>
      <c r="F1000" t="s">
        <v>30</v>
      </c>
      <c r="G1000">
        <v>0</v>
      </c>
      <c r="H1000" s="1" t="str">
        <f>IF(Table1[[#This Row],[anxiety_score]]&lt;=10, "Normal", IF(Table1[[#This Row],[anxiety_score]]&lt;=20, "Moderate", IF(Table1[[#This Row],[anxiety_score]]&lt;=30, "Severe", "Extremely Severe")))</f>
        <v>Normal</v>
      </c>
      <c r="I1000">
        <v>-1.0134224999999999</v>
      </c>
      <c r="J1000">
        <v>0</v>
      </c>
      <c r="K1000" s="1" t="str">
        <f>IF(Table1[[#This Row],[stress_score]]&lt;=10, "Normal", IF(Table1[[#This Row],[stress_score]]&lt;=20, "Moderate", IF(Table1[[#This Row],[stress_score]]&lt;=30, "Severe", "Extremely Severe")))</f>
        <v>Normal</v>
      </c>
      <c r="L1000">
        <v>-1.1624711999999999</v>
      </c>
      <c r="M1000">
        <v>0</v>
      </c>
      <c r="N1000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000">
        <v>-1.1088359000000001</v>
      </c>
      <c r="P1000">
        <v>0</v>
      </c>
      <c r="Q1000">
        <f>ROUND(Table1[[#This Row],[dass21_raw_score]],0)</f>
        <v>0</v>
      </c>
      <c r="R1000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000">
        <v>-1.0949099</v>
      </c>
      <c r="T1000">
        <v>0</v>
      </c>
      <c r="U1000">
        <v>2500</v>
      </c>
      <c r="V1000" s="1">
        <f>ROUND(Table1[[#This Row],[fmpce]],0)</f>
        <v>2500</v>
      </c>
      <c r="W1000">
        <v>34.011659999999999</v>
      </c>
      <c r="X1000" s="4">
        <f>Table1[[#This Row],[mpce]]*89</f>
        <v>3027.0377399999998</v>
      </c>
      <c r="Y1000" s="2" t="s">
        <v>34</v>
      </c>
      <c r="Z1000" s="3">
        <f>VLOOKUP(Y1000, rmpce_reference!$B$1:$D$7,3,FALSE) * 89</f>
        <v>2848</v>
      </c>
      <c r="AA1000" s="1" t="str">
        <f>IF(Table1[rmpce_inr]&lt;=rmpce_reference!$F$2, "Low Income", IF(Table1[rmpce_inr]&lt;=rmpce_reference!$F$3, "Middle Income", "High Income"))</f>
        <v>Low Income</v>
      </c>
    </row>
    <row r="1001" spans="1:27" x14ac:dyDescent="0.25">
      <c r="A1001">
        <v>5136</v>
      </c>
      <c r="B1001" t="s">
        <v>43</v>
      </c>
      <c r="C1001" t="s">
        <v>29</v>
      </c>
      <c r="D1001">
        <v>38</v>
      </c>
      <c r="E1001" t="s">
        <v>22</v>
      </c>
      <c r="F1001" t="s">
        <v>30</v>
      </c>
      <c r="G1001">
        <v>4</v>
      </c>
      <c r="H1001" s="1" t="str">
        <f>IF(Table1[[#This Row],[anxiety_score]]&lt;=10, "Normal", IF(Table1[[#This Row],[anxiety_score]]&lt;=20, "Moderate", IF(Table1[[#This Row],[anxiety_score]]&lt;=30, "Severe", "Extremely Severe")))</f>
        <v>Normal</v>
      </c>
      <c r="I1001">
        <v>-0.61133329999999997</v>
      </c>
      <c r="J1001">
        <v>8</v>
      </c>
      <c r="K1001" s="1" t="str">
        <f>IF(Table1[[#This Row],[stress_score]]&lt;=10, "Normal", IF(Table1[[#This Row],[stress_score]]&lt;=20, "Moderate", IF(Table1[[#This Row],[stress_score]]&lt;=30, "Severe", "Extremely Severe")))</f>
        <v>Normal</v>
      </c>
      <c r="L1001">
        <v>-0.38382620000000001</v>
      </c>
      <c r="M1001">
        <v>0</v>
      </c>
      <c r="N1001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001">
        <v>-1.1088359000000001</v>
      </c>
      <c r="P1001">
        <v>4</v>
      </c>
      <c r="Q1001">
        <f>ROUND(Table1[[#This Row],[dass21_raw_score]],0)</f>
        <v>4</v>
      </c>
      <c r="R1001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001">
        <v>-0.70133179999999995</v>
      </c>
      <c r="T1001">
        <v>0.39357809999999999</v>
      </c>
      <c r="U1001">
        <v>6250</v>
      </c>
      <c r="V1001" s="1">
        <f>ROUND(Table1[[#This Row],[fmpce]],0)</f>
        <v>6250</v>
      </c>
      <c r="W1001">
        <v>85.029150000000001</v>
      </c>
      <c r="X1001" s="4">
        <f>Table1[[#This Row],[mpce]]*89</f>
        <v>7567.5943500000003</v>
      </c>
      <c r="Y1001" s="2" t="s">
        <v>31</v>
      </c>
      <c r="Z1001" s="3">
        <f>VLOOKUP(Y1001, rmpce_reference!$B$1:$D$7,3,FALSE) * 89</f>
        <v>8010</v>
      </c>
      <c r="AA1001" s="1" t="str">
        <f>IF(Table1[rmpce_inr]&lt;=rmpce_reference!$F$2, "Low Income", IF(Table1[rmpce_inr]&lt;=rmpce_reference!$F$3, "Middle Income", "High Income"))</f>
        <v>High Income</v>
      </c>
    </row>
    <row r="1002" spans="1:27" x14ac:dyDescent="0.25">
      <c r="A1002">
        <v>5137</v>
      </c>
      <c r="B1002" t="s">
        <v>43</v>
      </c>
      <c r="C1002" t="s">
        <v>21</v>
      </c>
      <c r="D1002">
        <v>44</v>
      </c>
      <c r="E1002" t="s">
        <v>25</v>
      </c>
      <c r="F1002" t="s">
        <v>26</v>
      </c>
      <c r="G1002">
        <v>4</v>
      </c>
      <c r="H1002" s="1" t="str">
        <f>IF(Table1[[#This Row],[anxiety_score]]&lt;=10, "Normal", IF(Table1[[#This Row],[anxiety_score]]&lt;=20, "Moderate", IF(Table1[[#This Row],[anxiety_score]]&lt;=30, "Severe", "Extremely Severe")))</f>
        <v>Normal</v>
      </c>
      <c r="I1002">
        <v>-0.61133329999999997</v>
      </c>
      <c r="J1002">
        <v>34</v>
      </c>
      <c r="K1002" s="1" t="str">
        <f>IF(Table1[[#This Row],[stress_score]]&lt;=10, "Normal", IF(Table1[[#This Row],[stress_score]]&lt;=20, "Moderate", IF(Table1[[#This Row],[stress_score]]&lt;=30, "Severe", "Extremely Severe")))</f>
        <v>Extremely Severe</v>
      </c>
      <c r="L1002">
        <v>2.1467700000000001</v>
      </c>
      <c r="M1002">
        <v>32</v>
      </c>
      <c r="N1002" s="1" t="str">
        <f>IF(Table1[[#This Row],[depression_score]]&lt;=10, "Normal", IF(Table1[[#This Row],[depression_score]]&lt;=20, "Moderate", IF(Table1[[#This Row],[depression_score]]&lt;=30, "Severe", "Extremely Severe")))</f>
        <v>Extremely Severe</v>
      </c>
      <c r="O1002">
        <v>1.9733623</v>
      </c>
      <c r="P1002">
        <v>23.333334000000001</v>
      </c>
      <c r="Q1002">
        <f>ROUND(Table1[[#This Row],[dass21_raw_score]],0)</f>
        <v>23</v>
      </c>
      <c r="R1002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002">
        <v>1.1695997</v>
      </c>
      <c r="T1002">
        <v>2.2645097000000001</v>
      </c>
      <c r="U1002">
        <v>13333.333000000001</v>
      </c>
      <c r="V1002" s="1">
        <f>ROUND(Table1[[#This Row],[fmpce]],0)</f>
        <v>13333</v>
      </c>
      <c r="W1002">
        <v>181.39552</v>
      </c>
      <c r="X1002" s="4">
        <f>Table1[[#This Row],[mpce]]*89</f>
        <v>16144.201280000001</v>
      </c>
      <c r="Y1002" s="2" t="s">
        <v>35</v>
      </c>
      <c r="Z1002" s="3">
        <f>VLOOKUP(Y1002, rmpce_reference!$B$1:$D$7,3,FALSE) * 89</f>
        <v>9790</v>
      </c>
      <c r="AA1002" s="1" t="str">
        <f>IF(Table1[rmpce_inr]&lt;=rmpce_reference!$F$2, "Low Income", IF(Table1[rmpce_inr]&lt;=rmpce_reference!$F$3, "Middle Income", "High Income"))</f>
        <v>High Income</v>
      </c>
    </row>
    <row r="1003" spans="1:27" x14ac:dyDescent="0.25">
      <c r="A1003">
        <v>5138</v>
      </c>
      <c r="B1003" t="s">
        <v>43</v>
      </c>
      <c r="C1003" t="s">
        <v>33</v>
      </c>
      <c r="D1003">
        <v>26</v>
      </c>
      <c r="E1003" t="s">
        <v>25</v>
      </c>
      <c r="F1003" t="s">
        <v>38</v>
      </c>
      <c r="G1003">
        <v>0</v>
      </c>
      <c r="H1003" s="1" t="str">
        <f>IF(Table1[[#This Row],[anxiety_score]]&lt;=10, "Normal", IF(Table1[[#This Row],[anxiety_score]]&lt;=20, "Moderate", IF(Table1[[#This Row],[anxiety_score]]&lt;=30, "Severe", "Extremely Severe")))</f>
        <v>Normal</v>
      </c>
      <c r="I1003">
        <v>-1.0134224999999999</v>
      </c>
      <c r="J1003">
        <v>6</v>
      </c>
      <c r="K1003" s="1" t="str">
        <f>IF(Table1[[#This Row],[stress_score]]&lt;=10, "Normal", IF(Table1[[#This Row],[stress_score]]&lt;=20, "Moderate", IF(Table1[[#This Row],[stress_score]]&lt;=30, "Severe", "Extremely Severe")))</f>
        <v>Normal</v>
      </c>
      <c r="L1003">
        <v>-0.57848745999999995</v>
      </c>
      <c r="M1003">
        <v>2</v>
      </c>
      <c r="N1003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003">
        <v>-0.91619854999999994</v>
      </c>
      <c r="P1003">
        <v>2.6666666999999999</v>
      </c>
      <c r="Q1003">
        <f>ROUND(Table1[[#This Row],[dass21_raw_score]],0)</f>
        <v>3</v>
      </c>
      <c r="R1003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003">
        <v>-0.83603614999999998</v>
      </c>
      <c r="T1003">
        <v>0.25887376000000001</v>
      </c>
      <c r="U1003">
        <v>3000</v>
      </c>
      <c r="V1003" s="1">
        <f>ROUND(Table1[[#This Row],[fmpce]],0)</f>
        <v>3000</v>
      </c>
      <c r="W1003">
        <v>40.813994999999998</v>
      </c>
      <c r="X1003" s="4">
        <f>Table1[[#This Row],[mpce]]*89</f>
        <v>3632.4455549999998</v>
      </c>
      <c r="Y1003" s="2" t="s">
        <v>32</v>
      </c>
      <c r="Z1003" s="3">
        <f>VLOOKUP(Y1003, rmpce_reference!$B$1:$D$7,3,FALSE) * 89</f>
        <v>4450</v>
      </c>
      <c r="AA1003" s="1" t="str">
        <f>IF(Table1[rmpce_inr]&lt;=rmpce_reference!$F$2, "Low Income", IF(Table1[rmpce_inr]&lt;=rmpce_reference!$F$3, "Middle Income", "High Income"))</f>
        <v>Low Income</v>
      </c>
    </row>
    <row r="1004" spans="1:27" x14ac:dyDescent="0.25">
      <c r="A1004">
        <v>5139</v>
      </c>
      <c r="B1004" t="s">
        <v>43</v>
      </c>
      <c r="C1004" t="s">
        <v>36</v>
      </c>
      <c r="D1004">
        <v>53</v>
      </c>
      <c r="E1004" t="s">
        <v>22</v>
      </c>
      <c r="F1004" t="s">
        <v>30</v>
      </c>
      <c r="G1004">
        <v>2</v>
      </c>
      <c r="H1004" s="1" t="str">
        <f>IF(Table1[[#This Row],[anxiety_score]]&lt;=10, "Normal", IF(Table1[[#This Row],[anxiety_score]]&lt;=20, "Moderate", IF(Table1[[#This Row],[anxiety_score]]&lt;=30, "Severe", "Extremely Severe")))</f>
        <v>Normal</v>
      </c>
      <c r="I1004">
        <v>-0.81237789999999999</v>
      </c>
      <c r="J1004">
        <v>2</v>
      </c>
      <c r="K1004" s="1" t="str">
        <f>IF(Table1[[#This Row],[stress_score]]&lt;=10, "Normal", IF(Table1[[#This Row],[stress_score]]&lt;=20, "Moderate", IF(Table1[[#This Row],[stress_score]]&lt;=30, "Severe", "Extremely Severe")))</f>
        <v>Normal</v>
      </c>
      <c r="L1004">
        <v>-0.9678099</v>
      </c>
      <c r="M1004">
        <v>2</v>
      </c>
      <c r="N1004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004">
        <v>-0.91619854999999994</v>
      </c>
      <c r="P1004">
        <v>2</v>
      </c>
      <c r="Q1004">
        <f>ROUND(Table1[[#This Row],[dass21_raw_score]],0)</f>
        <v>2</v>
      </c>
      <c r="R1004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004">
        <v>-0.89879549999999997</v>
      </c>
      <c r="T1004">
        <v>0.19611442000000001</v>
      </c>
      <c r="U1004">
        <v>16250</v>
      </c>
      <c r="V1004" s="1">
        <f>ROUND(Table1[[#This Row],[fmpce]],0)</f>
        <v>16250</v>
      </c>
      <c r="W1004">
        <v>221.07579999999999</v>
      </c>
      <c r="X1004" s="4">
        <f>Table1[[#This Row],[mpce]]*89</f>
        <v>19675.746199999998</v>
      </c>
      <c r="Y1004" s="2" t="s">
        <v>35</v>
      </c>
      <c r="Z1004" s="3">
        <f>VLOOKUP(Y1004, rmpce_reference!$B$1:$D$7,3,FALSE) * 89</f>
        <v>9790</v>
      </c>
      <c r="AA1004" s="1" t="str">
        <f>IF(Table1[rmpce_inr]&lt;=rmpce_reference!$F$2, "Low Income", IF(Table1[rmpce_inr]&lt;=rmpce_reference!$F$3, "Middle Income", "High Income"))</f>
        <v>High Income</v>
      </c>
    </row>
    <row r="1005" spans="1:27" x14ac:dyDescent="0.25">
      <c r="A1005">
        <v>5140</v>
      </c>
      <c r="B1005" t="s">
        <v>43</v>
      </c>
      <c r="C1005" t="s">
        <v>36</v>
      </c>
      <c r="D1005">
        <v>52</v>
      </c>
      <c r="E1005" t="s">
        <v>25</v>
      </c>
      <c r="F1005" t="s">
        <v>26</v>
      </c>
      <c r="G1005">
        <v>10</v>
      </c>
      <c r="H1005" s="1" t="str">
        <f>IF(Table1[[#This Row],[anxiety_score]]&lt;=10, "Normal", IF(Table1[[#This Row],[anxiety_score]]&lt;=20, "Moderate", IF(Table1[[#This Row],[anxiety_score]]&lt;=30, "Severe", "Extremely Severe")))</f>
        <v>Normal</v>
      </c>
      <c r="I1005">
        <v>-8.1994660000000007E-3</v>
      </c>
      <c r="J1005">
        <v>18</v>
      </c>
      <c r="K1005" s="1" t="str">
        <f>IF(Table1[[#This Row],[stress_score]]&lt;=10, "Normal", IF(Table1[[#This Row],[stress_score]]&lt;=20, "Moderate", IF(Table1[[#This Row],[stress_score]]&lt;=30, "Severe", "Extremely Severe")))</f>
        <v>Moderate</v>
      </c>
      <c r="L1005">
        <v>0.58948003999999998</v>
      </c>
      <c r="M1005">
        <v>14</v>
      </c>
      <c r="N1005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1005">
        <v>0.23962580999999999</v>
      </c>
      <c r="P1005">
        <v>14</v>
      </c>
      <c r="Q1005">
        <f>ROUND(Table1[[#This Row],[dass21_raw_score]],0)</f>
        <v>14</v>
      </c>
      <c r="R1005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1005">
        <v>0.27363547999999999</v>
      </c>
      <c r="T1005">
        <v>1.3685453999999999</v>
      </c>
      <c r="U1005">
        <v>5000</v>
      </c>
      <c r="V1005" s="1">
        <f>ROUND(Table1[[#This Row],[fmpce]],0)</f>
        <v>5000</v>
      </c>
      <c r="W1005">
        <v>68.023319999999998</v>
      </c>
      <c r="X1005" s="4">
        <f>Table1[[#This Row],[mpce]]*89</f>
        <v>6054.0754799999995</v>
      </c>
      <c r="Y1005" s="2" t="s">
        <v>28</v>
      </c>
      <c r="Z1005" s="3">
        <f>VLOOKUP(Y1005, rmpce_reference!$B$1:$D$7,3,FALSE) * 89</f>
        <v>6230</v>
      </c>
      <c r="AA1005" s="1" t="str">
        <f>IF(Table1[rmpce_inr]&lt;=rmpce_reference!$F$2, "Low Income", IF(Table1[rmpce_inr]&lt;=rmpce_reference!$F$3, "Middle Income", "High Income"))</f>
        <v>Middle Income</v>
      </c>
    </row>
    <row r="1006" spans="1:27" x14ac:dyDescent="0.25">
      <c r="A1006">
        <v>5141</v>
      </c>
      <c r="B1006" t="s">
        <v>43</v>
      </c>
      <c r="C1006" t="s">
        <v>36</v>
      </c>
      <c r="D1006">
        <v>52</v>
      </c>
      <c r="E1006" t="s">
        <v>25</v>
      </c>
      <c r="F1006" t="s">
        <v>30</v>
      </c>
      <c r="G1006">
        <v>0</v>
      </c>
      <c r="H1006" s="1" t="str">
        <f>IF(Table1[[#This Row],[anxiety_score]]&lt;=10, "Normal", IF(Table1[[#This Row],[anxiety_score]]&lt;=20, "Moderate", IF(Table1[[#This Row],[anxiety_score]]&lt;=30, "Severe", "Extremely Severe")))</f>
        <v>Normal</v>
      </c>
      <c r="I1006">
        <v>-1.0134224999999999</v>
      </c>
      <c r="J1006">
        <v>0</v>
      </c>
      <c r="K1006" s="1" t="str">
        <f>IF(Table1[[#This Row],[stress_score]]&lt;=10, "Normal", IF(Table1[[#This Row],[stress_score]]&lt;=20, "Moderate", IF(Table1[[#This Row],[stress_score]]&lt;=30, "Severe", "Extremely Severe")))</f>
        <v>Normal</v>
      </c>
      <c r="L1006">
        <v>-1.1624711999999999</v>
      </c>
      <c r="M1006">
        <v>0</v>
      </c>
      <c r="N1006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006">
        <v>-1.1088359000000001</v>
      </c>
      <c r="P1006">
        <v>0</v>
      </c>
      <c r="Q1006">
        <f>ROUND(Table1[[#This Row],[dass21_raw_score]],0)</f>
        <v>0</v>
      </c>
      <c r="R1006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006">
        <v>-1.0949099</v>
      </c>
      <c r="T1006">
        <v>0</v>
      </c>
      <c r="U1006">
        <v>20000</v>
      </c>
      <c r="V1006" s="1">
        <f>ROUND(Table1[[#This Row],[fmpce]],0)</f>
        <v>20000</v>
      </c>
      <c r="W1006">
        <v>272.0933</v>
      </c>
      <c r="X1006" s="4">
        <f>Table1[[#This Row],[mpce]]*89</f>
        <v>24216.3037</v>
      </c>
      <c r="Y1006" s="2" t="s">
        <v>35</v>
      </c>
      <c r="Z1006" s="3">
        <f>VLOOKUP(Y1006, rmpce_reference!$B$1:$D$7,3,FALSE) * 89</f>
        <v>9790</v>
      </c>
      <c r="AA1006" s="1" t="str">
        <f>IF(Table1[rmpce_inr]&lt;=rmpce_reference!$F$2, "Low Income", IF(Table1[rmpce_inr]&lt;=rmpce_reference!$F$3, "Middle Income", "High Income"))</f>
        <v>High Income</v>
      </c>
    </row>
    <row r="1007" spans="1:27" x14ac:dyDescent="0.25">
      <c r="A1007">
        <v>5142</v>
      </c>
      <c r="B1007" t="s">
        <v>43</v>
      </c>
      <c r="C1007" t="s">
        <v>21</v>
      </c>
      <c r="D1007">
        <v>50</v>
      </c>
      <c r="E1007" t="s">
        <v>22</v>
      </c>
      <c r="F1007" t="s">
        <v>30</v>
      </c>
      <c r="G1007">
        <v>4</v>
      </c>
      <c r="H1007" s="1" t="str">
        <f>IF(Table1[[#This Row],[anxiety_score]]&lt;=10, "Normal", IF(Table1[[#This Row],[anxiety_score]]&lt;=20, "Moderate", IF(Table1[[#This Row],[anxiety_score]]&lt;=30, "Severe", "Extremely Severe")))</f>
        <v>Normal</v>
      </c>
      <c r="I1007">
        <v>-0.61133329999999997</v>
      </c>
      <c r="J1007">
        <v>4</v>
      </c>
      <c r="K1007" s="1" t="str">
        <f>IF(Table1[[#This Row],[stress_score]]&lt;=10, "Normal", IF(Table1[[#This Row],[stress_score]]&lt;=20, "Moderate", IF(Table1[[#This Row],[stress_score]]&lt;=30, "Severe", "Extremely Severe")))</f>
        <v>Normal</v>
      </c>
      <c r="L1007">
        <v>-0.77314866000000004</v>
      </c>
      <c r="M1007">
        <v>6</v>
      </c>
      <c r="N1007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007">
        <v>-0.53092379999999995</v>
      </c>
      <c r="P1007">
        <v>4.6666664999999998</v>
      </c>
      <c r="Q1007">
        <f>ROUND(Table1[[#This Row],[dass21_raw_score]],0)</f>
        <v>5</v>
      </c>
      <c r="R1007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007">
        <v>-0.63846855999999996</v>
      </c>
      <c r="T1007">
        <v>0.45644133999999997</v>
      </c>
      <c r="U1007">
        <v>6000</v>
      </c>
      <c r="V1007" s="1">
        <f>ROUND(Table1[[#This Row],[fmpce]],0)</f>
        <v>6000</v>
      </c>
      <c r="W1007">
        <v>81.627989999999997</v>
      </c>
      <c r="X1007" s="4">
        <f>Table1[[#This Row],[mpce]]*89</f>
        <v>7264.8911099999996</v>
      </c>
      <c r="Y1007" s="2" t="s">
        <v>31</v>
      </c>
      <c r="Z1007" s="3">
        <f>VLOOKUP(Y1007, rmpce_reference!$B$1:$D$7,3,FALSE) * 89</f>
        <v>8010</v>
      </c>
      <c r="AA1007" s="1" t="str">
        <f>IF(Table1[rmpce_inr]&lt;=rmpce_reference!$F$2, "Low Income", IF(Table1[rmpce_inr]&lt;=rmpce_reference!$F$3, "Middle Income", "High Income"))</f>
        <v>High Income</v>
      </c>
    </row>
    <row r="1008" spans="1:27" x14ac:dyDescent="0.25">
      <c r="A1008">
        <v>5143</v>
      </c>
      <c r="B1008" t="s">
        <v>43</v>
      </c>
      <c r="C1008" t="s">
        <v>36</v>
      </c>
      <c r="D1008">
        <v>57</v>
      </c>
      <c r="E1008" t="s">
        <v>25</v>
      </c>
      <c r="F1008" t="s">
        <v>37</v>
      </c>
      <c r="G1008">
        <v>0</v>
      </c>
      <c r="H1008" s="1" t="str">
        <f>IF(Table1[[#This Row],[anxiety_score]]&lt;=10, "Normal", IF(Table1[[#This Row],[anxiety_score]]&lt;=20, "Moderate", IF(Table1[[#This Row],[anxiety_score]]&lt;=30, "Severe", "Extremely Severe")))</f>
        <v>Normal</v>
      </c>
      <c r="I1008">
        <v>-1.0134224999999999</v>
      </c>
      <c r="J1008">
        <v>0</v>
      </c>
      <c r="K1008" s="1" t="str">
        <f>IF(Table1[[#This Row],[stress_score]]&lt;=10, "Normal", IF(Table1[[#This Row],[stress_score]]&lt;=20, "Moderate", IF(Table1[[#This Row],[stress_score]]&lt;=30, "Severe", "Extremely Severe")))</f>
        <v>Normal</v>
      </c>
      <c r="L1008">
        <v>-1.1624711999999999</v>
      </c>
      <c r="M1008">
        <v>0</v>
      </c>
      <c r="N1008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008">
        <v>-1.1088359000000001</v>
      </c>
      <c r="P1008">
        <v>0</v>
      </c>
      <c r="Q1008">
        <f>ROUND(Table1[[#This Row],[dass21_raw_score]],0)</f>
        <v>0</v>
      </c>
      <c r="R1008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008">
        <v>-1.0949099</v>
      </c>
      <c r="T1008">
        <v>0</v>
      </c>
      <c r="U1008">
        <v>12500</v>
      </c>
      <c r="V1008" s="1">
        <f>ROUND(Table1[[#This Row],[fmpce]],0)</f>
        <v>12500</v>
      </c>
      <c r="W1008">
        <v>170.0583</v>
      </c>
      <c r="X1008" s="4">
        <f>Table1[[#This Row],[mpce]]*89</f>
        <v>15135.188700000001</v>
      </c>
      <c r="Y1008" s="2" t="s">
        <v>35</v>
      </c>
      <c r="Z1008" s="3">
        <f>VLOOKUP(Y1008, rmpce_reference!$B$1:$D$7,3,FALSE) * 89</f>
        <v>9790</v>
      </c>
      <c r="AA1008" s="1" t="str">
        <f>IF(Table1[rmpce_inr]&lt;=rmpce_reference!$F$2, "Low Income", IF(Table1[rmpce_inr]&lt;=rmpce_reference!$F$3, "Middle Income", "High Income"))</f>
        <v>High Income</v>
      </c>
    </row>
    <row r="1009" spans="1:27" x14ac:dyDescent="0.25">
      <c r="A1009">
        <v>5144</v>
      </c>
      <c r="B1009" t="s">
        <v>43</v>
      </c>
      <c r="C1009" t="s">
        <v>21</v>
      </c>
      <c r="D1009">
        <v>47</v>
      </c>
      <c r="E1009" t="s">
        <v>22</v>
      </c>
      <c r="F1009" t="s">
        <v>30</v>
      </c>
      <c r="G1009">
        <v>2</v>
      </c>
      <c r="H1009" s="1" t="str">
        <f>IF(Table1[[#This Row],[anxiety_score]]&lt;=10, "Normal", IF(Table1[[#This Row],[anxiety_score]]&lt;=20, "Moderate", IF(Table1[[#This Row],[anxiety_score]]&lt;=30, "Severe", "Extremely Severe")))</f>
        <v>Normal</v>
      </c>
      <c r="I1009">
        <v>-0.81237789999999999</v>
      </c>
      <c r="J1009">
        <v>0</v>
      </c>
      <c r="K1009" s="1" t="str">
        <f>IF(Table1[[#This Row],[stress_score]]&lt;=10, "Normal", IF(Table1[[#This Row],[stress_score]]&lt;=20, "Moderate", IF(Table1[[#This Row],[stress_score]]&lt;=30, "Severe", "Extremely Severe")))</f>
        <v>Normal</v>
      </c>
      <c r="L1009">
        <v>-1.1624711999999999</v>
      </c>
      <c r="M1009">
        <v>10</v>
      </c>
      <c r="N1009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009">
        <v>-0.14564899000000001</v>
      </c>
      <c r="P1009">
        <v>4</v>
      </c>
      <c r="Q1009">
        <f>ROUND(Table1[[#This Row],[dass21_raw_score]],0)</f>
        <v>4</v>
      </c>
      <c r="R1009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009">
        <v>-0.70683269999999998</v>
      </c>
      <c r="T1009">
        <v>0.38807720000000001</v>
      </c>
      <c r="U1009">
        <v>4166.6665000000003</v>
      </c>
      <c r="V1009" s="1">
        <f>ROUND(Table1[[#This Row],[fmpce]],0)</f>
        <v>4167</v>
      </c>
      <c r="W1009">
        <v>56.686100000000003</v>
      </c>
      <c r="X1009" s="4">
        <f>Table1[[#This Row],[mpce]]*89</f>
        <v>5045.0628999999999</v>
      </c>
      <c r="Y1009" s="2" t="s">
        <v>32</v>
      </c>
      <c r="Z1009" s="3">
        <f>VLOOKUP(Y1009, rmpce_reference!$B$1:$D$7,3,FALSE) * 89</f>
        <v>4450</v>
      </c>
      <c r="AA1009" s="1" t="str">
        <f>IF(Table1[rmpce_inr]&lt;=rmpce_reference!$F$2, "Low Income", IF(Table1[rmpce_inr]&lt;=rmpce_reference!$F$3, "Middle Income", "High Income"))</f>
        <v>Low Income</v>
      </c>
    </row>
    <row r="1010" spans="1:27" x14ac:dyDescent="0.25">
      <c r="A1010">
        <v>5145</v>
      </c>
      <c r="B1010" t="s">
        <v>43</v>
      </c>
      <c r="C1010" t="s">
        <v>36</v>
      </c>
      <c r="D1010">
        <v>51</v>
      </c>
      <c r="E1010" t="s">
        <v>22</v>
      </c>
      <c r="F1010" t="s">
        <v>30</v>
      </c>
      <c r="G1010">
        <v>0</v>
      </c>
      <c r="H1010" s="1" t="str">
        <f>IF(Table1[[#This Row],[anxiety_score]]&lt;=10, "Normal", IF(Table1[[#This Row],[anxiety_score]]&lt;=20, "Moderate", IF(Table1[[#This Row],[anxiety_score]]&lt;=30, "Severe", "Extremely Severe")))</f>
        <v>Normal</v>
      </c>
      <c r="I1010">
        <v>-1.0134224999999999</v>
      </c>
      <c r="J1010">
        <v>2</v>
      </c>
      <c r="K1010" s="1" t="str">
        <f>IF(Table1[[#This Row],[stress_score]]&lt;=10, "Normal", IF(Table1[[#This Row],[stress_score]]&lt;=20, "Moderate", IF(Table1[[#This Row],[stress_score]]&lt;=30, "Severe", "Extremely Severe")))</f>
        <v>Normal</v>
      </c>
      <c r="L1010">
        <v>-0.9678099</v>
      </c>
      <c r="M1010">
        <v>2</v>
      </c>
      <c r="N1010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010">
        <v>-0.91619854999999994</v>
      </c>
      <c r="P1010">
        <v>1.3333333999999999</v>
      </c>
      <c r="Q1010">
        <f>ROUND(Table1[[#This Row],[dass21_raw_score]],0)</f>
        <v>1</v>
      </c>
      <c r="R1010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010">
        <v>-0.96581030000000001</v>
      </c>
      <c r="T1010">
        <v>0.12909961</v>
      </c>
      <c r="U1010">
        <v>2000</v>
      </c>
      <c r="V1010" s="1">
        <f>ROUND(Table1[[#This Row],[fmpce]],0)</f>
        <v>2000</v>
      </c>
      <c r="W1010">
        <v>27.209330000000001</v>
      </c>
      <c r="X1010" s="4">
        <f>Table1[[#This Row],[mpce]]*89</f>
        <v>2421.6303700000003</v>
      </c>
      <c r="Y1010" s="2" t="s">
        <v>34</v>
      </c>
      <c r="Z1010" s="3">
        <f>VLOOKUP(Y1010, rmpce_reference!$B$1:$D$7,3,FALSE) * 89</f>
        <v>2848</v>
      </c>
      <c r="AA1010" s="1" t="str">
        <f>IF(Table1[rmpce_inr]&lt;=rmpce_reference!$F$2, "Low Income", IF(Table1[rmpce_inr]&lt;=rmpce_reference!$F$3, "Middle Income", "High Income"))</f>
        <v>Low Income</v>
      </c>
    </row>
    <row r="1011" spans="1:27" x14ac:dyDescent="0.25">
      <c r="A1011">
        <v>5146</v>
      </c>
      <c r="B1011" t="s">
        <v>43</v>
      </c>
      <c r="C1011" t="s">
        <v>36</v>
      </c>
      <c r="D1011">
        <v>57</v>
      </c>
      <c r="E1011" t="s">
        <v>25</v>
      </c>
      <c r="F1011" t="s">
        <v>23</v>
      </c>
      <c r="G1011">
        <v>0</v>
      </c>
      <c r="H1011" s="1" t="str">
        <f>IF(Table1[[#This Row],[anxiety_score]]&lt;=10, "Normal", IF(Table1[[#This Row],[anxiety_score]]&lt;=20, "Moderate", IF(Table1[[#This Row],[anxiety_score]]&lt;=30, "Severe", "Extremely Severe")))</f>
        <v>Normal</v>
      </c>
      <c r="I1011">
        <v>-1.0134224999999999</v>
      </c>
      <c r="J1011">
        <v>6</v>
      </c>
      <c r="K1011" s="1" t="str">
        <f>IF(Table1[[#This Row],[stress_score]]&lt;=10, "Normal", IF(Table1[[#This Row],[stress_score]]&lt;=20, "Moderate", IF(Table1[[#This Row],[stress_score]]&lt;=30, "Severe", "Extremely Severe")))</f>
        <v>Normal</v>
      </c>
      <c r="L1011">
        <v>-0.57848745999999995</v>
      </c>
      <c r="M1011">
        <v>8</v>
      </c>
      <c r="N1011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011">
        <v>-0.33828637</v>
      </c>
      <c r="P1011">
        <v>4.6666664999999998</v>
      </c>
      <c r="Q1011">
        <f>ROUND(Table1[[#This Row],[dass21_raw_score]],0)</f>
        <v>5</v>
      </c>
      <c r="R1011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011">
        <v>-0.64339875999999996</v>
      </c>
      <c r="T1011">
        <v>0.45151113999999998</v>
      </c>
      <c r="U1011">
        <v>65000</v>
      </c>
      <c r="V1011" s="1">
        <f>ROUND(Table1[[#This Row],[fmpce]],0)</f>
        <v>65000</v>
      </c>
      <c r="W1011">
        <v>884.30319999999995</v>
      </c>
      <c r="X1011" s="4">
        <f>Table1[[#This Row],[mpce]]*89</f>
        <v>78702.984799999991</v>
      </c>
      <c r="Y1011" s="2" t="s">
        <v>35</v>
      </c>
      <c r="Z1011" s="3">
        <f>VLOOKUP(Y1011, rmpce_reference!$B$1:$D$7,3,FALSE) * 89</f>
        <v>9790</v>
      </c>
      <c r="AA1011" s="1" t="str">
        <f>IF(Table1[rmpce_inr]&lt;=rmpce_reference!$F$2, "Low Income", IF(Table1[rmpce_inr]&lt;=rmpce_reference!$F$3, "Middle Income", "High Income"))</f>
        <v>High Income</v>
      </c>
    </row>
    <row r="1012" spans="1:27" x14ac:dyDescent="0.25">
      <c r="A1012">
        <v>5147</v>
      </c>
      <c r="B1012" t="s">
        <v>43</v>
      </c>
      <c r="C1012" t="s">
        <v>36</v>
      </c>
      <c r="D1012">
        <v>54</v>
      </c>
      <c r="E1012" t="s">
        <v>25</v>
      </c>
      <c r="F1012" t="s">
        <v>30</v>
      </c>
      <c r="G1012">
        <v>0</v>
      </c>
      <c r="H1012" s="1" t="str">
        <f>IF(Table1[[#This Row],[anxiety_score]]&lt;=10, "Normal", IF(Table1[[#This Row],[anxiety_score]]&lt;=20, "Moderate", IF(Table1[[#This Row],[anxiety_score]]&lt;=30, "Severe", "Extremely Severe")))</f>
        <v>Normal</v>
      </c>
      <c r="I1012">
        <v>-1.0134224999999999</v>
      </c>
      <c r="J1012">
        <v>2</v>
      </c>
      <c r="K1012" s="1" t="str">
        <f>IF(Table1[[#This Row],[stress_score]]&lt;=10, "Normal", IF(Table1[[#This Row],[stress_score]]&lt;=20, "Moderate", IF(Table1[[#This Row],[stress_score]]&lt;=30, "Severe", "Extremely Severe")))</f>
        <v>Normal</v>
      </c>
      <c r="L1012">
        <v>-0.9678099</v>
      </c>
      <c r="M1012">
        <v>6</v>
      </c>
      <c r="N1012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012">
        <v>-0.53092379999999995</v>
      </c>
      <c r="P1012">
        <v>2.6666666999999999</v>
      </c>
      <c r="Q1012">
        <f>ROUND(Table1[[#This Row],[dass21_raw_score]],0)</f>
        <v>3</v>
      </c>
      <c r="R1012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012">
        <v>-0.83738539999999995</v>
      </c>
      <c r="T1012">
        <v>0.25752449999999999</v>
      </c>
      <c r="U1012">
        <v>23333.333999999999</v>
      </c>
      <c r="V1012" s="1">
        <f>ROUND(Table1[[#This Row],[fmpce]],0)</f>
        <v>23333</v>
      </c>
      <c r="W1012">
        <v>317.44220000000001</v>
      </c>
      <c r="X1012" s="4">
        <f>Table1[[#This Row],[mpce]]*89</f>
        <v>28252.355800000001</v>
      </c>
      <c r="Y1012" s="2" t="s">
        <v>35</v>
      </c>
      <c r="Z1012" s="3">
        <f>VLOOKUP(Y1012, rmpce_reference!$B$1:$D$7,3,FALSE) * 89</f>
        <v>9790</v>
      </c>
      <c r="AA1012" s="1" t="str">
        <f>IF(Table1[rmpce_inr]&lt;=rmpce_reference!$F$2, "Low Income", IF(Table1[rmpce_inr]&lt;=rmpce_reference!$F$3, "Middle Income", "High Income"))</f>
        <v>High Income</v>
      </c>
    </row>
    <row r="1013" spans="1:27" x14ac:dyDescent="0.25">
      <c r="A1013">
        <v>5148</v>
      </c>
      <c r="B1013" t="s">
        <v>43</v>
      </c>
      <c r="C1013" t="s">
        <v>21</v>
      </c>
      <c r="D1013">
        <v>46</v>
      </c>
      <c r="E1013" t="s">
        <v>22</v>
      </c>
      <c r="F1013" t="s">
        <v>30</v>
      </c>
      <c r="G1013">
        <v>0</v>
      </c>
      <c r="H1013" s="1" t="str">
        <f>IF(Table1[[#This Row],[anxiety_score]]&lt;=10, "Normal", IF(Table1[[#This Row],[anxiety_score]]&lt;=20, "Moderate", IF(Table1[[#This Row],[anxiety_score]]&lt;=30, "Severe", "Extremely Severe")))</f>
        <v>Normal</v>
      </c>
      <c r="I1013">
        <v>-1.0134224999999999</v>
      </c>
      <c r="J1013">
        <v>0</v>
      </c>
      <c r="K1013" s="1" t="str">
        <f>IF(Table1[[#This Row],[stress_score]]&lt;=10, "Normal", IF(Table1[[#This Row],[stress_score]]&lt;=20, "Moderate", IF(Table1[[#This Row],[stress_score]]&lt;=30, "Severe", "Extremely Severe")))</f>
        <v>Normal</v>
      </c>
      <c r="L1013">
        <v>-1.1624711999999999</v>
      </c>
      <c r="M1013">
        <v>0</v>
      </c>
      <c r="N1013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013">
        <v>-1.1088359000000001</v>
      </c>
      <c r="P1013">
        <v>0</v>
      </c>
      <c r="Q1013">
        <f>ROUND(Table1[[#This Row],[dass21_raw_score]],0)</f>
        <v>0</v>
      </c>
      <c r="R1013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013">
        <v>-1.0949099</v>
      </c>
      <c r="T1013">
        <v>0</v>
      </c>
      <c r="U1013">
        <v>23333.333999999999</v>
      </c>
      <c r="V1013" s="1">
        <f>ROUND(Table1[[#This Row],[fmpce]],0)</f>
        <v>23333</v>
      </c>
      <c r="W1013">
        <v>317.44220000000001</v>
      </c>
      <c r="X1013" s="4">
        <f>Table1[[#This Row],[mpce]]*89</f>
        <v>28252.355800000001</v>
      </c>
      <c r="Y1013" s="2" t="s">
        <v>35</v>
      </c>
      <c r="Z1013" s="3">
        <f>VLOOKUP(Y1013, rmpce_reference!$B$1:$D$7,3,FALSE) * 89</f>
        <v>9790</v>
      </c>
      <c r="AA1013" s="1" t="str">
        <f>IF(Table1[rmpce_inr]&lt;=rmpce_reference!$F$2, "Low Income", IF(Table1[rmpce_inr]&lt;=rmpce_reference!$F$3, "Middle Income", "High Income"))</f>
        <v>High Income</v>
      </c>
    </row>
    <row r="1014" spans="1:27" x14ac:dyDescent="0.25">
      <c r="A1014">
        <v>5149</v>
      </c>
      <c r="B1014" t="s">
        <v>43</v>
      </c>
      <c r="C1014" t="s">
        <v>29</v>
      </c>
      <c r="D1014">
        <v>40</v>
      </c>
      <c r="E1014" t="s">
        <v>22</v>
      </c>
      <c r="F1014" t="s">
        <v>23</v>
      </c>
      <c r="G1014">
        <v>0</v>
      </c>
      <c r="H1014" s="1" t="str">
        <f>IF(Table1[[#This Row],[anxiety_score]]&lt;=10, "Normal", IF(Table1[[#This Row],[anxiety_score]]&lt;=20, "Moderate", IF(Table1[[#This Row],[anxiety_score]]&lt;=30, "Severe", "Extremely Severe")))</f>
        <v>Normal</v>
      </c>
      <c r="I1014">
        <v>-1.0134224999999999</v>
      </c>
      <c r="J1014">
        <v>0</v>
      </c>
      <c r="K1014" s="1" t="str">
        <f>IF(Table1[[#This Row],[stress_score]]&lt;=10, "Normal", IF(Table1[[#This Row],[stress_score]]&lt;=20, "Moderate", IF(Table1[[#This Row],[stress_score]]&lt;=30, "Severe", "Extremely Severe")))</f>
        <v>Normal</v>
      </c>
      <c r="L1014">
        <v>-1.1624711999999999</v>
      </c>
      <c r="M1014">
        <v>0</v>
      </c>
      <c r="N1014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014">
        <v>-1.1088359000000001</v>
      </c>
      <c r="P1014">
        <v>0</v>
      </c>
      <c r="Q1014">
        <f>ROUND(Table1[[#This Row],[dass21_raw_score]],0)</f>
        <v>0</v>
      </c>
      <c r="R1014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014">
        <v>-1.0949099</v>
      </c>
      <c r="T1014">
        <v>0</v>
      </c>
      <c r="U1014">
        <v>2500</v>
      </c>
      <c r="V1014" s="1">
        <f>ROUND(Table1[[#This Row],[fmpce]],0)</f>
        <v>2500</v>
      </c>
      <c r="W1014">
        <v>34.011659999999999</v>
      </c>
      <c r="X1014" s="4">
        <f>Table1[[#This Row],[mpce]]*89</f>
        <v>3027.0377399999998</v>
      </c>
      <c r="Y1014" s="2" t="s">
        <v>34</v>
      </c>
      <c r="Z1014" s="3">
        <f>VLOOKUP(Y1014, rmpce_reference!$B$1:$D$7,3,FALSE) * 89</f>
        <v>2848</v>
      </c>
      <c r="AA1014" s="1" t="str">
        <f>IF(Table1[rmpce_inr]&lt;=rmpce_reference!$F$2, "Low Income", IF(Table1[rmpce_inr]&lt;=rmpce_reference!$F$3, "Middle Income", "High Income"))</f>
        <v>Low Income</v>
      </c>
    </row>
    <row r="1015" spans="1:27" x14ac:dyDescent="0.25">
      <c r="A1015">
        <v>5150</v>
      </c>
      <c r="B1015" t="s">
        <v>43</v>
      </c>
      <c r="C1015" t="s">
        <v>29</v>
      </c>
      <c r="D1015">
        <v>38</v>
      </c>
      <c r="E1015" t="s">
        <v>22</v>
      </c>
      <c r="F1015" t="s">
        <v>23</v>
      </c>
      <c r="G1015">
        <v>6</v>
      </c>
      <c r="H1015" s="1" t="str">
        <f>IF(Table1[[#This Row],[anxiety_score]]&lt;=10, "Normal", IF(Table1[[#This Row],[anxiety_score]]&lt;=20, "Moderate", IF(Table1[[#This Row],[anxiety_score]]&lt;=30, "Severe", "Extremely Severe")))</f>
        <v>Normal</v>
      </c>
      <c r="I1015">
        <v>-0.41028870000000001</v>
      </c>
      <c r="J1015">
        <v>6</v>
      </c>
      <c r="K1015" s="1" t="str">
        <f>IF(Table1[[#This Row],[stress_score]]&lt;=10, "Normal", IF(Table1[[#This Row],[stress_score]]&lt;=20, "Moderate", IF(Table1[[#This Row],[stress_score]]&lt;=30, "Severe", "Extremely Severe")))</f>
        <v>Normal</v>
      </c>
      <c r="L1015">
        <v>-0.57848745999999995</v>
      </c>
      <c r="M1015">
        <v>10</v>
      </c>
      <c r="N1015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015">
        <v>-0.14564899000000001</v>
      </c>
      <c r="P1015">
        <v>7.3333335000000002</v>
      </c>
      <c r="Q1015">
        <f>ROUND(Table1[[#This Row],[dass21_raw_score]],0)</f>
        <v>7</v>
      </c>
      <c r="R1015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015">
        <v>-0.37814170000000003</v>
      </c>
      <c r="T1015">
        <v>0.71676819999999997</v>
      </c>
      <c r="U1015">
        <v>4000</v>
      </c>
      <c r="V1015" s="1">
        <f>ROUND(Table1[[#This Row],[fmpce]],0)</f>
        <v>4000</v>
      </c>
      <c r="W1015">
        <v>54.418660000000003</v>
      </c>
      <c r="X1015" s="4">
        <f>Table1[[#This Row],[mpce]]*89</f>
        <v>4843.2607400000006</v>
      </c>
      <c r="Y1015" s="2" t="s">
        <v>32</v>
      </c>
      <c r="Z1015" s="3">
        <f>VLOOKUP(Y1015, rmpce_reference!$B$1:$D$7,3,FALSE) * 89</f>
        <v>4450</v>
      </c>
      <c r="AA1015" s="1" t="str">
        <f>IF(Table1[rmpce_inr]&lt;=rmpce_reference!$F$2, "Low Income", IF(Table1[rmpce_inr]&lt;=rmpce_reference!$F$3, "Middle Income", "High Income"))</f>
        <v>Low Income</v>
      </c>
    </row>
    <row r="1016" spans="1:27" x14ac:dyDescent="0.25">
      <c r="A1016">
        <v>5151</v>
      </c>
      <c r="B1016" t="s">
        <v>43</v>
      </c>
      <c r="C1016" t="s">
        <v>36</v>
      </c>
      <c r="D1016">
        <v>55</v>
      </c>
      <c r="E1016" t="s">
        <v>22</v>
      </c>
      <c r="F1016" t="s">
        <v>23</v>
      </c>
      <c r="G1016">
        <v>12</v>
      </c>
      <c r="H1016" s="1" t="str">
        <f>IF(Table1[[#This Row],[anxiety_score]]&lt;=10, "Normal", IF(Table1[[#This Row],[anxiety_score]]&lt;=20, "Moderate", IF(Table1[[#This Row],[anxiety_score]]&lt;=30, "Severe", "Extremely Severe")))</f>
        <v>Moderate</v>
      </c>
      <c r="I1016">
        <v>0.19284514999999999</v>
      </c>
      <c r="J1016">
        <v>12</v>
      </c>
      <c r="K1016" s="1" t="str">
        <f>IF(Table1[[#This Row],[stress_score]]&lt;=10, "Normal", IF(Table1[[#This Row],[stress_score]]&lt;=20, "Moderate", IF(Table1[[#This Row],[stress_score]]&lt;=30, "Severe", "Extremely Severe")))</f>
        <v>Moderate</v>
      </c>
      <c r="L1016">
        <v>5.496318E-3</v>
      </c>
      <c r="M1016">
        <v>14</v>
      </c>
      <c r="N1016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1016">
        <v>0.23962580999999999</v>
      </c>
      <c r="P1016">
        <v>12.666667</v>
      </c>
      <c r="Q1016">
        <f>ROUND(Table1[[#This Row],[dass21_raw_score]],0)</f>
        <v>13</v>
      </c>
      <c r="R1016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1016">
        <v>0.14598908999999999</v>
      </c>
      <c r="T1016">
        <v>1.240899</v>
      </c>
      <c r="U1016">
        <v>4000</v>
      </c>
      <c r="V1016" s="1">
        <f>ROUND(Table1[[#This Row],[fmpce]],0)</f>
        <v>4000</v>
      </c>
      <c r="W1016">
        <v>54.418660000000003</v>
      </c>
      <c r="X1016" s="4">
        <f>Table1[[#This Row],[mpce]]*89</f>
        <v>4843.2607400000006</v>
      </c>
      <c r="Y1016" s="2" t="s">
        <v>32</v>
      </c>
      <c r="Z1016" s="3">
        <f>VLOOKUP(Y1016, rmpce_reference!$B$1:$D$7,3,FALSE) * 89</f>
        <v>4450</v>
      </c>
      <c r="AA1016" s="1" t="str">
        <f>IF(Table1[rmpce_inr]&lt;=rmpce_reference!$F$2, "Low Income", IF(Table1[rmpce_inr]&lt;=rmpce_reference!$F$3, "Middle Income", "High Income"))</f>
        <v>Low Income</v>
      </c>
    </row>
    <row r="1017" spans="1:27" x14ac:dyDescent="0.25">
      <c r="A1017">
        <v>5152</v>
      </c>
      <c r="B1017" t="s">
        <v>43</v>
      </c>
      <c r="C1017" t="s">
        <v>29</v>
      </c>
      <c r="D1017">
        <v>40</v>
      </c>
      <c r="E1017" t="s">
        <v>25</v>
      </c>
      <c r="F1017" t="s">
        <v>23</v>
      </c>
      <c r="G1017">
        <v>4</v>
      </c>
      <c r="H1017" s="1" t="str">
        <f>IF(Table1[[#This Row],[anxiety_score]]&lt;=10, "Normal", IF(Table1[[#This Row],[anxiety_score]]&lt;=20, "Moderate", IF(Table1[[#This Row],[anxiety_score]]&lt;=30, "Severe", "Extremely Severe")))</f>
        <v>Normal</v>
      </c>
      <c r="I1017">
        <v>-0.61133329999999997</v>
      </c>
      <c r="J1017">
        <v>6</v>
      </c>
      <c r="K1017" s="1" t="str">
        <f>IF(Table1[[#This Row],[stress_score]]&lt;=10, "Normal", IF(Table1[[#This Row],[stress_score]]&lt;=20, "Moderate", IF(Table1[[#This Row],[stress_score]]&lt;=30, "Severe", "Extremely Severe")))</f>
        <v>Normal</v>
      </c>
      <c r="L1017">
        <v>-0.57848745999999995</v>
      </c>
      <c r="M1017">
        <v>22</v>
      </c>
      <c r="N1017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1017">
        <v>1.0101753</v>
      </c>
      <c r="P1017">
        <v>10.666667</v>
      </c>
      <c r="Q1017">
        <f>ROUND(Table1[[#This Row],[dass21_raw_score]],0)</f>
        <v>11</v>
      </c>
      <c r="R1017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1017">
        <v>-5.9881806000000003E-2</v>
      </c>
      <c r="T1017">
        <v>1.0350280999999999</v>
      </c>
      <c r="U1017">
        <v>3333.3332999999998</v>
      </c>
      <c r="V1017" s="1">
        <f>ROUND(Table1[[#This Row],[fmpce]],0)</f>
        <v>3333</v>
      </c>
      <c r="W1017">
        <v>45.348880000000001</v>
      </c>
      <c r="X1017" s="4">
        <f>Table1[[#This Row],[mpce]]*89</f>
        <v>4036.0503200000003</v>
      </c>
      <c r="Y1017" s="2" t="s">
        <v>32</v>
      </c>
      <c r="Z1017" s="3">
        <f>VLOOKUP(Y1017, rmpce_reference!$B$1:$D$7,3,FALSE) * 89</f>
        <v>4450</v>
      </c>
      <c r="AA1017" s="1" t="str">
        <f>IF(Table1[rmpce_inr]&lt;=rmpce_reference!$F$2, "Low Income", IF(Table1[rmpce_inr]&lt;=rmpce_reference!$F$3, "Middle Income", "High Income"))</f>
        <v>Low Income</v>
      </c>
    </row>
    <row r="1018" spans="1:27" x14ac:dyDescent="0.25">
      <c r="A1018">
        <v>5153</v>
      </c>
      <c r="B1018" t="s">
        <v>43</v>
      </c>
      <c r="C1018" t="s">
        <v>29</v>
      </c>
      <c r="D1018">
        <v>36</v>
      </c>
      <c r="E1018" t="s">
        <v>25</v>
      </c>
      <c r="F1018" t="s">
        <v>26</v>
      </c>
      <c r="G1018">
        <v>2</v>
      </c>
      <c r="H1018" s="1" t="str">
        <f>IF(Table1[[#This Row],[anxiety_score]]&lt;=10, "Normal", IF(Table1[[#This Row],[anxiety_score]]&lt;=20, "Moderate", IF(Table1[[#This Row],[anxiety_score]]&lt;=30, "Severe", "Extremely Severe")))</f>
        <v>Normal</v>
      </c>
      <c r="I1018">
        <v>-0.81237789999999999</v>
      </c>
      <c r="J1018">
        <v>4</v>
      </c>
      <c r="K1018" s="1" t="str">
        <f>IF(Table1[[#This Row],[stress_score]]&lt;=10, "Normal", IF(Table1[[#This Row],[stress_score]]&lt;=20, "Moderate", IF(Table1[[#This Row],[stress_score]]&lt;=30, "Severe", "Extremely Severe")))</f>
        <v>Normal</v>
      </c>
      <c r="L1018">
        <v>-0.77314866000000004</v>
      </c>
      <c r="M1018">
        <v>2</v>
      </c>
      <c r="N1018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018">
        <v>-0.91619854999999994</v>
      </c>
      <c r="P1018">
        <v>2.6666666999999999</v>
      </c>
      <c r="Q1018">
        <f>ROUND(Table1[[#This Row],[dass21_raw_score]],0)</f>
        <v>3</v>
      </c>
      <c r="R1018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018">
        <v>-0.83390839999999999</v>
      </c>
      <c r="T1018">
        <v>0.26100152999999998</v>
      </c>
      <c r="U1018">
        <v>11666.666999999999</v>
      </c>
      <c r="V1018" s="1">
        <f>ROUND(Table1[[#This Row],[fmpce]],0)</f>
        <v>11667</v>
      </c>
      <c r="W1018">
        <v>158.72110000000001</v>
      </c>
      <c r="X1018" s="4">
        <f>Table1[[#This Row],[mpce]]*89</f>
        <v>14126.177900000001</v>
      </c>
      <c r="Y1018" s="2" t="s">
        <v>35</v>
      </c>
      <c r="Z1018" s="3">
        <f>VLOOKUP(Y1018, rmpce_reference!$B$1:$D$7,3,FALSE) * 89</f>
        <v>9790</v>
      </c>
      <c r="AA1018" s="1" t="str">
        <f>IF(Table1[rmpce_inr]&lt;=rmpce_reference!$F$2, "Low Income", IF(Table1[rmpce_inr]&lt;=rmpce_reference!$F$3, "Middle Income", "High Income"))</f>
        <v>High Income</v>
      </c>
    </row>
    <row r="1019" spans="1:27" x14ac:dyDescent="0.25">
      <c r="A1019">
        <v>5154</v>
      </c>
      <c r="B1019" t="s">
        <v>43</v>
      </c>
      <c r="C1019" t="s">
        <v>21</v>
      </c>
      <c r="D1019">
        <v>41</v>
      </c>
      <c r="E1019" t="s">
        <v>22</v>
      </c>
      <c r="F1019" t="s">
        <v>23</v>
      </c>
      <c r="G1019">
        <v>4</v>
      </c>
      <c r="H1019" s="1" t="str">
        <f>IF(Table1[[#This Row],[anxiety_score]]&lt;=10, "Normal", IF(Table1[[#This Row],[anxiety_score]]&lt;=20, "Moderate", IF(Table1[[#This Row],[anxiety_score]]&lt;=30, "Severe", "Extremely Severe")))</f>
        <v>Normal</v>
      </c>
      <c r="I1019">
        <v>-0.61133329999999997</v>
      </c>
      <c r="J1019">
        <v>12</v>
      </c>
      <c r="K1019" s="1" t="str">
        <f>IF(Table1[[#This Row],[stress_score]]&lt;=10, "Normal", IF(Table1[[#This Row],[stress_score]]&lt;=20, "Moderate", IF(Table1[[#This Row],[stress_score]]&lt;=30, "Severe", "Extremely Severe")))</f>
        <v>Moderate</v>
      </c>
      <c r="L1019">
        <v>5.496318E-3</v>
      </c>
      <c r="M1019">
        <v>14</v>
      </c>
      <c r="N1019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1019">
        <v>0.23962580999999999</v>
      </c>
      <c r="P1019">
        <v>10</v>
      </c>
      <c r="Q1019">
        <f>ROUND(Table1[[#This Row],[dass21_raw_score]],0)</f>
        <v>10</v>
      </c>
      <c r="R1019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019">
        <v>-0.122070394</v>
      </c>
      <c r="T1019">
        <v>0.97283953000000001</v>
      </c>
      <c r="U1019">
        <v>4333.3334999999997</v>
      </c>
      <c r="V1019" s="1">
        <f>ROUND(Table1[[#This Row],[fmpce]],0)</f>
        <v>4333</v>
      </c>
      <c r="W1019">
        <v>58.95355</v>
      </c>
      <c r="X1019" s="4">
        <f>Table1[[#This Row],[mpce]]*89</f>
        <v>5246.8659500000003</v>
      </c>
      <c r="Y1019" s="2" t="s">
        <v>32</v>
      </c>
      <c r="Z1019" s="3">
        <f>VLOOKUP(Y1019, rmpce_reference!$B$1:$D$7,3,FALSE) * 89</f>
        <v>4450</v>
      </c>
      <c r="AA1019" s="1" t="str">
        <f>IF(Table1[rmpce_inr]&lt;=rmpce_reference!$F$2, "Low Income", IF(Table1[rmpce_inr]&lt;=rmpce_reference!$F$3, "Middle Income", "High Income"))</f>
        <v>Low Income</v>
      </c>
    </row>
    <row r="1020" spans="1:27" x14ac:dyDescent="0.25">
      <c r="A1020">
        <v>5155</v>
      </c>
      <c r="B1020" t="s">
        <v>43</v>
      </c>
      <c r="C1020" t="s">
        <v>29</v>
      </c>
      <c r="D1020">
        <v>34</v>
      </c>
      <c r="E1020" t="s">
        <v>22</v>
      </c>
      <c r="F1020" t="s">
        <v>30</v>
      </c>
      <c r="G1020">
        <v>10</v>
      </c>
      <c r="H1020" s="1" t="str">
        <f>IF(Table1[[#This Row],[anxiety_score]]&lt;=10, "Normal", IF(Table1[[#This Row],[anxiety_score]]&lt;=20, "Moderate", IF(Table1[[#This Row],[anxiety_score]]&lt;=30, "Severe", "Extremely Severe")))</f>
        <v>Normal</v>
      </c>
      <c r="I1020">
        <v>-8.1994660000000007E-3</v>
      </c>
      <c r="J1020">
        <v>28</v>
      </c>
      <c r="K1020" s="1" t="str">
        <f>IF(Table1[[#This Row],[stress_score]]&lt;=10, "Normal", IF(Table1[[#This Row],[stress_score]]&lt;=20, "Moderate", IF(Table1[[#This Row],[stress_score]]&lt;=30, "Severe", "Extremely Severe")))</f>
        <v>Severe</v>
      </c>
      <c r="L1020">
        <v>1.5627863</v>
      </c>
      <c r="M1020">
        <v>26</v>
      </c>
      <c r="N1020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1020">
        <v>1.3954502</v>
      </c>
      <c r="P1020">
        <v>21.333334000000001</v>
      </c>
      <c r="Q1020">
        <f>ROUND(Table1[[#This Row],[dass21_raw_score]],0)</f>
        <v>21</v>
      </c>
      <c r="R1020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020">
        <v>0.98334569999999999</v>
      </c>
      <c r="T1020">
        <v>2.0782557000000002</v>
      </c>
      <c r="U1020">
        <v>4285.7143999999998</v>
      </c>
      <c r="V1020" s="1">
        <f>ROUND(Table1[[#This Row],[fmpce]],0)</f>
        <v>4286</v>
      </c>
      <c r="W1020">
        <v>58.305706000000001</v>
      </c>
      <c r="X1020" s="4">
        <f>Table1[[#This Row],[mpce]]*89</f>
        <v>5189.2078339999998</v>
      </c>
      <c r="Y1020" s="2" t="s">
        <v>32</v>
      </c>
      <c r="Z1020" s="3">
        <f>VLOOKUP(Y1020, rmpce_reference!$B$1:$D$7,3,FALSE) * 89</f>
        <v>4450</v>
      </c>
      <c r="AA1020" s="1" t="str">
        <f>IF(Table1[rmpce_inr]&lt;=rmpce_reference!$F$2, "Low Income", IF(Table1[rmpce_inr]&lt;=rmpce_reference!$F$3, "Middle Income", "High Income"))</f>
        <v>Low Income</v>
      </c>
    </row>
    <row r="1021" spans="1:27" x14ac:dyDescent="0.25">
      <c r="A1021">
        <v>5156</v>
      </c>
      <c r="B1021" t="s">
        <v>43</v>
      </c>
      <c r="C1021" t="s">
        <v>21</v>
      </c>
      <c r="D1021">
        <v>48</v>
      </c>
      <c r="E1021" t="s">
        <v>22</v>
      </c>
      <c r="F1021" t="s">
        <v>23</v>
      </c>
      <c r="G1021">
        <v>2</v>
      </c>
      <c r="H1021" s="1" t="str">
        <f>IF(Table1[[#This Row],[anxiety_score]]&lt;=10, "Normal", IF(Table1[[#This Row],[anxiety_score]]&lt;=20, "Moderate", IF(Table1[[#This Row],[anxiety_score]]&lt;=30, "Severe", "Extremely Severe")))</f>
        <v>Normal</v>
      </c>
      <c r="I1021">
        <v>-0.81237789999999999</v>
      </c>
      <c r="J1021">
        <v>2</v>
      </c>
      <c r="K1021" s="1" t="str">
        <f>IF(Table1[[#This Row],[stress_score]]&lt;=10, "Normal", IF(Table1[[#This Row],[stress_score]]&lt;=20, "Moderate", IF(Table1[[#This Row],[stress_score]]&lt;=30, "Severe", "Extremely Severe")))</f>
        <v>Normal</v>
      </c>
      <c r="L1021">
        <v>-0.9678099</v>
      </c>
      <c r="M1021">
        <v>2</v>
      </c>
      <c r="N1021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021">
        <v>-0.91619854999999994</v>
      </c>
      <c r="P1021">
        <v>2</v>
      </c>
      <c r="Q1021">
        <f>ROUND(Table1[[#This Row],[dass21_raw_score]],0)</f>
        <v>2</v>
      </c>
      <c r="R1021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021">
        <v>-0.89879549999999997</v>
      </c>
      <c r="T1021">
        <v>0.19611442000000001</v>
      </c>
      <c r="U1021">
        <v>7500</v>
      </c>
      <c r="V1021" s="1">
        <f>ROUND(Table1[[#This Row],[fmpce]],0)</f>
        <v>7500</v>
      </c>
      <c r="W1021">
        <v>102.03498999999999</v>
      </c>
      <c r="X1021" s="4">
        <f>Table1[[#This Row],[mpce]]*89</f>
        <v>9081.1141099999986</v>
      </c>
      <c r="Y1021" s="2" t="s">
        <v>35</v>
      </c>
      <c r="Z1021" s="3">
        <f>VLOOKUP(Y1021, rmpce_reference!$B$1:$D$7,3,FALSE) * 89</f>
        <v>9790</v>
      </c>
      <c r="AA1021" s="1" t="str">
        <f>IF(Table1[rmpce_inr]&lt;=rmpce_reference!$F$2, "Low Income", IF(Table1[rmpce_inr]&lt;=rmpce_reference!$F$3, "Middle Income", "High Income"))</f>
        <v>High Income</v>
      </c>
    </row>
    <row r="1022" spans="1:27" x14ac:dyDescent="0.25">
      <c r="A1022">
        <v>5157</v>
      </c>
      <c r="B1022" t="s">
        <v>43</v>
      </c>
      <c r="C1022" t="s">
        <v>29</v>
      </c>
      <c r="D1022">
        <v>35</v>
      </c>
      <c r="E1022" t="s">
        <v>22</v>
      </c>
      <c r="F1022" t="s">
        <v>30</v>
      </c>
      <c r="G1022">
        <v>0</v>
      </c>
      <c r="H1022" s="1" t="str">
        <f>IF(Table1[[#This Row],[anxiety_score]]&lt;=10, "Normal", IF(Table1[[#This Row],[anxiety_score]]&lt;=20, "Moderate", IF(Table1[[#This Row],[anxiety_score]]&lt;=30, "Severe", "Extremely Severe")))</f>
        <v>Normal</v>
      </c>
      <c r="I1022">
        <v>-1.0134224999999999</v>
      </c>
      <c r="J1022">
        <v>0</v>
      </c>
      <c r="K1022" s="1" t="str">
        <f>IF(Table1[[#This Row],[stress_score]]&lt;=10, "Normal", IF(Table1[[#This Row],[stress_score]]&lt;=20, "Moderate", IF(Table1[[#This Row],[stress_score]]&lt;=30, "Severe", "Extremely Severe")))</f>
        <v>Normal</v>
      </c>
      <c r="L1022">
        <v>-1.1624711999999999</v>
      </c>
      <c r="M1022">
        <v>0</v>
      </c>
      <c r="N1022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022">
        <v>-1.1088359000000001</v>
      </c>
      <c r="P1022">
        <v>0</v>
      </c>
      <c r="Q1022">
        <f>ROUND(Table1[[#This Row],[dass21_raw_score]],0)</f>
        <v>0</v>
      </c>
      <c r="R1022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022">
        <v>-1.0949099</v>
      </c>
      <c r="T1022">
        <v>0</v>
      </c>
      <c r="U1022">
        <v>3571.4285</v>
      </c>
      <c r="V1022" s="1">
        <f>ROUND(Table1[[#This Row],[fmpce]],0)</f>
        <v>3571</v>
      </c>
      <c r="W1022">
        <v>48.588085</v>
      </c>
      <c r="X1022" s="4">
        <f>Table1[[#This Row],[mpce]]*89</f>
        <v>4324.3395650000002</v>
      </c>
      <c r="Y1022" s="2" t="s">
        <v>32</v>
      </c>
      <c r="Z1022" s="3">
        <f>VLOOKUP(Y1022, rmpce_reference!$B$1:$D$7,3,FALSE) * 89</f>
        <v>4450</v>
      </c>
      <c r="AA1022" s="1" t="str">
        <f>IF(Table1[rmpce_inr]&lt;=rmpce_reference!$F$2, "Low Income", IF(Table1[rmpce_inr]&lt;=rmpce_reference!$F$3, "Middle Income", "High Income"))</f>
        <v>Low Income</v>
      </c>
    </row>
    <row r="1023" spans="1:27" x14ac:dyDescent="0.25">
      <c r="A1023">
        <v>5158</v>
      </c>
      <c r="B1023" t="s">
        <v>43</v>
      </c>
      <c r="C1023" t="s">
        <v>21</v>
      </c>
      <c r="D1023">
        <v>45</v>
      </c>
      <c r="E1023" t="s">
        <v>22</v>
      </c>
      <c r="F1023" t="s">
        <v>23</v>
      </c>
      <c r="G1023">
        <v>4</v>
      </c>
      <c r="H1023" s="1" t="str">
        <f>IF(Table1[[#This Row],[anxiety_score]]&lt;=10, "Normal", IF(Table1[[#This Row],[anxiety_score]]&lt;=20, "Moderate", IF(Table1[[#This Row],[anxiety_score]]&lt;=30, "Severe", "Extremely Severe")))</f>
        <v>Normal</v>
      </c>
      <c r="I1023">
        <v>-0.61133329999999997</v>
      </c>
      <c r="J1023">
        <v>16</v>
      </c>
      <c r="K1023" s="1" t="str">
        <f>IF(Table1[[#This Row],[stress_score]]&lt;=10, "Normal", IF(Table1[[#This Row],[stress_score]]&lt;=20, "Moderate", IF(Table1[[#This Row],[stress_score]]&lt;=30, "Severe", "Extremely Severe")))</f>
        <v>Moderate</v>
      </c>
      <c r="L1023">
        <v>0.39481880000000003</v>
      </c>
      <c r="M1023">
        <v>18</v>
      </c>
      <c r="N1023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1023">
        <v>0.62490060000000003</v>
      </c>
      <c r="P1023">
        <v>12.666667</v>
      </c>
      <c r="Q1023">
        <f>ROUND(Table1[[#This Row],[dass21_raw_score]],0)</f>
        <v>13</v>
      </c>
      <c r="R1023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1023">
        <v>0.13612869999999999</v>
      </c>
      <c r="T1023">
        <v>1.2310386</v>
      </c>
      <c r="U1023">
        <v>17500</v>
      </c>
      <c r="V1023" s="1">
        <f>ROUND(Table1[[#This Row],[fmpce]],0)</f>
        <v>17500</v>
      </c>
      <c r="W1023">
        <v>238.08162999999999</v>
      </c>
      <c r="X1023" s="4">
        <f>Table1[[#This Row],[mpce]]*89</f>
        <v>21189.265069999998</v>
      </c>
      <c r="Y1023" s="2" t="s">
        <v>35</v>
      </c>
      <c r="Z1023" s="3">
        <f>VLOOKUP(Y1023, rmpce_reference!$B$1:$D$7,3,FALSE) * 89</f>
        <v>9790</v>
      </c>
      <c r="AA1023" s="1" t="str">
        <f>IF(Table1[rmpce_inr]&lt;=rmpce_reference!$F$2, "Low Income", IF(Table1[rmpce_inr]&lt;=rmpce_reference!$F$3, "Middle Income", "High Income"))</f>
        <v>High Income</v>
      </c>
    </row>
    <row r="1024" spans="1:27" x14ac:dyDescent="0.25">
      <c r="A1024">
        <v>5159</v>
      </c>
      <c r="B1024" t="s">
        <v>43</v>
      </c>
      <c r="C1024" t="s">
        <v>29</v>
      </c>
      <c r="D1024">
        <v>34</v>
      </c>
      <c r="E1024" t="s">
        <v>25</v>
      </c>
      <c r="F1024" t="s">
        <v>26</v>
      </c>
      <c r="G1024">
        <v>6</v>
      </c>
      <c r="H1024" s="1" t="str">
        <f>IF(Table1[[#This Row],[anxiety_score]]&lt;=10, "Normal", IF(Table1[[#This Row],[anxiety_score]]&lt;=20, "Moderate", IF(Table1[[#This Row],[anxiety_score]]&lt;=30, "Severe", "Extremely Severe")))</f>
        <v>Normal</v>
      </c>
      <c r="I1024">
        <v>-0.41028870000000001</v>
      </c>
      <c r="J1024">
        <v>2</v>
      </c>
      <c r="K1024" s="1" t="str">
        <f>IF(Table1[[#This Row],[stress_score]]&lt;=10, "Normal", IF(Table1[[#This Row],[stress_score]]&lt;=20, "Moderate", IF(Table1[[#This Row],[stress_score]]&lt;=30, "Severe", "Extremely Severe")))</f>
        <v>Normal</v>
      </c>
      <c r="L1024">
        <v>-0.9678099</v>
      </c>
      <c r="M1024">
        <v>0</v>
      </c>
      <c r="N1024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024">
        <v>-1.1088359000000001</v>
      </c>
      <c r="P1024">
        <v>2.6666666999999999</v>
      </c>
      <c r="Q1024">
        <f>ROUND(Table1[[#This Row],[dass21_raw_score]],0)</f>
        <v>3</v>
      </c>
      <c r="R1024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024">
        <v>-0.8289782</v>
      </c>
      <c r="T1024">
        <v>0.26593172999999998</v>
      </c>
      <c r="U1024">
        <v>7500</v>
      </c>
      <c r="V1024" s="1">
        <f>ROUND(Table1[[#This Row],[fmpce]],0)</f>
        <v>7500</v>
      </c>
      <c r="W1024">
        <v>102.03498999999999</v>
      </c>
      <c r="X1024" s="4">
        <f>Table1[[#This Row],[mpce]]*89</f>
        <v>9081.1141099999986</v>
      </c>
      <c r="Y1024" s="2" t="s">
        <v>35</v>
      </c>
      <c r="Z1024" s="3">
        <f>VLOOKUP(Y1024, rmpce_reference!$B$1:$D$7,3,FALSE) * 89</f>
        <v>9790</v>
      </c>
      <c r="AA1024" s="1" t="str">
        <f>IF(Table1[rmpce_inr]&lt;=rmpce_reference!$F$2, "Low Income", IF(Table1[rmpce_inr]&lt;=rmpce_reference!$F$3, "Middle Income", "High Income"))</f>
        <v>High Income</v>
      </c>
    </row>
    <row r="1025" spans="1:27" x14ac:dyDescent="0.25">
      <c r="A1025">
        <v>5160</v>
      </c>
      <c r="B1025" t="s">
        <v>43</v>
      </c>
      <c r="C1025" t="s">
        <v>21</v>
      </c>
      <c r="D1025">
        <v>44</v>
      </c>
      <c r="E1025" t="s">
        <v>25</v>
      </c>
      <c r="F1025" t="s">
        <v>30</v>
      </c>
      <c r="G1025">
        <v>0</v>
      </c>
      <c r="H1025" s="1" t="str">
        <f>IF(Table1[[#This Row],[anxiety_score]]&lt;=10, "Normal", IF(Table1[[#This Row],[anxiety_score]]&lt;=20, "Moderate", IF(Table1[[#This Row],[anxiety_score]]&lt;=30, "Severe", "Extremely Severe")))</f>
        <v>Normal</v>
      </c>
      <c r="I1025">
        <v>-1.0134224999999999</v>
      </c>
      <c r="J1025">
        <v>0</v>
      </c>
      <c r="K1025" s="1" t="str">
        <f>IF(Table1[[#This Row],[stress_score]]&lt;=10, "Normal", IF(Table1[[#This Row],[stress_score]]&lt;=20, "Moderate", IF(Table1[[#This Row],[stress_score]]&lt;=30, "Severe", "Extremely Severe")))</f>
        <v>Normal</v>
      </c>
      <c r="L1025">
        <v>-1.1624711999999999</v>
      </c>
      <c r="M1025">
        <v>0</v>
      </c>
      <c r="N1025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025">
        <v>-1.1088359000000001</v>
      </c>
      <c r="P1025">
        <v>0</v>
      </c>
      <c r="Q1025">
        <f>ROUND(Table1[[#This Row],[dass21_raw_score]],0)</f>
        <v>0</v>
      </c>
      <c r="R1025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025">
        <v>-1.0949099</v>
      </c>
      <c r="T1025">
        <v>0</v>
      </c>
      <c r="U1025">
        <v>15000</v>
      </c>
      <c r="V1025" s="1">
        <f>ROUND(Table1[[#This Row],[fmpce]],0)</f>
        <v>15000</v>
      </c>
      <c r="W1025">
        <v>204.06997999999999</v>
      </c>
      <c r="X1025" s="4">
        <f>Table1[[#This Row],[mpce]]*89</f>
        <v>18162.228219999997</v>
      </c>
      <c r="Y1025" s="2" t="s">
        <v>35</v>
      </c>
      <c r="Z1025" s="3">
        <f>VLOOKUP(Y1025, rmpce_reference!$B$1:$D$7,3,FALSE) * 89</f>
        <v>9790</v>
      </c>
      <c r="AA1025" s="1" t="str">
        <f>IF(Table1[rmpce_inr]&lt;=rmpce_reference!$F$2, "Low Income", IF(Table1[rmpce_inr]&lt;=rmpce_reference!$F$3, "Middle Income", "High Income"))</f>
        <v>High Income</v>
      </c>
    </row>
    <row r="1026" spans="1:27" x14ac:dyDescent="0.25">
      <c r="A1026">
        <v>5161</v>
      </c>
      <c r="B1026" t="s">
        <v>43</v>
      </c>
      <c r="C1026" t="s">
        <v>29</v>
      </c>
      <c r="D1026">
        <v>39</v>
      </c>
      <c r="E1026" t="s">
        <v>22</v>
      </c>
      <c r="F1026" t="s">
        <v>23</v>
      </c>
      <c r="G1026">
        <v>16</v>
      </c>
      <c r="H1026" s="1" t="str">
        <f>IF(Table1[[#This Row],[anxiety_score]]&lt;=10, "Normal", IF(Table1[[#This Row],[anxiety_score]]&lt;=20, "Moderate", IF(Table1[[#This Row],[anxiety_score]]&lt;=30, "Severe", "Extremely Severe")))</f>
        <v>Moderate</v>
      </c>
      <c r="I1026">
        <v>0.59493434000000001</v>
      </c>
      <c r="J1026">
        <v>26</v>
      </c>
      <c r="K1026" s="1" t="str">
        <f>IF(Table1[[#This Row],[stress_score]]&lt;=10, "Normal", IF(Table1[[#This Row],[stress_score]]&lt;=20, "Moderate", IF(Table1[[#This Row],[stress_score]]&lt;=30, "Severe", "Extremely Severe")))</f>
        <v>Severe</v>
      </c>
      <c r="L1026">
        <v>1.3681251000000001</v>
      </c>
      <c r="M1026">
        <v>22</v>
      </c>
      <c r="N1026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1026">
        <v>1.0101753</v>
      </c>
      <c r="P1026">
        <v>21.333334000000001</v>
      </c>
      <c r="Q1026">
        <f>ROUND(Table1[[#This Row],[dass21_raw_score]],0)</f>
        <v>21</v>
      </c>
      <c r="R1026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026">
        <v>0.99107825999999999</v>
      </c>
      <c r="T1026">
        <v>2.085988</v>
      </c>
      <c r="U1026">
        <v>10000</v>
      </c>
      <c r="V1026" s="1">
        <f>ROUND(Table1[[#This Row],[fmpce]],0)</f>
        <v>10000</v>
      </c>
      <c r="W1026">
        <v>136.04665</v>
      </c>
      <c r="X1026" s="4">
        <f>Table1[[#This Row],[mpce]]*89</f>
        <v>12108.15185</v>
      </c>
      <c r="Y1026" s="2" t="s">
        <v>35</v>
      </c>
      <c r="Z1026" s="3">
        <f>VLOOKUP(Y1026, rmpce_reference!$B$1:$D$7,3,FALSE) * 89</f>
        <v>9790</v>
      </c>
      <c r="AA1026" s="1" t="str">
        <f>IF(Table1[rmpce_inr]&lt;=rmpce_reference!$F$2, "Low Income", IF(Table1[rmpce_inr]&lt;=rmpce_reference!$F$3, "Middle Income", "High Income"))</f>
        <v>High Income</v>
      </c>
    </row>
    <row r="1027" spans="1:27" x14ac:dyDescent="0.25">
      <c r="A1027">
        <v>5162</v>
      </c>
      <c r="B1027" t="s">
        <v>43</v>
      </c>
      <c r="C1027" t="s">
        <v>29</v>
      </c>
      <c r="D1027">
        <v>38</v>
      </c>
      <c r="E1027" t="s">
        <v>22</v>
      </c>
      <c r="F1027" t="s">
        <v>23</v>
      </c>
      <c r="G1027">
        <v>8</v>
      </c>
      <c r="H1027" s="1" t="str">
        <f>IF(Table1[[#This Row],[anxiety_score]]&lt;=10, "Normal", IF(Table1[[#This Row],[anxiety_score]]&lt;=20, "Moderate", IF(Table1[[#This Row],[anxiety_score]]&lt;=30, "Severe", "Extremely Severe")))</f>
        <v>Normal</v>
      </c>
      <c r="I1027">
        <v>-0.20924408999999999</v>
      </c>
      <c r="J1027">
        <v>10</v>
      </c>
      <c r="K1027" s="1" t="str">
        <f>IF(Table1[[#This Row],[stress_score]]&lt;=10, "Normal", IF(Table1[[#This Row],[stress_score]]&lt;=20, "Moderate", IF(Table1[[#This Row],[stress_score]]&lt;=30, "Severe", "Extremely Severe")))</f>
        <v>Normal</v>
      </c>
      <c r="L1027">
        <v>-0.18916494</v>
      </c>
      <c r="M1027">
        <v>8</v>
      </c>
      <c r="N1027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027">
        <v>-0.33828637</v>
      </c>
      <c r="P1027">
        <v>8.6666670000000003</v>
      </c>
      <c r="Q1027">
        <f>ROUND(Table1[[#This Row],[dass21_raw_score]],0)</f>
        <v>9</v>
      </c>
      <c r="R1027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027">
        <v>-0.24556512999999999</v>
      </c>
      <c r="T1027">
        <v>0.84934480000000001</v>
      </c>
      <c r="U1027">
        <v>6666.6665000000003</v>
      </c>
      <c r="V1027" s="1">
        <f>ROUND(Table1[[#This Row],[fmpce]],0)</f>
        <v>6667</v>
      </c>
      <c r="W1027">
        <v>90.697760000000002</v>
      </c>
      <c r="X1027" s="4">
        <f>Table1[[#This Row],[mpce]]*89</f>
        <v>8072.1006400000006</v>
      </c>
      <c r="Y1027" s="2" t="s">
        <v>31</v>
      </c>
      <c r="Z1027" s="3">
        <f>VLOOKUP(Y1027, rmpce_reference!$B$1:$D$7,3,FALSE) * 89</f>
        <v>8010</v>
      </c>
      <c r="AA1027" s="1" t="str">
        <f>IF(Table1[rmpce_inr]&lt;=rmpce_reference!$F$2, "Low Income", IF(Table1[rmpce_inr]&lt;=rmpce_reference!$F$3, "Middle Income", "High Income"))</f>
        <v>High Income</v>
      </c>
    </row>
    <row r="1028" spans="1:27" x14ac:dyDescent="0.25">
      <c r="A1028">
        <v>5163</v>
      </c>
      <c r="B1028" t="s">
        <v>43</v>
      </c>
      <c r="C1028" t="s">
        <v>29</v>
      </c>
      <c r="D1028">
        <v>39</v>
      </c>
      <c r="E1028" t="s">
        <v>22</v>
      </c>
      <c r="F1028" t="s">
        <v>30</v>
      </c>
      <c r="G1028">
        <v>0</v>
      </c>
      <c r="H1028" s="1" t="str">
        <f>IF(Table1[[#This Row],[anxiety_score]]&lt;=10, "Normal", IF(Table1[[#This Row],[anxiety_score]]&lt;=20, "Moderate", IF(Table1[[#This Row],[anxiety_score]]&lt;=30, "Severe", "Extremely Severe")))</f>
        <v>Normal</v>
      </c>
      <c r="I1028">
        <v>-1.0134224999999999</v>
      </c>
      <c r="J1028">
        <v>0</v>
      </c>
      <c r="K1028" s="1" t="str">
        <f>IF(Table1[[#This Row],[stress_score]]&lt;=10, "Normal", IF(Table1[[#This Row],[stress_score]]&lt;=20, "Moderate", IF(Table1[[#This Row],[stress_score]]&lt;=30, "Severe", "Extremely Severe")))</f>
        <v>Normal</v>
      </c>
      <c r="L1028">
        <v>-1.1624711999999999</v>
      </c>
      <c r="M1028">
        <v>0</v>
      </c>
      <c r="N1028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028">
        <v>-1.1088359000000001</v>
      </c>
      <c r="P1028">
        <v>0</v>
      </c>
      <c r="Q1028">
        <f>ROUND(Table1[[#This Row],[dass21_raw_score]],0)</f>
        <v>0</v>
      </c>
      <c r="R1028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028">
        <v>-1.0949099</v>
      </c>
      <c r="T1028">
        <v>0</v>
      </c>
      <c r="U1028">
        <v>7333.3334999999997</v>
      </c>
      <c r="V1028" s="1">
        <f>ROUND(Table1[[#This Row],[fmpce]],0)</f>
        <v>7333</v>
      </c>
      <c r="W1028">
        <v>99.76755</v>
      </c>
      <c r="X1028" s="4">
        <f>Table1[[#This Row],[mpce]]*89</f>
        <v>8879.3119499999993</v>
      </c>
      <c r="Y1028" s="2" t="s">
        <v>31</v>
      </c>
      <c r="Z1028" s="3">
        <f>VLOOKUP(Y1028, rmpce_reference!$B$1:$D$7,3,FALSE) * 89</f>
        <v>8010</v>
      </c>
      <c r="AA1028" s="1" t="str">
        <f>IF(Table1[rmpce_inr]&lt;=rmpce_reference!$F$2, "Low Income", IF(Table1[rmpce_inr]&lt;=rmpce_reference!$F$3, "Middle Income", "High Income"))</f>
        <v>High Income</v>
      </c>
    </row>
    <row r="1029" spans="1:27" x14ac:dyDescent="0.25">
      <c r="A1029">
        <v>5164</v>
      </c>
      <c r="B1029" t="s">
        <v>43</v>
      </c>
      <c r="C1029" t="s">
        <v>21</v>
      </c>
      <c r="D1029">
        <v>46</v>
      </c>
      <c r="E1029" t="s">
        <v>22</v>
      </c>
      <c r="F1029" t="s">
        <v>23</v>
      </c>
      <c r="G1029">
        <v>0</v>
      </c>
      <c r="H1029" s="1" t="str">
        <f>IF(Table1[[#This Row],[anxiety_score]]&lt;=10, "Normal", IF(Table1[[#This Row],[anxiety_score]]&lt;=20, "Moderate", IF(Table1[[#This Row],[anxiety_score]]&lt;=30, "Severe", "Extremely Severe")))</f>
        <v>Normal</v>
      </c>
      <c r="I1029">
        <v>-1.0134224999999999</v>
      </c>
      <c r="J1029">
        <v>2</v>
      </c>
      <c r="K1029" s="1" t="str">
        <f>IF(Table1[[#This Row],[stress_score]]&lt;=10, "Normal", IF(Table1[[#This Row],[stress_score]]&lt;=20, "Moderate", IF(Table1[[#This Row],[stress_score]]&lt;=30, "Severe", "Extremely Severe")))</f>
        <v>Normal</v>
      </c>
      <c r="L1029">
        <v>-0.9678099</v>
      </c>
      <c r="M1029">
        <v>8</v>
      </c>
      <c r="N1029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029">
        <v>-0.33828637</v>
      </c>
      <c r="P1029">
        <v>3.3333333000000001</v>
      </c>
      <c r="Q1029">
        <f>ROUND(Table1[[#This Row],[dass21_raw_score]],0)</f>
        <v>3</v>
      </c>
      <c r="R1029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029">
        <v>-0.77317290000000005</v>
      </c>
      <c r="T1029">
        <v>0.321737</v>
      </c>
      <c r="U1029">
        <v>7000</v>
      </c>
      <c r="V1029" s="1">
        <f>ROUND(Table1[[#This Row],[fmpce]],0)</f>
        <v>7000</v>
      </c>
      <c r="W1029">
        <v>95.232650000000007</v>
      </c>
      <c r="X1029" s="4">
        <f>Table1[[#This Row],[mpce]]*89</f>
        <v>8475.7058500000003</v>
      </c>
      <c r="Y1029" s="2" t="s">
        <v>31</v>
      </c>
      <c r="Z1029" s="3">
        <f>VLOOKUP(Y1029, rmpce_reference!$B$1:$D$7,3,FALSE) * 89</f>
        <v>8010</v>
      </c>
      <c r="AA1029" s="1" t="str">
        <f>IF(Table1[rmpce_inr]&lt;=rmpce_reference!$F$2, "Low Income", IF(Table1[rmpce_inr]&lt;=rmpce_reference!$F$3, "Middle Income", "High Income"))</f>
        <v>High Income</v>
      </c>
    </row>
    <row r="1030" spans="1:27" x14ac:dyDescent="0.25">
      <c r="A1030">
        <v>5166</v>
      </c>
      <c r="B1030" t="s">
        <v>43</v>
      </c>
      <c r="C1030" t="s">
        <v>21</v>
      </c>
      <c r="D1030">
        <v>44</v>
      </c>
      <c r="E1030" t="s">
        <v>22</v>
      </c>
      <c r="F1030" t="s">
        <v>23</v>
      </c>
      <c r="G1030">
        <v>2</v>
      </c>
      <c r="H1030" s="1" t="str">
        <f>IF(Table1[[#This Row],[anxiety_score]]&lt;=10, "Normal", IF(Table1[[#This Row],[anxiety_score]]&lt;=20, "Moderate", IF(Table1[[#This Row],[anxiety_score]]&lt;=30, "Severe", "Extremely Severe")))</f>
        <v>Normal</v>
      </c>
      <c r="I1030">
        <v>-0.81237789999999999</v>
      </c>
      <c r="J1030">
        <v>4</v>
      </c>
      <c r="K1030" s="1" t="str">
        <f>IF(Table1[[#This Row],[stress_score]]&lt;=10, "Normal", IF(Table1[[#This Row],[stress_score]]&lt;=20, "Moderate", IF(Table1[[#This Row],[stress_score]]&lt;=30, "Severe", "Extremely Severe")))</f>
        <v>Normal</v>
      </c>
      <c r="L1030">
        <v>-0.77314866000000004</v>
      </c>
      <c r="M1030">
        <v>6</v>
      </c>
      <c r="N1030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030">
        <v>-0.53092379999999995</v>
      </c>
      <c r="P1030">
        <v>4</v>
      </c>
      <c r="Q1030">
        <f>ROUND(Table1[[#This Row],[dass21_raw_score]],0)</f>
        <v>4</v>
      </c>
      <c r="R1030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030">
        <v>-0.70548343999999996</v>
      </c>
      <c r="T1030">
        <v>0.38942647000000002</v>
      </c>
      <c r="U1030">
        <v>5000</v>
      </c>
      <c r="V1030" s="1">
        <f>ROUND(Table1[[#This Row],[fmpce]],0)</f>
        <v>5000</v>
      </c>
      <c r="W1030">
        <v>68.023319999999998</v>
      </c>
      <c r="X1030" s="4">
        <f>Table1[[#This Row],[mpce]]*89</f>
        <v>6054.0754799999995</v>
      </c>
      <c r="Y1030" s="2" t="s">
        <v>28</v>
      </c>
      <c r="Z1030" s="3">
        <f>VLOOKUP(Y1030, rmpce_reference!$B$1:$D$7,3,FALSE) * 89</f>
        <v>6230</v>
      </c>
      <c r="AA1030" s="1" t="str">
        <f>IF(Table1[rmpce_inr]&lt;=rmpce_reference!$F$2, "Low Income", IF(Table1[rmpce_inr]&lt;=rmpce_reference!$F$3, "Middle Income", "High Income"))</f>
        <v>Middle Income</v>
      </c>
    </row>
    <row r="1031" spans="1:27" x14ac:dyDescent="0.25">
      <c r="A1031">
        <v>5167</v>
      </c>
      <c r="B1031" t="s">
        <v>43</v>
      </c>
      <c r="C1031" t="s">
        <v>29</v>
      </c>
      <c r="D1031">
        <v>33</v>
      </c>
      <c r="E1031" t="s">
        <v>22</v>
      </c>
      <c r="F1031" t="s">
        <v>23</v>
      </c>
      <c r="G1031">
        <v>0</v>
      </c>
      <c r="H1031" s="1" t="str">
        <f>IF(Table1[[#This Row],[anxiety_score]]&lt;=10, "Normal", IF(Table1[[#This Row],[anxiety_score]]&lt;=20, "Moderate", IF(Table1[[#This Row],[anxiety_score]]&lt;=30, "Severe", "Extremely Severe")))</f>
        <v>Normal</v>
      </c>
      <c r="I1031">
        <v>-1.0134224999999999</v>
      </c>
      <c r="J1031">
        <v>0</v>
      </c>
      <c r="K1031" s="1" t="str">
        <f>IF(Table1[[#This Row],[stress_score]]&lt;=10, "Normal", IF(Table1[[#This Row],[stress_score]]&lt;=20, "Moderate", IF(Table1[[#This Row],[stress_score]]&lt;=30, "Severe", "Extremely Severe")))</f>
        <v>Normal</v>
      </c>
      <c r="L1031">
        <v>-1.1624711999999999</v>
      </c>
      <c r="M1031">
        <v>0</v>
      </c>
      <c r="N1031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031">
        <v>-1.1088359000000001</v>
      </c>
      <c r="P1031">
        <v>0</v>
      </c>
      <c r="Q1031">
        <f>ROUND(Table1[[#This Row],[dass21_raw_score]],0)</f>
        <v>0</v>
      </c>
      <c r="R1031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031">
        <v>-1.0949099</v>
      </c>
      <c r="T1031">
        <v>0</v>
      </c>
      <c r="U1031">
        <v>10000</v>
      </c>
      <c r="V1031" s="1">
        <f>ROUND(Table1[[#This Row],[fmpce]],0)</f>
        <v>10000</v>
      </c>
      <c r="W1031">
        <v>136.04665</v>
      </c>
      <c r="X1031" s="4">
        <f>Table1[[#This Row],[mpce]]*89</f>
        <v>12108.15185</v>
      </c>
      <c r="Y1031" s="2" t="s">
        <v>35</v>
      </c>
      <c r="Z1031" s="3">
        <f>VLOOKUP(Y1031, rmpce_reference!$B$1:$D$7,3,FALSE) * 89</f>
        <v>9790</v>
      </c>
      <c r="AA1031" s="1" t="str">
        <f>IF(Table1[rmpce_inr]&lt;=rmpce_reference!$F$2, "Low Income", IF(Table1[rmpce_inr]&lt;=rmpce_reference!$F$3, "Middle Income", "High Income"))</f>
        <v>High Income</v>
      </c>
    </row>
    <row r="1032" spans="1:27" x14ac:dyDescent="0.25">
      <c r="A1032">
        <v>5168</v>
      </c>
      <c r="B1032" t="s">
        <v>43</v>
      </c>
      <c r="C1032" t="s">
        <v>29</v>
      </c>
      <c r="D1032">
        <v>33</v>
      </c>
      <c r="E1032" t="s">
        <v>22</v>
      </c>
      <c r="F1032" t="s">
        <v>30</v>
      </c>
      <c r="G1032">
        <v>0</v>
      </c>
      <c r="H1032" s="1" t="str">
        <f>IF(Table1[[#This Row],[anxiety_score]]&lt;=10, "Normal", IF(Table1[[#This Row],[anxiety_score]]&lt;=20, "Moderate", IF(Table1[[#This Row],[anxiety_score]]&lt;=30, "Severe", "Extremely Severe")))</f>
        <v>Normal</v>
      </c>
      <c r="I1032">
        <v>-1.0134224999999999</v>
      </c>
      <c r="J1032">
        <v>0</v>
      </c>
      <c r="K1032" s="1" t="str">
        <f>IF(Table1[[#This Row],[stress_score]]&lt;=10, "Normal", IF(Table1[[#This Row],[stress_score]]&lt;=20, "Moderate", IF(Table1[[#This Row],[stress_score]]&lt;=30, "Severe", "Extremely Severe")))</f>
        <v>Normal</v>
      </c>
      <c r="L1032">
        <v>-1.1624711999999999</v>
      </c>
      <c r="M1032">
        <v>0</v>
      </c>
      <c r="N1032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032">
        <v>-1.1088359000000001</v>
      </c>
      <c r="P1032">
        <v>0</v>
      </c>
      <c r="Q1032">
        <f>ROUND(Table1[[#This Row],[dass21_raw_score]],0)</f>
        <v>0</v>
      </c>
      <c r="R1032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032">
        <v>-1.0949099</v>
      </c>
      <c r="T1032">
        <v>0</v>
      </c>
      <c r="U1032">
        <v>4000</v>
      </c>
      <c r="V1032" s="1">
        <f>ROUND(Table1[[#This Row],[fmpce]],0)</f>
        <v>4000</v>
      </c>
      <c r="W1032">
        <v>54.418660000000003</v>
      </c>
      <c r="X1032" s="4">
        <f>Table1[[#This Row],[mpce]]*89</f>
        <v>4843.2607400000006</v>
      </c>
      <c r="Y1032" s="2" t="s">
        <v>32</v>
      </c>
      <c r="Z1032" s="3">
        <f>VLOOKUP(Y1032, rmpce_reference!$B$1:$D$7,3,FALSE) * 89</f>
        <v>4450</v>
      </c>
      <c r="AA1032" s="1" t="str">
        <f>IF(Table1[rmpce_inr]&lt;=rmpce_reference!$F$2, "Low Income", IF(Table1[rmpce_inr]&lt;=rmpce_reference!$F$3, "Middle Income", "High Income"))</f>
        <v>Low Income</v>
      </c>
    </row>
    <row r="1033" spans="1:27" x14ac:dyDescent="0.25">
      <c r="A1033">
        <v>5169</v>
      </c>
      <c r="B1033" t="s">
        <v>43</v>
      </c>
      <c r="C1033" t="s">
        <v>21</v>
      </c>
      <c r="D1033">
        <v>45</v>
      </c>
      <c r="E1033" t="s">
        <v>25</v>
      </c>
      <c r="F1033" t="s">
        <v>23</v>
      </c>
      <c r="G1033">
        <v>0</v>
      </c>
      <c r="H1033" s="1" t="str">
        <f>IF(Table1[[#This Row],[anxiety_score]]&lt;=10, "Normal", IF(Table1[[#This Row],[anxiety_score]]&lt;=20, "Moderate", IF(Table1[[#This Row],[anxiety_score]]&lt;=30, "Severe", "Extremely Severe")))</f>
        <v>Normal</v>
      </c>
      <c r="I1033">
        <v>-1.0134224999999999</v>
      </c>
      <c r="J1033">
        <v>0</v>
      </c>
      <c r="K1033" s="1" t="str">
        <f>IF(Table1[[#This Row],[stress_score]]&lt;=10, "Normal", IF(Table1[[#This Row],[stress_score]]&lt;=20, "Moderate", IF(Table1[[#This Row],[stress_score]]&lt;=30, "Severe", "Extremely Severe")))</f>
        <v>Normal</v>
      </c>
      <c r="L1033">
        <v>-1.1624711999999999</v>
      </c>
      <c r="M1033">
        <v>0</v>
      </c>
      <c r="N1033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033">
        <v>-1.1088359000000001</v>
      </c>
      <c r="P1033">
        <v>0</v>
      </c>
      <c r="Q1033">
        <f>ROUND(Table1[[#This Row],[dass21_raw_score]],0)</f>
        <v>0</v>
      </c>
      <c r="R1033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033">
        <v>-1.0949099</v>
      </c>
      <c r="T1033">
        <v>0</v>
      </c>
      <c r="U1033">
        <v>15000</v>
      </c>
      <c r="V1033" s="1">
        <f>ROUND(Table1[[#This Row],[fmpce]],0)</f>
        <v>15000</v>
      </c>
      <c r="W1033">
        <v>204.06997999999999</v>
      </c>
      <c r="X1033" s="4">
        <f>Table1[[#This Row],[mpce]]*89</f>
        <v>18162.228219999997</v>
      </c>
      <c r="Y1033" s="2" t="s">
        <v>35</v>
      </c>
      <c r="Z1033" s="3">
        <f>VLOOKUP(Y1033, rmpce_reference!$B$1:$D$7,3,FALSE) * 89</f>
        <v>9790</v>
      </c>
      <c r="AA1033" s="1" t="str">
        <f>IF(Table1[rmpce_inr]&lt;=rmpce_reference!$F$2, "Low Income", IF(Table1[rmpce_inr]&lt;=rmpce_reference!$F$3, "Middle Income", "High Income"))</f>
        <v>High Income</v>
      </c>
    </row>
    <row r="1034" spans="1:27" x14ac:dyDescent="0.25">
      <c r="A1034">
        <v>5170</v>
      </c>
      <c r="B1034" t="s">
        <v>43</v>
      </c>
      <c r="C1034" t="s">
        <v>36</v>
      </c>
      <c r="D1034">
        <v>56</v>
      </c>
      <c r="E1034" t="s">
        <v>22</v>
      </c>
      <c r="F1034" t="s">
        <v>23</v>
      </c>
      <c r="G1034">
        <v>0</v>
      </c>
      <c r="H1034" s="1" t="str">
        <f>IF(Table1[[#This Row],[anxiety_score]]&lt;=10, "Normal", IF(Table1[[#This Row],[anxiety_score]]&lt;=20, "Moderate", IF(Table1[[#This Row],[anxiety_score]]&lt;=30, "Severe", "Extremely Severe")))</f>
        <v>Normal</v>
      </c>
      <c r="I1034">
        <v>-1.0134224999999999</v>
      </c>
      <c r="J1034">
        <v>0</v>
      </c>
      <c r="K1034" s="1" t="str">
        <f>IF(Table1[[#This Row],[stress_score]]&lt;=10, "Normal", IF(Table1[[#This Row],[stress_score]]&lt;=20, "Moderate", IF(Table1[[#This Row],[stress_score]]&lt;=30, "Severe", "Extremely Severe")))</f>
        <v>Normal</v>
      </c>
      <c r="L1034">
        <v>-1.1624711999999999</v>
      </c>
      <c r="M1034">
        <v>0</v>
      </c>
      <c r="N1034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034">
        <v>-1.1088359000000001</v>
      </c>
      <c r="P1034">
        <v>0</v>
      </c>
      <c r="Q1034">
        <f>ROUND(Table1[[#This Row],[dass21_raw_score]],0)</f>
        <v>0</v>
      </c>
      <c r="R1034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034">
        <v>-1.0949099</v>
      </c>
      <c r="T1034">
        <v>0</v>
      </c>
      <c r="U1034">
        <v>15000</v>
      </c>
      <c r="V1034" s="1">
        <f>ROUND(Table1[[#This Row],[fmpce]],0)</f>
        <v>15000</v>
      </c>
      <c r="W1034">
        <v>204.06997999999999</v>
      </c>
      <c r="X1034" s="4">
        <f>Table1[[#This Row],[mpce]]*89</f>
        <v>18162.228219999997</v>
      </c>
      <c r="Y1034" s="2" t="s">
        <v>35</v>
      </c>
      <c r="Z1034" s="3">
        <f>VLOOKUP(Y1034, rmpce_reference!$B$1:$D$7,3,FALSE) * 89</f>
        <v>9790</v>
      </c>
      <c r="AA1034" s="1" t="str">
        <f>IF(Table1[rmpce_inr]&lt;=rmpce_reference!$F$2, "Low Income", IF(Table1[rmpce_inr]&lt;=rmpce_reference!$F$3, "Middle Income", "High Income"))</f>
        <v>High Income</v>
      </c>
    </row>
    <row r="1035" spans="1:27" x14ac:dyDescent="0.25">
      <c r="A1035">
        <v>5171</v>
      </c>
      <c r="B1035" t="s">
        <v>43</v>
      </c>
      <c r="C1035" t="s">
        <v>29</v>
      </c>
      <c r="D1035">
        <v>33</v>
      </c>
      <c r="E1035" t="s">
        <v>22</v>
      </c>
      <c r="F1035" t="s">
        <v>23</v>
      </c>
      <c r="G1035">
        <v>0</v>
      </c>
      <c r="H1035" s="1" t="str">
        <f>IF(Table1[[#This Row],[anxiety_score]]&lt;=10, "Normal", IF(Table1[[#This Row],[anxiety_score]]&lt;=20, "Moderate", IF(Table1[[#This Row],[anxiety_score]]&lt;=30, "Severe", "Extremely Severe")))</f>
        <v>Normal</v>
      </c>
      <c r="I1035">
        <v>-1.0134224999999999</v>
      </c>
      <c r="J1035">
        <v>2</v>
      </c>
      <c r="K1035" s="1" t="str">
        <f>IF(Table1[[#This Row],[stress_score]]&lt;=10, "Normal", IF(Table1[[#This Row],[stress_score]]&lt;=20, "Moderate", IF(Table1[[#This Row],[stress_score]]&lt;=30, "Severe", "Extremely Severe")))</f>
        <v>Normal</v>
      </c>
      <c r="L1035">
        <v>-0.9678099</v>
      </c>
      <c r="M1035">
        <v>4</v>
      </c>
      <c r="N1035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035">
        <v>-0.72356116999999998</v>
      </c>
      <c r="P1035">
        <v>2</v>
      </c>
      <c r="Q1035">
        <f>ROUND(Table1[[#This Row],[dass21_raw_score]],0)</f>
        <v>2</v>
      </c>
      <c r="R1035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035">
        <v>-0.90159785999999997</v>
      </c>
      <c r="T1035">
        <v>0.19331205000000001</v>
      </c>
      <c r="U1035">
        <v>2000</v>
      </c>
      <c r="V1035" s="1">
        <f>ROUND(Table1[[#This Row],[fmpce]],0)</f>
        <v>2000</v>
      </c>
      <c r="W1035">
        <v>27.209330000000001</v>
      </c>
      <c r="X1035" s="4">
        <f>Table1[[#This Row],[mpce]]*89</f>
        <v>2421.6303700000003</v>
      </c>
      <c r="Y1035" s="2" t="s">
        <v>34</v>
      </c>
      <c r="Z1035" s="3">
        <f>VLOOKUP(Y1035, rmpce_reference!$B$1:$D$7,3,FALSE) * 89</f>
        <v>2848</v>
      </c>
      <c r="AA1035" s="1" t="str">
        <f>IF(Table1[rmpce_inr]&lt;=rmpce_reference!$F$2, "Low Income", IF(Table1[rmpce_inr]&lt;=rmpce_reference!$F$3, "Middle Income", "High Income"))</f>
        <v>Low Income</v>
      </c>
    </row>
    <row r="1036" spans="1:27" x14ac:dyDescent="0.25">
      <c r="A1036">
        <v>5172</v>
      </c>
      <c r="B1036" t="s">
        <v>43</v>
      </c>
      <c r="C1036" t="s">
        <v>21</v>
      </c>
      <c r="D1036">
        <v>41</v>
      </c>
      <c r="E1036" t="s">
        <v>25</v>
      </c>
      <c r="F1036" t="s">
        <v>30</v>
      </c>
      <c r="G1036">
        <v>12</v>
      </c>
      <c r="H1036" s="1" t="str">
        <f>IF(Table1[[#This Row],[anxiety_score]]&lt;=10, "Normal", IF(Table1[[#This Row],[anxiety_score]]&lt;=20, "Moderate", IF(Table1[[#This Row],[anxiety_score]]&lt;=30, "Severe", "Extremely Severe")))</f>
        <v>Moderate</v>
      </c>
      <c r="I1036">
        <v>0.19284514999999999</v>
      </c>
      <c r="J1036">
        <v>20</v>
      </c>
      <c r="K1036" s="1" t="str">
        <f>IF(Table1[[#This Row],[stress_score]]&lt;=10, "Normal", IF(Table1[[#This Row],[stress_score]]&lt;=20, "Moderate", IF(Table1[[#This Row],[stress_score]]&lt;=30, "Severe", "Extremely Severe")))</f>
        <v>Moderate</v>
      </c>
      <c r="L1036">
        <v>0.78414130000000004</v>
      </c>
      <c r="M1036">
        <v>14</v>
      </c>
      <c r="N1036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1036">
        <v>0.23962580999999999</v>
      </c>
      <c r="P1036">
        <v>15.333333</v>
      </c>
      <c r="Q1036">
        <f>ROUND(Table1[[#This Row],[dass21_raw_score]],0)</f>
        <v>15</v>
      </c>
      <c r="R1036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1036">
        <v>0.40553742999999998</v>
      </c>
      <c r="T1036">
        <v>1.5004473</v>
      </c>
      <c r="U1036">
        <v>3000</v>
      </c>
      <c r="V1036" s="1">
        <f>ROUND(Table1[[#This Row],[fmpce]],0)</f>
        <v>3000</v>
      </c>
      <c r="W1036">
        <v>40.813994999999998</v>
      </c>
      <c r="X1036" s="4">
        <f>Table1[[#This Row],[mpce]]*89</f>
        <v>3632.4455549999998</v>
      </c>
      <c r="Y1036" s="2" t="s">
        <v>32</v>
      </c>
      <c r="Z1036" s="3">
        <f>VLOOKUP(Y1036, rmpce_reference!$B$1:$D$7,3,FALSE) * 89</f>
        <v>4450</v>
      </c>
      <c r="AA1036" s="1" t="str">
        <f>IF(Table1[rmpce_inr]&lt;=rmpce_reference!$F$2, "Low Income", IF(Table1[rmpce_inr]&lt;=rmpce_reference!$F$3, "Middle Income", "High Income"))</f>
        <v>Low Income</v>
      </c>
    </row>
    <row r="1037" spans="1:27" x14ac:dyDescent="0.25">
      <c r="A1037">
        <v>5173</v>
      </c>
      <c r="B1037" t="s">
        <v>43</v>
      </c>
      <c r="C1037" t="s">
        <v>36</v>
      </c>
      <c r="D1037">
        <v>51</v>
      </c>
      <c r="E1037" t="s">
        <v>25</v>
      </c>
      <c r="F1037" t="s">
        <v>30</v>
      </c>
      <c r="G1037">
        <v>4</v>
      </c>
      <c r="H1037" s="1" t="str">
        <f>IF(Table1[[#This Row],[anxiety_score]]&lt;=10, "Normal", IF(Table1[[#This Row],[anxiety_score]]&lt;=20, "Moderate", IF(Table1[[#This Row],[anxiety_score]]&lt;=30, "Severe", "Extremely Severe")))</f>
        <v>Normal</v>
      </c>
      <c r="I1037">
        <v>-0.61133329999999997</v>
      </c>
      <c r="J1037">
        <v>16</v>
      </c>
      <c r="K1037" s="1" t="str">
        <f>IF(Table1[[#This Row],[stress_score]]&lt;=10, "Normal", IF(Table1[[#This Row],[stress_score]]&lt;=20, "Moderate", IF(Table1[[#This Row],[stress_score]]&lt;=30, "Severe", "Extremely Severe")))</f>
        <v>Moderate</v>
      </c>
      <c r="L1037">
        <v>0.39481880000000003</v>
      </c>
      <c r="M1037">
        <v>40</v>
      </c>
      <c r="N1037" s="1" t="str">
        <f>IF(Table1[[#This Row],[depression_score]]&lt;=10, "Normal", IF(Table1[[#This Row],[depression_score]]&lt;=20, "Moderate", IF(Table1[[#This Row],[depression_score]]&lt;=30, "Severe", "Extremely Severe")))</f>
        <v>Extremely Severe</v>
      </c>
      <c r="O1037">
        <v>2.7439119999999999</v>
      </c>
      <c r="P1037">
        <v>20</v>
      </c>
      <c r="Q1037">
        <f>ROUND(Table1[[#This Row],[dass21_raw_score]],0)</f>
        <v>20</v>
      </c>
      <c r="R1037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1037">
        <v>0.84246580000000004</v>
      </c>
      <c r="T1037">
        <v>1.9373758000000001</v>
      </c>
      <c r="U1037">
        <v>15000</v>
      </c>
      <c r="V1037" s="1">
        <f>ROUND(Table1[[#This Row],[fmpce]],0)</f>
        <v>15000</v>
      </c>
      <c r="W1037">
        <v>204.06997999999999</v>
      </c>
      <c r="X1037" s="4">
        <f>Table1[[#This Row],[mpce]]*89</f>
        <v>18162.228219999997</v>
      </c>
      <c r="Y1037" s="2" t="s">
        <v>35</v>
      </c>
      <c r="Z1037" s="3">
        <f>VLOOKUP(Y1037, rmpce_reference!$B$1:$D$7,3,FALSE) * 89</f>
        <v>9790</v>
      </c>
      <c r="AA1037" s="1" t="str">
        <f>IF(Table1[rmpce_inr]&lt;=rmpce_reference!$F$2, "Low Income", IF(Table1[rmpce_inr]&lt;=rmpce_reference!$F$3, "Middle Income", "High Income"))</f>
        <v>High Income</v>
      </c>
    </row>
    <row r="1038" spans="1:27" x14ac:dyDescent="0.25">
      <c r="A1038">
        <v>5174</v>
      </c>
      <c r="B1038" t="s">
        <v>43</v>
      </c>
      <c r="C1038" t="s">
        <v>29</v>
      </c>
      <c r="D1038">
        <v>39</v>
      </c>
      <c r="E1038" t="s">
        <v>22</v>
      </c>
      <c r="F1038" t="s">
        <v>30</v>
      </c>
      <c r="G1038">
        <v>2</v>
      </c>
      <c r="H1038" s="1" t="str">
        <f>IF(Table1[[#This Row],[anxiety_score]]&lt;=10, "Normal", IF(Table1[[#This Row],[anxiety_score]]&lt;=20, "Moderate", IF(Table1[[#This Row],[anxiety_score]]&lt;=30, "Severe", "Extremely Severe")))</f>
        <v>Normal</v>
      </c>
      <c r="I1038">
        <v>-0.81237789999999999</v>
      </c>
      <c r="J1038">
        <v>4</v>
      </c>
      <c r="K1038" s="1" t="str">
        <f>IF(Table1[[#This Row],[stress_score]]&lt;=10, "Normal", IF(Table1[[#This Row],[stress_score]]&lt;=20, "Moderate", IF(Table1[[#This Row],[stress_score]]&lt;=30, "Severe", "Extremely Severe")))</f>
        <v>Normal</v>
      </c>
      <c r="L1038">
        <v>-0.77314866000000004</v>
      </c>
      <c r="M1038">
        <v>4</v>
      </c>
      <c r="N1038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038">
        <v>-0.72356116999999998</v>
      </c>
      <c r="P1038">
        <v>3.3333333000000001</v>
      </c>
      <c r="Q1038">
        <f>ROUND(Table1[[#This Row],[dass21_raw_score]],0)</f>
        <v>3</v>
      </c>
      <c r="R1038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038">
        <v>-0.76969593999999997</v>
      </c>
      <c r="T1038">
        <v>0.32521397000000002</v>
      </c>
      <c r="U1038">
        <v>27500</v>
      </c>
      <c r="V1038" s="1">
        <f>ROUND(Table1[[#This Row],[fmpce]],0)</f>
        <v>27500</v>
      </c>
      <c r="W1038">
        <v>374.12830000000002</v>
      </c>
      <c r="X1038" s="4">
        <f>Table1[[#This Row],[mpce]]*89</f>
        <v>33297.418700000002</v>
      </c>
      <c r="Y1038" s="2" t="s">
        <v>35</v>
      </c>
      <c r="Z1038" s="3">
        <f>VLOOKUP(Y1038, rmpce_reference!$B$1:$D$7,3,FALSE) * 89</f>
        <v>9790</v>
      </c>
      <c r="AA1038" s="1" t="str">
        <f>IF(Table1[rmpce_inr]&lt;=rmpce_reference!$F$2, "Low Income", IF(Table1[rmpce_inr]&lt;=rmpce_reference!$F$3, "Middle Income", "High Income"))</f>
        <v>High Income</v>
      </c>
    </row>
    <row r="1039" spans="1:27" x14ac:dyDescent="0.25">
      <c r="A1039">
        <v>5175</v>
      </c>
      <c r="B1039" t="s">
        <v>43</v>
      </c>
      <c r="C1039" t="s">
        <v>29</v>
      </c>
      <c r="D1039">
        <v>31</v>
      </c>
      <c r="E1039" t="s">
        <v>22</v>
      </c>
      <c r="F1039" t="s">
        <v>30</v>
      </c>
      <c r="G1039">
        <v>6</v>
      </c>
      <c r="H1039" s="1" t="str">
        <f>IF(Table1[[#This Row],[anxiety_score]]&lt;=10, "Normal", IF(Table1[[#This Row],[anxiety_score]]&lt;=20, "Moderate", IF(Table1[[#This Row],[anxiety_score]]&lt;=30, "Severe", "Extremely Severe")))</f>
        <v>Normal</v>
      </c>
      <c r="I1039">
        <v>-0.41028870000000001</v>
      </c>
      <c r="J1039">
        <v>24</v>
      </c>
      <c r="K1039" s="1" t="str">
        <f>IF(Table1[[#This Row],[stress_score]]&lt;=10, "Normal", IF(Table1[[#This Row],[stress_score]]&lt;=20, "Moderate", IF(Table1[[#This Row],[stress_score]]&lt;=30, "Severe", "Extremely Severe")))</f>
        <v>Severe</v>
      </c>
      <c r="L1039">
        <v>1.1734637999999999</v>
      </c>
      <c r="M1039">
        <v>28</v>
      </c>
      <c r="N1039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1039">
        <v>1.5880875999999999</v>
      </c>
      <c r="P1039">
        <v>19.333334000000001</v>
      </c>
      <c r="Q1039">
        <f>ROUND(Table1[[#This Row],[dass21_raw_score]],0)</f>
        <v>19</v>
      </c>
      <c r="R1039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1039">
        <v>0.78375419999999996</v>
      </c>
      <c r="T1039">
        <v>1.8786640999999999</v>
      </c>
      <c r="U1039">
        <v>15000</v>
      </c>
      <c r="V1039" s="1">
        <f>ROUND(Table1[[#This Row],[fmpce]],0)</f>
        <v>15000</v>
      </c>
      <c r="W1039">
        <v>204.06997999999999</v>
      </c>
      <c r="X1039" s="4">
        <f>Table1[[#This Row],[mpce]]*89</f>
        <v>18162.228219999997</v>
      </c>
      <c r="Y1039" s="2" t="s">
        <v>35</v>
      </c>
      <c r="Z1039" s="3">
        <f>VLOOKUP(Y1039, rmpce_reference!$B$1:$D$7,3,FALSE) * 89</f>
        <v>9790</v>
      </c>
      <c r="AA1039" s="1" t="str">
        <f>IF(Table1[rmpce_inr]&lt;=rmpce_reference!$F$2, "Low Income", IF(Table1[rmpce_inr]&lt;=rmpce_reference!$F$3, "Middle Income", "High Income"))</f>
        <v>High Income</v>
      </c>
    </row>
    <row r="1040" spans="1:27" x14ac:dyDescent="0.25">
      <c r="A1040">
        <v>5176</v>
      </c>
      <c r="B1040" t="s">
        <v>43</v>
      </c>
      <c r="C1040" t="s">
        <v>21</v>
      </c>
      <c r="D1040">
        <v>49</v>
      </c>
      <c r="E1040" t="s">
        <v>25</v>
      </c>
      <c r="F1040" t="s">
        <v>23</v>
      </c>
      <c r="G1040">
        <v>0</v>
      </c>
      <c r="H1040" s="1" t="str">
        <f>IF(Table1[[#This Row],[anxiety_score]]&lt;=10, "Normal", IF(Table1[[#This Row],[anxiety_score]]&lt;=20, "Moderate", IF(Table1[[#This Row],[anxiety_score]]&lt;=30, "Severe", "Extremely Severe")))</f>
        <v>Normal</v>
      </c>
      <c r="I1040">
        <v>-1.0134224999999999</v>
      </c>
      <c r="J1040">
        <v>0</v>
      </c>
      <c r="K1040" s="1" t="str">
        <f>IF(Table1[[#This Row],[stress_score]]&lt;=10, "Normal", IF(Table1[[#This Row],[stress_score]]&lt;=20, "Moderate", IF(Table1[[#This Row],[stress_score]]&lt;=30, "Severe", "Extremely Severe")))</f>
        <v>Normal</v>
      </c>
      <c r="L1040">
        <v>-1.1624711999999999</v>
      </c>
      <c r="M1040">
        <v>0</v>
      </c>
      <c r="N1040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040">
        <v>-1.1088359000000001</v>
      </c>
      <c r="P1040">
        <v>0</v>
      </c>
      <c r="Q1040">
        <f>ROUND(Table1[[#This Row],[dass21_raw_score]],0)</f>
        <v>0</v>
      </c>
      <c r="R1040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040">
        <v>-1.0949099</v>
      </c>
      <c r="T1040">
        <v>0</v>
      </c>
      <c r="U1040">
        <v>6666.6665000000003</v>
      </c>
      <c r="V1040" s="1">
        <f>ROUND(Table1[[#This Row],[fmpce]],0)</f>
        <v>6667</v>
      </c>
      <c r="W1040">
        <v>90.697760000000002</v>
      </c>
      <c r="X1040" s="4">
        <f>Table1[[#This Row],[mpce]]*89</f>
        <v>8072.1006400000006</v>
      </c>
      <c r="Y1040" s="2" t="s">
        <v>31</v>
      </c>
      <c r="Z1040" s="3">
        <f>VLOOKUP(Y1040, rmpce_reference!$B$1:$D$7,3,FALSE) * 89</f>
        <v>8010</v>
      </c>
      <c r="AA1040" s="1" t="str">
        <f>IF(Table1[rmpce_inr]&lt;=rmpce_reference!$F$2, "Low Income", IF(Table1[rmpce_inr]&lt;=rmpce_reference!$F$3, "Middle Income", "High Income"))</f>
        <v>High Income</v>
      </c>
    </row>
    <row r="1041" spans="1:27" x14ac:dyDescent="0.25">
      <c r="A1041">
        <v>5177</v>
      </c>
      <c r="B1041" t="s">
        <v>43</v>
      </c>
      <c r="C1041" t="s">
        <v>36</v>
      </c>
      <c r="D1041">
        <v>52</v>
      </c>
      <c r="E1041" t="s">
        <v>22</v>
      </c>
      <c r="F1041" t="s">
        <v>23</v>
      </c>
      <c r="G1041">
        <v>2</v>
      </c>
      <c r="H1041" s="1" t="str">
        <f>IF(Table1[[#This Row],[anxiety_score]]&lt;=10, "Normal", IF(Table1[[#This Row],[anxiety_score]]&lt;=20, "Moderate", IF(Table1[[#This Row],[anxiety_score]]&lt;=30, "Severe", "Extremely Severe")))</f>
        <v>Normal</v>
      </c>
      <c r="I1041">
        <v>-0.81237789999999999</v>
      </c>
      <c r="J1041">
        <v>0</v>
      </c>
      <c r="K1041" s="1" t="str">
        <f>IF(Table1[[#This Row],[stress_score]]&lt;=10, "Normal", IF(Table1[[#This Row],[stress_score]]&lt;=20, "Moderate", IF(Table1[[#This Row],[stress_score]]&lt;=30, "Severe", "Extremely Severe")))</f>
        <v>Normal</v>
      </c>
      <c r="L1041">
        <v>-1.1624711999999999</v>
      </c>
      <c r="M1041">
        <v>0</v>
      </c>
      <c r="N1041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041">
        <v>-1.1088359000000001</v>
      </c>
      <c r="P1041">
        <v>0.66666669999999995</v>
      </c>
      <c r="Q1041">
        <f>ROUND(Table1[[#This Row],[dass21_raw_score]],0)</f>
        <v>1</v>
      </c>
      <c r="R1041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041">
        <v>-1.027895</v>
      </c>
      <c r="T1041">
        <v>6.701493E-2</v>
      </c>
      <c r="U1041">
        <v>3333.3332999999998</v>
      </c>
      <c r="V1041" s="1">
        <f>ROUND(Table1[[#This Row],[fmpce]],0)</f>
        <v>3333</v>
      </c>
      <c r="W1041">
        <v>45.348880000000001</v>
      </c>
      <c r="X1041" s="4">
        <f>Table1[[#This Row],[mpce]]*89</f>
        <v>4036.0503200000003</v>
      </c>
      <c r="Y1041" s="2" t="s">
        <v>32</v>
      </c>
      <c r="Z1041" s="3">
        <f>VLOOKUP(Y1041, rmpce_reference!$B$1:$D$7,3,FALSE) * 89</f>
        <v>4450</v>
      </c>
      <c r="AA1041" s="1" t="str">
        <f>IF(Table1[rmpce_inr]&lt;=rmpce_reference!$F$2, "Low Income", IF(Table1[rmpce_inr]&lt;=rmpce_reference!$F$3, "Middle Income", "High Income"))</f>
        <v>Low Income</v>
      </c>
    </row>
    <row r="1042" spans="1:27" x14ac:dyDescent="0.25">
      <c r="A1042">
        <v>5178</v>
      </c>
      <c r="B1042" t="s">
        <v>43</v>
      </c>
      <c r="C1042" t="s">
        <v>36</v>
      </c>
      <c r="D1042">
        <v>51</v>
      </c>
      <c r="E1042" t="s">
        <v>22</v>
      </c>
      <c r="F1042" t="s">
        <v>23</v>
      </c>
      <c r="G1042">
        <v>0</v>
      </c>
      <c r="H1042" s="1" t="str">
        <f>IF(Table1[[#This Row],[anxiety_score]]&lt;=10, "Normal", IF(Table1[[#This Row],[anxiety_score]]&lt;=20, "Moderate", IF(Table1[[#This Row],[anxiety_score]]&lt;=30, "Severe", "Extremely Severe")))</f>
        <v>Normal</v>
      </c>
      <c r="I1042">
        <v>-1.0134224999999999</v>
      </c>
      <c r="J1042">
        <v>0</v>
      </c>
      <c r="K1042" s="1" t="str">
        <f>IF(Table1[[#This Row],[stress_score]]&lt;=10, "Normal", IF(Table1[[#This Row],[stress_score]]&lt;=20, "Moderate", IF(Table1[[#This Row],[stress_score]]&lt;=30, "Severe", "Extremely Severe")))</f>
        <v>Normal</v>
      </c>
      <c r="L1042">
        <v>-1.1624711999999999</v>
      </c>
      <c r="M1042">
        <v>0</v>
      </c>
      <c r="N1042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042">
        <v>-1.1088359000000001</v>
      </c>
      <c r="P1042">
        <v>0</v>
      </c>
      <c r="Q1042">
        <f>ROUND(Table1[[#This Row],[dass21_raw_score]],0)</f>
        <v>0</v>
      </c>
      <c r="R1042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042">
        <v>-1.0949099</v>
      </c>
      <c r="T1042">
        <v>0</v>
      </c>
      <c r="U1042">
        <v>13333.333000000001</v>
      </c>
      <c r="V1042" s="1">
        <f>ROUND(Table1[[#This Row],[fmpce]],0)</f>
        <v>13333</v>
      </c>
      <c r="W1042">
        <v>181.39552</v>
      </c>
      <c r="X1042" s="4">
        <f>Table1[[#This Row],[mpce]]*89</f>
        <v>16144.201280000001</v>
      </c>
      <c r="Y1042" s="2" t="s">
        <v>35</v>
      </c>
      <c r="Z1042" s="3">
        <f>VLOOKUP(Y1042, rmpce_reference!$B$1:$D$7,3,FALSE) * 89</f>
        <v>9790</v>
      </c>
      <c r="AA1042" s="1" t="str">
        <f>IF(Table1[rmpce_inr]&lt;=rmpce_reference!$F$2, "Low Income", IF(Table1[rmpce_inr]&lt;=rmpce_reference!$F$3, "Middle Income", "High Income"))</f>
        <v>High Income</v>
      </c>
    </row>
    <row r="1043" spans="1:27" x14ac:dyDescent="0.25">
      <c r="A1043">
        <v>5179</v>
      </c>
      <c r="B1043" t="s">
        <v>43</v>
      </c>
      <c r="C1043" t="s">
        <v>21</v>
      </c>
      <c r="D1043">
        <v>48</v>
      </c>
      <c r="E1043" t="s">
        <v>22</v>
      </c>
      <c r="F1043" t="s">
        <v>30</v>
      </c>
      <c r="G1043">
        <v>2</v>
      </c>
      <c r="H1043" s="1" t="str">
        <f>IF(Table1[[#This Row],[anxiety_score]]&lt;=10, "Normal", IF(Table1[[#This Row],[anxiety_score]]&lt;=20, "Moderate", IF(Table1[[#This Row],[anxiety_score]]&lt;=30, "Severe", "Extremely Severe")))</f>
        <v>Normal</v>
      </c>
      <c r="I1043">
        <v>-0.81237789999999999</v>
      </c>
      <c r="J1043">
        <v>2</v>
      </c>
      <c r="K1043" s="1" t="str">
        <f>IF(Table1[[#This Row],[stress_score]]&lt;=10, "Normal", IF(Table1[[#This Row],[stress_score]]&lt;=20, "Moderate", IF(Table1[[#This Row],[stress_score]]&lt;=30, "Severe", "Extremely Severe")))</f>
        <v>Normal</v>
      </c>
      <c r="L1043">
        <v>-0.9678099</v>
      </c>
      <c r="M1043">
        <v>0</v>
      </c>
      <c r="N1043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043">
        <v>-1.1088359000000001</v>
      </c>
      <c r="P1043">
        <v>1.3333333999999999</v>
      </c>
      <c r="Q1043">
        <f>ROUND(Table1[[#This Row],[dass21_raw_score]],0)</f>
        <v>1</v>
      </c>
      <c r="R1043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043">
        <v>-0.96300790000000003</v>
      </c>
      <c r="T1043">
        <v>0.13190198</v>
      </c>
      <c r="U1043">
        <v>11000</v>
      </c>
      <c r="V1043" s="1">
        <f>ROUND(Table1[[#This Row],[fmpce]],0)</f>
        <v>11000</v>
      </c>
      <c r="W1043">
        <v>149.65129999999999</v>
      </c>
      <c r="X1043" s="4">
        <f>Table1[[#This Row],[mpce]]*89</f>
        <v>13318.965699999999</v>
      </c>
      <c r="Y1043" s="2" t="s">
        <v>35</v>
      </c>
      <c r="Z1043" s="3">
        <f>VLOOKUP(Y1043, rmpce_reference!$B$1:$D$7,3,FALSE) * 89</f>
        <v>9790</v>
      </c>
      <c r="AA1043" s="1" t="str">
        <f>IF(Table1[rmpce_inr]&lt;=rmpce_reference!$F$2, "Low Income", IF(Table1[rmpce_inr]&lt;=rmpce_reference!$F$3, "Middle Income", "High Income"))</f>
        <v>High Income</v>
      </c>
    </row>
    <row r="1044" spans="1:27" x14ac:dyDescent="0.25">
      <c r="A1044">
        <v>5180</v>
      </c>
      <c r="B1044" t="s">
        <v>43</v>
      </c>
      <c r="C1044" t="s">
        <v>21</v>
      </c>
      <c r="D1044">
        <v>46</v>
      </c>
      <c r="E1044" t="s">
        <v>25</v>
      </c>
      <c r="F1044" t="s">
        <v>26</v>
      </c>
      <c r="G1044">
        <v>0</v>
      </c>
      <c r="H1044" s="1" t="str">
        <f>IF(Table1[[#This Row],[anxiety_score]]&lt;=10, "Normal", IF(Table1[[#This Row],[anxiety_score]]&lt;=20, "Moderate", IF(Table1[[#This Row],[anxiety_score]]&lt;=30, "Severe", "Extremely Severe")))</f>
        <v>Normal</v>
      </c>
      <c r="I1044">
        <v>-1.0134224999999999</v>
      </c>
      <c r="J1044">
        <v>10</v>
      </c>
      <c r="K1044" s="1" t="str">
        <f>IF(Table1[[#This Row],[stress_score]]&lt;=10, "Normal", IF(Table1[[#This Row],[stress_score]]&lt;=20, "Moderate", IF(Table1[[#This Row],[stress_score]]&lt;=30, "Severe", "Extremely Severe")))</f>
        <v>Normal</v>
      </c>
      <c r="L1044">
        <v>-0.18916494</v>
      </c>
      <c r="M1044">
        <v>4</v>
      </c>
      <c r="N1044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044">
        <v>-0.72356116999999998</v>
      </c>
      <c r="P1044">
        <v>4.6666664999999998</v>
      </c>
      <c r="Q1044">
        <f>ROUND(Table1[[#This Row],[dass21_raw_score]],0)</f>
        <v>5</v>
      </c>
      <c r="R1044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044">
        <v>-0.64204954999999997</v>
      </c>
      <c r="T1044">
        <v>0.45286036000000002</v>
      </c>
      <c r="U1044">
        <v>16666.666000000001</v>
      </c>
      <c r="V1044" s="1">
        <f>ROUND(Table1[[#This Row],[fmpce]],0)</f>
        <v>16667</v>
      </c>
      <c r="W1044">
        <v>226.74440000000001</v>
      </c>
      <c r="X1044" s="4">
        <f>Table1[[#This Row],[mpce]]*89</f>
        <v>20180.2516</v>
      </c>
      <c r="Y1044" s="2" t="s">
        <v>35</v>
      </c>
      <c r="Z1044" s="3">
        <f>VLOOKUP(Y1044, rmpce_reference!$B$1:$D$7,3,FALSE) * 89</f>
        <v>9790</v>
      </c>
      <c r="AA1044" s="1" t="str">
        <f>IF(Table1[rmpce_inr]&lt;=rmpce_reference!$F$2, "Low Income", IF(Table1[rmpce_inr]&lt;=rmpce_reference!$F$3, "Middle Income", "High Income"))</f>
        <v>High Income</v>
      </c>
    </row>
    <row r="1045" spans="1:27" x14ac:dyDescent="0.25">
      <c r="A1045">
        <v>5181</v>
      </c>
      <c r="B1045" t="s">
        <v>43</v>
      </c>
      <c r="C1045" t="s">
        <v>29</v>
      </c>
      <c r="D1045">
        <v>40</v>
      </c>
      <c r="E1045" t="s">
        <v>25</v>
      </c>
      <c r="F1045" t="s">
        <v>30</v>
      </c>
      <c r="G1045">
        <v>0</v>
      </c>
      <c r="H1045" s="1" t="str">
        <f>IF(Table1[[#This Row],[anxiety_score]]&lt;=10, "Normal", IF(Table1[[#This Row],[anxiety_score]]&lt;=20, "Moderate", IF(Table1[[#This Row],[anxiety_score]]&lt;=30, "Severe", "Extremely Severe")))</f>
        <v>Normal</v>
      </c>
      <c r="I1045">
        <v>-1.0134224999999999</v>
      </c>
      <c r="J1045">
        <v>0</v>
      </c>
      <c r="K1045" s="1" t="str">
        <f>IF(Table1[[#This Row],[stress_score]]&lt;=10, "Normal", IF(Table1[[#This Row],[stress_score]]&lt;=20, "Moderate", IF(Table1[[#This Row],[stress_score]]&lt;=30, "Severe", "Extremely Severe")))</f>
        <v>Normal</v>
      </c>
      <c r="L1045">
        <v>-1.1624711999999999</v>
      </c>
      <c r="M1045">
        <v>0</v>
      </c>
      <c r="N1045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045">
        <v>-1.1088359000000001</v>
      </c>
      <c r="P1045">
        <v>0</v>
      </c>
      <c r="Q1045">
        <f>ROUND(Table1[[#This Row],[dass21_raw_score]],0)</f>
        <v>0</v>
      </c>
      <c r="R1045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045">
        <v>-1.0949099</v>
      </c>
      <c r="T1045">
        <v>0</v>
      </c>
      <c r="U1045">
        <v>12500</v>
      </c>
      <c r="V1045" s="1">
        <f>ROUND(Table1[[#This Row],[fmpce]],0)</f>
        <v>12500</v>
      </c>
      <c r="W1045">
        <v>170.0583</v>
      </c>
      <c r="X1045" s="4">
        <f>Table1[[#This Row],[mpce]]*89</f>
        <v>15135.188700000001</v>
      </c>
      <c r="Y1045" s="2" t="s">
        <v>35</v>
      </c>
      <c r="Z1045" s="3">
        <f>VLOOKUP(Y1045, rmpce_reference!$B$1:$D$7,3,FALSE) * 89</f>
        <v>9790</v>
      </c>
      <c r="AA1045" s="1" t="str">
        <f>IF(Table1[rmpce_inr]&lt;=rmpce_reference!$F$2, "Low Income", IF(Table1[rmpce_inr]&lt;=rmpce_reference!$F$3, "Middle Income", "High Income"))</f>
        <v>High Income</v>
      </c>
    </row>
    <row r="1046" spans="1:27" x14ac:dyDescent="0.25">
      <c r="A1046">
        <v>5182</v>
      </c>
      <c r="B1046" t="s">
        <v>43</v>
      </c>
      <c r="C1046" t="s">
        <v>21</v>
      </c>
      <c r="D1046">
        <v>47</v>
      </c>
      <c r="E1046" t="s">
        <v>25</v>
      </c>
      <c r="F1046" t="s">
        <v>26</v>
      </c>
      <c r="G1046">
        <v>0</v>
      </c>
      <c r="H1046" s="1" t="str">
        <f>IF(Table1[[#This Row],[anxiety_score]]&lt;=10, "Normal", IF(Table1[[#This Row],[anxiety_score]]&lt;=20, "Moderate", IF(Table1[[#This Row],[anxiety_score]]&lt;=30, "Severe", "Extremely Severe")))</f>
        <v>Normal</v>
      </c>
      <c r="I1046">
        <v>-1.0134224999999999</v>
      </c>
      <c r="J1046">
        <v>0</v>
      </c>
      <c r="K1046" s="1" t="str">
        <f>IF(Table1[[#This Row],[stress_score]]&lt;=10, "Normal", IF(Table1[[#This Row],[stress_score]]&lt;=20, "Moderate", IF(Table1[[#This Row],[stress_score]]&lt;=30, "Severe", "Extremely Severe")))</f>
        <v>Normal</v>
      </c>
      <c r="L1046">
        <v>-1.1624711999999999</v>
      </c>
      <c r="M1046">
        <v>2</v>
      </c>
      <c r="N1046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046">
        <v>-0.91619854999999994</v>
      </c>
      <c r="P1046">
        <v>0.66666669999999995</v>
      </c>
      <c r="Q1046">
        <f>ROUND(Table1[[#This Row],[dass21_raw_score]],0)</f>
        <v>1</v>
      </c>
      <c r="R1046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046">
        <v>-1.0306972999999999</v>
      </c>
      <c r="T1046">
        <v>6.4212560000000002E-2</v>
      </c>
      <c r="U1046">
        <v>10000</v>
      </c>
      <c r="V1046" s="1">
        <f>ROUND(Table1[[#This Row],[fmpce]],0)</f>
        <v>10000</v>
      </c>
      <c r="W1046">
        <v>136.04665</v>
      </c>
      <c r="X1046" s="4">
        <f>Table1[[#This Row],[mpce]]*89</f>
        <v>12108.15185</v>
      </c>
      <c r="Y1046" s="2" t="s">
        <v>35</v>
      </c>
      <c r="Z1046" s="3">
        <f>VLOOKUP(Y1046, rmpce_reference!$B$1:$D$7,3,FALSE) * 89</f>
        <v>9790</v>
      </c>
      <c r="AA1046" s="1" t="str">
        <f>IF(Table1[rmpce_inr]&lt;=rmpce_reference!$F$2, "Low Income", IF(Table1[rmpce_inr]&lt;=rmpce_reference!$F$3, "Middle Income", "High Income"))</f>
        <v>High Income</v>
      </c>
    </row>
    <row r="1047" spans="1:27" x14ac:dyDescent="0.25">
      <c r="A1047">
        <v>5183</v>
      </c>
      <c r="B1047" t="s">
        <v>43</v>
      </c>
      <c r="C1047" t="s">
        <v>29</v>
      </c>
      <c r="D1047">
        <v>31</v>
      </c>
      <c r="E1047" t="s">
        <v>22</v>
      </c>
      <c r="F1047" t="s">
        <v>30</v>
      </c>
      <c r="G1047">
        <v>6</v>
      </c>
      <c r="H1047" s="1" t="str">
        <f>IF(Table1[[#This Row],[anxiety_score]]&lt;=10, "Normal", IF(Table1[[#This Row],[anxiety_score]]&lt;=20, "Moderate", IF(Table1[[#This Row],[anxiety_score]]&lt;=30, "Severe", "Extremely Severe")))</f>
        <v>Normal</v>
      </c>
      <c r="I1047">
        <v>-0.41028870000000001</v>
      </c>
      <c r="J1047">
        <v>4</v>
      </c>
      <c r="K1047" s="1" t="str">
        <f>IF(Table1[[#This Row],[stress_score]]&lt;=10, "Normal", IF(Table1[[#This Row],[stress_score]]&lt;=20, "Moderate", IF(Table1[[#This Row],[stress_score]]&lt;=30, "Severe", "Extremely Severe")))</f>
        <v>Normal</v>
      </c>
      <c r="L1047">
        <v>-0.77314866000000004</v>
      </c>
      <c r="M1047">
        <v>14</v>
      </c>
      <c r="N1047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1047">
        <v>0.23962580999999999</v>
      </c>
      <c r="P1047">
        <v>8</v>
      </c>
      <c r="Q1047">
        <f>ROUND(Table1[[#This Row],[dass21_raw_score]],0)</f>
        <v>8</v>
      </c>
      <c r="R1047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047">
        <v>-0.31460384000000002</v>
      </c>
      <c r="T1047">
        <v>0.7803061</v>
      </c>
      <c r="U1047">
        <v>3333.3332999999998</v>
      </c>
      <c r="V1047" s="1">
        <f>ROUND(Table1[[#This Row],[fmpce]],0)</f>
        <v>3333</v>
      </c>
      <c r="W1047">
        <v>45.348880000000001</v>
      </c>
      <c r="X1047" s="4">
        <f>Table1[[#This Row],[mpce]]*89</f>
        <v>4036.0503200000003</v>
      </c>
      <c r="Y1047" s="2" t="s">
        <v>32</v>
      </c>
      <c r="Z1047" s="3">
        <f>VLOOKUP(Y1047, rmpce_reference!$B$1:$D$7,3,FALSE) * 89</f>
        <v>4450</v>
      </c>
      <c r="AA1047" s="1" t="str">
        <f>IF(Table1[rmpce_inr]&lt;=rmpce_reference!$F$2, "Low Income", IF(Table1[rmpce_inr]&lt;=rmpce_reference!$F$3, "Middle Income", "High Income"))</f>
        <v>Low Income</v>
      </c>
    </row>
    <row r="1048" spans="1:27" x14ac:dyDescent="0.25">
      <c r="A1048">
        <v>5184</v>
      </c>
      <c r="B1048" t="s">
        <v>43</v>
      </c>
      <c r="C1048" t="s">
        <v>29</v>
      </c>
      <c r="D1048">
        <v>38</v>
      </c>
      <c r="E1048" t="s">
        <v>25</v>
      </c>
      <c r="F1048" t="s">
        <v>30</v>
      </c>
      <c r="G1048">
        <v>0</v>
      </c>
      <c r="H1048" s="1" t="str">
        <f>IF(Table1[[#This Row],[anxiety_score]]&lt;=10, "Normal", IF(Table1[[#This Row],[anxiety_score]]&lt;=20, "Moderate", IF(Table1[[#This Row],[anxiety_score]]&lt;=30, "Severe", "Extremely Severe")))</f>
        <v>Normal</v>
      </c>
      <c r="I1048">
        <v>-1.0134224999999999</v>
      </c>
      <c r="J1048">
        <v>0</v>
      </c>
      <c r="K1048" s="1" t="str">
        <f>IF(Table1[[#This Row],[stress_score]]&lt;=10, "Normal", IF(Table1[[#This Row],[stress_score]]&lt;=20, "Moderate", IF(Table1[[#This Row],[stress_score]]&lt;=30, "Severe", "Extremely Severe")))</f>
        <v>Normal</v>
      </c>
      <c r="L1048">
        <v>-1.1624711999999999</v>
      </c>
      <c r="M1048">
        <v>0</v>
      </c>
      <c r="N1048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048">
        <v>-1.1088359000000001</v>
      </c>
      <c r="P1048">
        <v>0</v>
      </c>
      <c r="Q1048">
        <f>ROUND(Table1[[#This Row],[dass21_raw_score]],0)</f>
        <v>0</v>
      </c>
      <c r="R1048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048">
        <v>-1.0949099</v>
      </c>
      <c r="T1048">
        <v>0</v>
      </c>
      <c r="U1048">
        <v>8400</v>
      </c>
      <c r="V1048" s="1">
        <f>ROUND(Table1[[#This Row],[fmpce]],0)</f>
        <v>8400</v>
      </c>
      <c r="W1048">
        <v>114.27918</v>
      </c>
      <c r="X1048" s="4">
        <f>Table1[[#This Row],[mpce]]*89</f>
        <v>10170.847019999999</v>
      </c>
      <c r="Y1048" s="2" t="s">
        <v>35</v>
      </c>
      <c r="Z1048" s="3">
        <f>VLOOKUP(Y1048, rmpce_reference!$B$1:$D$7,3,FALSE) * 89</f>
        <v>9790</v>
      </c>
      <c r="AA1048" s="1" t="str">
        <f>IF(Table1[rmpce_inr]&lt;=rmpce_reference!$F$2, "Low Income", IF(Table1[rmpce_inr]&lt;=rmpce_reference!$F$3, "Middle Income", "High Income"))</f>
        <v>High Income</v>
      </c>
    </row>
    <row r="1049" spans="1:27" x14ac:dyDescent="0.25">
      <c r="A1049">
        <v>5185</v>
      </c>
      <c r="B1049" t="s">
        <v>43</v>
      </c>
      <c r="C1049" t="s">
        <v>21</v>
      </c>
      <c r="D1049">
        <v>45</v>
      </c>
      <c r="E1049" t="s">
        <v>22</v>
      </c>
      <c r="F1049" t="s">
        <v>30</v>
      </c>
      <c r="G1049">
        <v>0</v>
      </c>
      <c r="H1049" s="1" t="str">
        <f>IF(Table1[[#This Row],[anxiety_score]]&lt;=10, "Normal", IF(Table1[[#This Row],[anxiety_score]]&lt;=20, "Moderate", IF(Table1[[#This Row],[anxiety_score]]&lt;=30, "Severe", "Extremely Severe")))</f>
        <v>Normal</v>
      </c>
      <c r="I1049">
        <v>-1.0134224999999999</v>
      </c>
      <c r="J1049">
        <v>2</v>
      </c>
      <c r="K1049" s="1" t="str">
        <f>IF(Table1[[#This Row],[stress_score]]&lt;=10, "Normal", IF(Table1[[#This Row],[stress_score]]&lt;=20, "Moderate", IF(Table1[[#This Row],[stress_score]]&lt;=30, "Severe", "Extremely Severe")))</f>
        <v>Normal</v>
      </c>
      <c r="L1049">
        <v>-0.9678099</v>
      </c>
      <c r="M1049">
        <v>6</v>
      </c>
      <c r="N1049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049">
        <v>-0.53092379999999995</v>
      </c>
      <c r="P1049">
        <v>2.6666666999999999</v>
      </c>
      <c r="Q1049">
        <f>ROUND(Table1[[#This Row],[dass21_raw_score]],0)</f>
        <v>3</v>
      </c>
      <c r="R1049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049">
        <v>-0.83738539999999995</v>
      </c>
      <c r="T1049">
        <v>0.25752449999999999</v>
      </c>
      <c r="U1049">
        <v>30000</v>
      </c>
      <c r="V1049" s="1">
        <f>ROUND(Table1[[#This Row],[fmpce]],0)</f>
        <v>30000</v>
      </c>
      <c r="W1049">
        <v>408.13995</v>
      </c>
      <c r="X1049" s="4">
        <f>Table1[[#This Row],[mpce]]*89</f>
        <v>36324.455549999999</v>
      </c>
      <c r="Y1049" s="2" t="s">
        <v>35</v>
      </c>
      <c r="Z1049" s="3">
        <f>VLOOKUP(Y1049, rmpce_reference!$B$1:$D$7,3,FALSE) * 89</f>
        <v>9790</v>
      </c>
      <c r="AA1049" s="1" t="str">
        <f>IF(Table1[rmpce_inr]&lt;=rmpce_reference!$F$2, "Low Income", IF(Table1[rmpce_inr]&lt;=rmpce_reference!$F$3, "Middle Income", "High Income"))</f>
        <v>High Income</v>
      </c>
    </row>
    <row r="1050" spans="1:27" x14ac:dyDescent="0.25">
      <c r="A1050">
        <v>5186</v>
      </c>
      <c r="B1050" t="s">
        <v>43</v>
      </c>
      <c r="C1050" t="s">
        <v>36</v>
      </c>
      <c r="D1050">
        <v>51</v>
      </c>
      <c r="E1050" t="s">
        <v>22</v>
      </c>
      <c r="F1050" t="s">
        <v>30</v>
      </c>
      <c r="G1050">
        <v>0</v>
      </c>
      <c r="H1050" s="1" t="str">
        <f>IF(Table1[[#This Row],[anxiety_score]]&lt;=10, "Normal", IF(Table1[[#This Row],[anxiety_score]]&lt;=20, "Moderate", IF(Table1[[#This Row],[anxiety_score]]&lt;=30, "Severe", "Extremely Severe")))</f>
        <v>Normal</v>
      </c>
      <c r="I1050">
        <v>-1.0134224999999999</v>
      </c>
      <c r="J1050">
        <v>2</v>
      </c>
      <c r="K1050" s="1" t="str">
        <f>IF(Table1[[#This Row],[stress_score]]&lt;=10, "Normal", IF(Table1[[#This Row],[stress_score]]&lt;=20, "Moderate", IF(Table1[[#This Row],[stress_score]]&lt;=30, "Severe", "Extremely Severe")))</f>
        <v>Normal</v>
      </c>
      <c r="L1050">
        <v>-0.9678099</v>
      </c>
      <c r="M1050">
        <v>2</v>
      </c>
      <c r="N1050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050">
        <v>-0.91619854999999994</v>
      </c>
      <c r="P1050">
        <v>1.3333333999999999</v>
      </c>
      <c r="Q1050">
        <f>ROUND(Table1[[#This Row],[dass21_raw_score]],0)</f>
        <v>1</v>
      </c>
      <c r="R1050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050">
        <v>-0.96581030000000001</v>
      </c>
      <c r="T1050">
        <v>0.12909961</v>
      </c>
      <c r="U1050">
        <v>13333.333000000001</v>
      </c>
      <c r="V1050" s="1">
        <f>ROUND(Table1[[#This Row],[fmpce]],0)</f>
        <v>13333</v>
      </c>
      <c r="W1050">
        <v>181.39552</v>
      </c>
      <c r="X1050" s="4">
        <f>Table1[[#This Row],[mpce]]*89</f>
        <v>16144.201280000001</v>
      </c>
      <c r="Y1050" s="2" t="s">
        <v>35</v>
      </c>
      <c r="Z1050" s="3">
        <f>VLOOKUP(Y1050, rmpce_reference!$B$1:$D$7,3,FALSE) * 89</f>
        <v>9790</v>
      </c>
      <c r="AA1050" s="1" t="str">
        <f>IF(Table1[rmpce_inr]&lt;=rmpce_reference!$F$2, "Low Income", IF(Table1[rmpce_inr]&lt;=rmpce_reference!$F$3, "Middle Income", "High Income"))</f>
        <v>High Income</v>
      </c>
    </row>
    <row r="1051" spans="1:27" x14ac:dyDescent="0.25">
      <c r="A1051">
        <v>5187</v>
      </c>
      <c r="B1051" t="s">
        <v>43</v>
      </c>
      <c r="C1051" t="s">
        <v>21</v>
      </c>
      <c r="D1051">
        <v>45</v>
      </c>
      <c r="E1051" t="s">
        <v>22</v>
      </c>
      <c r="F1051" t="s">
        <v>30</v>
      </c>
      <c r="G1051">
        <v>0</v>
      </c>
      <c r="H1051" s="1" t="str">
        <f>IF(Table1[[#This Row],[anxiety_score]]&lt;=10, "Normal", IF(Table1[[#This Row],[anxiety_score]]&lt;=20, "Moderate", IF(Table1[[#This Row],[anxiety_score]]&lt;=30, "Severe", "Extremely Severe")))</f>
        <v>Normal</v>
      </c>
      <c r="I1051">
        <v>-1.0134224999999999</v>
      </c>
      <c r="J1051">
        <v>0</v>
      </c>
      <c r="K1051" s="1" t="str">
        <f>IF(Table1[[#This Row],[stress_score]]&lt;=10, "Normal", IF(Table1[[#This Row],[stress_score]]&lt;=20, "Moderate", IF(Table1[[#This Row],[stress_score]]&lt;=30, "Severe", "Extremely Severe")))</f>
        <v>Normal</v>
      </c>
      <c r="L1051">
        <v>-1.1624711999999999</v>
      </c>
      <c r="M1051">
        <v>0</v>
      </c>
      <c r="N1051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051">
        <v>-1.1088359000000001</v>
      </c>
      <c r="P1051">
        <v>0</v>
      </c>
      <c r="Q1051">
        <f>ROUND(Table1[[#This Row],[dass21_raw_score]],0)</f>
        <v>0</v>
      </c>
      <c r="R1051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051">
        <v>-1.0949099</v>
      </c>
      <c r="T1051">
        <v>0</v>
      </c>
      <c r="U1051">
        <v>9000</v>
      </c>
      <c r="V1051" s="1">
        <f>ROUND(Table1[[#This Row],[fmpce]],0)</f>
        <v>9000</v>
      </c>
      <c r="W1051">
        <v>122.441986</v>
      </c>
      <c r="X1051" s="4">
        <f>Table1[[#This Row],[mpce]]*89</f>
        <v>10897.336754</v>
      </c>
      <c r="Y1051" s="2" t="s">
        <v>35</v>
      </c>
      <c r="Z1051" s="3">
        <f>VLOOKUP(Y1051, rmpce_reference!$B$1:$D$7,3,FALSE) * 89</f>
        <v>9790</v>
      </c>
      <c r="AA1051" s="1" t="str">
        <f>IF(Table1[rmpce_inr]&lt;=rmpce_reference!$F$2, "Low Income", IF(Table1[rmpce_inr]&lt;=rmpce_reference!$F$3, "Middle Income", "High Income"))</f>
        <v>High Income</v>
      </c>
    </row>
    <row r="1052" spans="1:27" x14ac:dyDescent="0.25">
      <c r="A1052">
        <v>5188</v>
      </c>
      <c r="B1052" t="s">
        <v>43</v>
      </c>
      <c r="C1052" t="s">
        <v>29</v>
      </c>
      <c r="D1052">
        <v>34</v>
      </c>
      <c r="E1052" t="s">
        <v>22</v>
      </c>
      <c r="F1052" t="s">
        <v>30</v>
      </c>
      <c r="G1052">
        <v>0</v>
      </c>
      <c r="H1052" s="1" t="str">
        <f>IF(Table1[[#This Row],[anxiety_score]]&lt;=10, "Normal", IF(Table1[[#This Row],[anxiety_score]]&lt;=20, "Moderate", IF(Table1[[#This Row],[anxiety_score]]&lt;=30, "Severe", "Extremely Severe")))</f>
        <v>Normal</v>
      </c>
      <c r="I1052">
        <v>-1.0134224999999999</v>
      </c>
      <c r="J1052">
        <v>0</v>
      </c>
      <c r="K1052" s="1" t="str">
        <f>IF(Table1[[#This Row],[stress_score]]&lt;=10, "Normal", IF(Table1[[#This Row],[stress_score]]&lt;=20, "Moderate", IF(Table1[[#This Row],[stress_score]]&lt;=30, "Severe", "Extremely Severe")))</f>
        <v>Normal</v>
      </c>
      <c r="L1052">
        <v>-1.1624711999999999</v>
      </c>
      <c r="M1052">
        <v>4</v>
      </c>
      <c r="N1052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052">
        <v>-0.72356116999999998</v>
      </c>
      <c r="P1052">
        <v>1.3333333999999999</v>
      </c>
      <c r="Q1052">
        <f>ROUND(Table1[[#This Row],[dass21_raw_score]],0)</f>
        <v>1</v>
      </c>
      <c r="R1052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052">
        <v>-0.96648495999999995</v>
      </c>
      <c r="T1052">
        <v>0.12842493999999999</v>
      </c>
      <c r="U1052">
        <v>6666.6665000000003</v>
      </c>
      <c r="V1052" s="1">
        <f>ROUND(Table1[[#This Row],[fmpce]],0)</f>
        <v>6667</v>
      </c>
      <c r="W1052">
        <v>90.697760000000002</v>
      </c>
      <c r="X1052" s="4">
        <f>Table1[[#This Row],[mpce]]*89</f>
        <v>8072.1006400000006</v>
      </c>
      <c r="Y1052" s="2" t="s">
        <v>31</v>
      </c>
      <c r="Z1052" s="3">
        <f>VLOOKUP(Y1052, rmpce_reference!$B$1:$D$7,3,FALSE) * 89</f>
        <v>8010</v>
      </c>
      <c r="AA1052" s="1" t="str">
        <f>IF(Table1[rmpce_inr]&lt;=rmpce_reference!$F$2, "Low Income", IF(Table1[rmpce_inr]&lt;=rmpce_reference!$F$3, "Middle Income", "High Income"))</f>
        <v>High Income</v>
      </c>
    </row>
    <row r="1053" spans="1:27" x14ac:dyDescent="0.25">
      <c r="A1053">
        <v>5189</v>
      </c>
      <c r="B1053" t="s">
        <v>43</v>
      </c>
      <c r="C1053" t="s">
        <v>21</v>
      </c>
      <c r="D1053">
        <v>49</v>
      </c>
      <c r="E1053" t="s">
        <v>22</v>
      </c>
      <c r="F1053" t="s">
        <v>30</v>
      </c>
      <c r="G1053">
        <v>0</v>
      </c>
      <c r="H1053" s="1" t="str">
        <f>IF(Table1[[#This Row],[anxiety_score]]&lt;=10, "Normal", IF(Table1[[#This Row],[anxiety_score]]&lt;=20, "Moderate", IF(Table1[[#This Row],[anxiety_score]]&lt;=30, "Severe", "Extremely Severe")))</f>
        <v>Normal</v>
      </c>
      <c r="I1053">
        <v>-1.0134224999999999</v>
      </c>
      <c r="J1053">
        <v>0</v>
      </c>
      <c r="K1053" s="1" t="str">
        <f>IF(Table1[[#This Row],[stress_score]]&lt;=10, "Normal", IF(Table1[[#This Row],[stress_score]]&lt;=20, "Moderate", IF(Table1[[#This Row],[stress_score]]&lt;=30, "Severe", "Extremely Severe")))</f>
        <v>Normal</v>
      </c>
      <c r="L1053">
        <v>-1.1624711999999999</v>
      </c>
      <c r="M1053">
        <v>0</v>
      </c>
      <c r="N1053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053">
        <v>-1.1088359000000001</v>
      </c>
      <c r="P1053">
        <v>0</v>
      </c>
      <c r="Q1053">
        <f>ROUND(Table1[[#This Row],[dass21_raw_score]],0)</f>
        <v>0</v>
      </c>
      <c r="R1053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053">
        <v>-1.0949099</v>
      </c>
      <c r="T1053">
        <v>0</v>
      </c>
      <c r="U1053">
        <v>6000</v>
      </c>
      <c r="V1053" s="1">
        <f>ROUND(Table1[[#This Row],[fmpce]],0)</f>
        <v>6000</v>
      </c>
      <c r="W1053">
        <v>81.627989999999997</v>
      </c>
      <c r="X1053" s="4">
        <f>Table1[[#This Row],[mpce]]*89</f>
        <v>7264.8911099999996</v>
      </c>
      <c r="Y1053" s="2" t="s">
        <v>31</v>
      </c>
      <c r="Z1053" s="3">
        <f>VLOOKUP(Y1053, rmpce_reference!$B$1:$D$7,3,FALSE) * 89</f>
        <v>8010</v>
      </c>
      <c r="AA1053" s="1" t="str">
        <f>IF(Table1[rmpce_inr]&lt;=rmpce_reference!$F$2, "Low Income", IF(Table1[rmpce_inr]&lt;=rmpce_reference!$F$3, "Middle Income", "High Income"))</f>
        <v>High Income</v>
      </c>
    </row>
    <row r="1054" spans="1:27" x14ac:dyDescent="0.25">
      <c r="A1054">
        <v>5190</v>
      </c>
      <c r="B1054" t="s">
        <v>43</v>
      </c>
      <c r="C1054" t="s">
        <v>36</v>
      </c>
      <c r="D1054">
        <v>55</v>
      </c>
      <c r="E1054" t="s">
        <v>22</v>
      </c>
      <c r="F1054" t="s">
        <v>23</v>
      </c>
      <c r="G1054">
        <v>4</v>
      </c>
      <c r="H1054" s="1" t="str">
        <f>IF(Table1[[#This Row],[anxiety_score]]&lt;=10, "Normal", IF(Table1[[#This Row],[anxiety_score]]&lt;=20, "Moderate", IF(Table1[[#This Row],[anxiety_score]]&lt;=30, "Severe", "Extremely Severe")))</f>
        <v>Normal</v>
      </c>
      <c r="I1054">
        <v>-0.61133329999999997</v>
      </c>
      <c r="J1054">
        <v>2</v>
      </c>
      <c r="K1054" s="1" t="str">
        <f>IF(Table1[[#This Row],[stress_score]]&lt;=10, "Normal", IF(Table1[[#This Row],[stress_score]]&lt;=20, "Moderate", IF(Table1[[#This Row],[stress_score]]&lt;=30, "Severe", "Extremely Severe")))</f>
        <v>Normal</v>
      </c>
      <c r="L1054">
        <v>-0.9678099</v>
      </c>
      <c r="M1054">
        <v>8</v>
      </c>
      <c r="N1054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054">
        <v>-0.33828637</v>
      </c>
      <c r="P1054">
        <v>4.6666664999999998</v>
      </c>
      <c r="Q1054">
        <f>ROUND(Table1[[#This Row],[dass21_raw_score]],0)</f>
        <v>5</v>
      </c>
      <c r="R1054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054">
        <v>-0.63914320000000002</v>
      </c>
      <c r="T1054">
        <v>0.45576667999999998</v>
      </c>
      <c r="U1054">
        <v>5000</v>
      </c>
      <c r="V1054" s="1">
        <f>ROUND(Table1[[#This Row],[fmpce]],0)</f>
        <v>5000</v>
      </c>
      <c r="W1054">
        <v>68.023319999999998</v>
      </c>
      <c r="X1054" s="4">
        <f>Table1[[#This Row],[mpce]]*89</f>
        <v>6054.0754799999995</v>
      </c>
      <c r="Y1054" s="2" t="s">
        <v>28</v>
      </c>
      <c r="Z1054" s="3">
        <f>VLOOKUP(Y1054, rmpce_reference!$B$1:$D$7,3,FALSE) * 89</f>
        <v>6230</v>
      </c>
      <c r="AA1054" s="1" t="str">
        <f>IF(Table1[rmpce_inr]&lt;=rmpce_reference!$F$2, "Low Income", IF(Table1[rmpce_inr]&lt;=rmpce_reference!$F$3, "Middle Income", "High Income"))</f>
        <v>Middle Income</v>
      </c>
    </row>
    <row r="1055" spans="1:27" x14ac:dyDescent="0.25">
      <c r="A1055">
        <v>5191</v>
      </c>
      <c r="B1055" t="s">
        <v>43</v>
      </c>
      <c r="C1055" t="s">
        <v>29</v>
      </c>
      <c r="D1055">
        <v>40</v>
      </c>
      <c r="E1055" t="s">
        <v>25</v>
      </c>
      <c r="F1055" t="s">
        <v>26</v>
      </c>
      <c r="G1055">
        <v>4</v>
      </c>
      <c r="H1055" s="1" t="str">
        <f>IF(Table1[[#This Row],[anxiety_score]]&lt;=10, "Normal", IF(Table1[[#This Row],[anxiety_score]]&lt;=20, "Moderate", IF(Table1[[#This Row],[anxiety_score]]&lt;=30, "Severe", "Extremely Severe")))</f>
        <v>Normal</v>
      </c>
      <c r="I1055">
        <v>-0.61133329999999997</v>
      </c>
      <c r="J1055">
        <v>14</v>
      </c>
      <c r="K1055" s="1" t="str">
        <f>IF(Table1[[#This Row],[stress_score]]&lt;=10, "Normal", IF(Table1[[#This Row],[stress_score]]&lt;=20, "Moderate", IF(Table1[[#This Row],[stress_score]]&lt;=30, "Severe", "Extremely Severe")))</f>
        <v>Moderate</v>
      </c>
      <c r="L1055">
        <v>0.20015757000000001</v>
      </c>
      <c r="M1055">
        <v>24</v>
      </c>
      <c r="N1055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1055">
        <v>1.2028128</v>
      </c>
      <c r="P1055">
        <v>14</v>
      </c>
      <c r="Q1055">
        <f>ROUND(Table1[[#This Row],[dass21_raw_score]],0)</f>
        <v>14</v>
      </c>
      <c r="R1055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1055">
        <v>0.26387899999999997</v>
      </c>
      <c r="T1055">
        <v>1.358789</v>
      </c>
      <c r="U1055">
        <v>5000</v>
      </c>
      <c r="V1055" s="1">
        <f>ROUND(Table1[[#This Row],[fmpce]],0)</f>
        <v>5000</v>
      </c>
      <c r="W1055">
        <v>68.023319999999998</v>
      </c>
      <c r="X1055" s="4">
        <f>Table1[[#This Row],[mpce]]*89</f>
        <v>6054.0754799999995</v>
      </c>
      <c r="Y1055" s="2" t="s">
        <v>28</v>
      </c>
      <c r="Z1055" s="3">
        <f>VLOOKUP(Y1055, rmpce_reference!$B$1:$D$7,3,FALSE) * 89</f>
        <v>6230</v>
      </c>
      <c r="AA1055" s="1" t="str">
        <f>IF(Table1[rmpce_inr]&lt;=rmpce_reference!$F$2, "Low Income", IF(Table1[rmpce_inr]&lt;=rmpce_reference!$F$3, "Middle Income", "High Income"))</f>
        <v>Middle Income</v>
      </c>
    </row>
    <row r="1056" spans="1:27" x14ac:dyDescent="0.25">
      <c r="A1056">
        <v>5192</v>
      </c>
      <c r="B1056" t="s">
        <v>43</v>
      </c>
      <c r="C1056" t="s">
        <v>29</v>
      </c>
      <c r="D1056">
        <v>37</v>
      </c>
      <c r="E1056" t="s">
        <v>25</v>
      </c>
      <c r="F1056" t="s">
        <v>23</v>
      </c>
      <c r="G1056">
        <v>0</v>
      </c>
      <c r="H1056" s="1" t="str">
        <f>IF(Table1[[#This Row],[anxiety_score]]&lt;=10, "Normal", IF(Table1[[#This Row],[anxiety_score]]&lt;=20, "Moderate", IF(Table1[[#This Row],[anxiety_score]]&lt;=30, "Severe", "Extremely Severe")))</f>
        <v>Normal</v>
      </c>
      <c r="I1056">
        <v>-1.0134224999999999</v>
      </c>
      <c r="J1056">
        <v>2</v>
      </c>
      <c r="K1056" s="1" t="str">
        <f>IF(Table1[[#This Row],[stress_score]]&lt;=10, "Normal", IF(Table1[[#This Row],[stress_score]]&lt;=20, "Moderate", IF(Table1[[#This Row],[stress_score]]&lt;=30, "Severe", "Extremely Severe")))</f>
        <v>Normal</v>
      </c>
      <c r="L1056">
        <v>-0.9678099</v>
      </c>
      <c r="M1056">
        <v>0</v>
      </c>
      <c r="N1056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056">
        <v>-1.1088359000000001</v>
      </c>
      <c r="P1056">
        <v>0.66666669999999995</v>
      </c>
      <c r="Q1056">
        <f>ROUND(Table1[[#This Row],[dass21_raw_score]],0)</f>
        <v>1</v>
      </c>
      <c r="R1056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056">
        <v>-1.0300227</v>
      </c>
      <c r="T1056">
        <v>6.4887165999999996E-2</v>
      </c>
      <c r="U1056">
        <v>4400</v>
      </c>
      <c r="V1056" s="1">
        <f>ROUND(Table1[[#This Row],[fmpce]],0)</f>
        <v>4400</v>
      </c>
      <c r="W1056">
        <v>59.860523000000001</v>
      </c>
      <c r="X1056" s="4">
        <f>Table1[[#This Row],[mpce]]*89</f>
        <v>5327.5865469999999</v>
      </c>
      <c r="Y1056" s="2" t="s">
        <v>32</v>
      </c>
      <c r="Z1056" s="3">
        <f>VLOOKUP(Y1056, rmpce_reference!$B$1:$D$7,3,FALSE) * 89</f>
        <v>4450</v>
      </c>
      <c r="AA1056" s="1" t="str">
        <f>IF(Table1[rmpce_inr]&lt;=rmpce_reference!$F$2, "Low Income", IF(Table1[rmpce_inr]&lt;=rmpce_reference!$F$3, "Middle Income", "High Income"))</f>
        <v>Low Income</v>
      </c>
    </row>
    <row r="1057" spans="1:27" x14ac:dyDescent="0.25">
      <c r="A1057">
        <v>5193</v>
      </c>
      <c r="B1057" t="s">
        <v>43</v>
      </c>
      <c r="C1057" t="s">
        <v>21</v>
      </c>
      <c r="D1057">
        <v>42</v>
      </c>
      <c r="E1057" t="s">
        <v>25</v>
      </c>
      <c r="F1057" t="s">
        <v>37</v>
      </c>
      <c r="G1057">
        <v>2</v>
      </c>
      <c r="H1057" s="1" t="str">
        <f>IF(Table1[[#This Row],[anxiety_score]]&lt;=10, "Normal", IF(Table1[[#This Row],[anxiety_score]]&lt;=20, "Moderate", IF(Table1[[#This Row],[anxiety_score]]&lt;=30, "Severe", "Extremely Severe")))</f>
        <v>Normal</v>
      </c>
      <c r="I1057">
        <v>-0.81237789999999999</v>
      </c>
      <c r="J1057">
        <v>4</v>
      </c>
      <c r="K1057" s="1" t="str">
        <f>IF(Table1[[#This Row],[stress_score]]&lt;=10, "Normal", IF(Table1[[#This Row],[stress_score]]&lt;=20, "Moderate", IF(Table1[[#This Row],[stress_score]]&lt;=30, "Severe", "Extremely Severe")))</f>
        <v>Normal</v>
      </c>
      <c r="L1057">
        <v>-0.77314866000000004</v>
      </c>
      <c r="M1057">
        <v>0</v>
      </c>
      <c r="N1057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057">
        <v>-1.1088359000000001</v>
      </c>
      <c r="P1057">
        <v>2</v>
      </c>
      <c r="Q1057">
        <f>ROUND(Table1[[#This Row],[dass21_raw_score]],0)</f>
        <v>2</v>
      </c>
      <c r="R1057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057">
        <v>-0.89812080000000005</v>
      </c>
      <c r="T1057">
        <v>0.19678909</v>
      </c>
      <c r="U1057">
        <v>4285.7143999999998</v>
      </c>
      <c r="V1057" s="1">
        <f>ROUND(Table1[[#This Row],[fmpce]],0)</f>
        <v>4286</v>
      </c>
      <c r="W1057">
        <v>58.305706000000001</v>
      </c>
      <c r="X1057" s="4">
        <f>Table1[[#This Row],[mpce]]*89</f>
        <v>5189.2078339999998</v>
      </c>
      <c r="Y1057" s="2" t="s">
        <v>32</v>
      </c>
      <c r="Z1057" s="3">
        <f>VLOOKUP(Y1057, rmpce_reference!$B$1:$D$7,3,FALSE) * 89</f>
        <v>4450</v>
      </c>
      <c r="AA1057" s="1" t="str">
        <f>IF(Table1[rmpce_inr]&lt;=rmpce_reference!$F$2, "Low Income", IF(Table1[rmpce_inr]&lt;=rmpce_reference!$F$3, "Middle Income", "High Income"))</f>
        <v>Low Income</v>
      </c>
    </row>
    <row r="1058" spans="1:27" x14ac:dyDescent="0.25">
      <c r="A1058">
        <v>5194</v>
      </c>
      <c r="B1058" t="s">
        <v>43</v>
      </c>
      <c r="C1058" t="s">
        <v>36</v>
      </c>
      <c r="D1058">
        <v>59</v>
      </c>
      <c r="E1058" t="s">
        <v>22</v>
      </c>
      <c r="F1058" t="s">
        <v>30</v>
      </c>
      <c r="G1058">
        <v>0</v>
      </c>
      <c r="H1058" s="1" t="str">
        <f>IF(Table1[[#This Row],[anxiety_score]]&lt;=10, "Normal", IF(Table1[[#This Row],[anxiety_score]]&lt;=20, "Moderate", IF(Table1[[#This Row],[anxiety_score]]&lt;=30, "Severe", "Extremely Severe")))</f>
        <v>Normal</v>
      </c>
      <c r="I1058">
        <v>-1.0134224999999999</v>
      </c>
      <c r="J1058">
        <v>2</v>
      </c>
      <c r="K1058" s="1" t="str">
        <f>IF(Table1[[#This Row],[stress_score]]&lt;=10, "Normal", IF(Table1[[#This Row],[stress_score]]&lt;=20, "Moderate", IF(Table1[[#This Row],[stress_score]]&lt;=30, "Severe", "Extremely Severe")))</f>
        <v>Normal</v>
      </c>
      <c r="L1058">
        <v>-0.9678099</v>
      </c>
      <c r="M1058">
        <v>0</v>
      </c>
      <c r="N1058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058">
        <v>-1.1088359000000001</v>
      </c>
      <c r="P1058">
        <v>0.66666669999999995</v>
      </c>
      <c r="Q1058">
        <f>ROUND(Table1[[#This Row],[dass21_raw_score]],0)</f>
        <v>1</v>
      </c>
      <c r="R1058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058">
        <v>-1.0300227</v>
      </c>
      <c r="T1058">
        <v>6.4887165999999996E-2</v>
      </c>
      <c r="U1058">
        <v>15000</v>
      </c>
      <c r="V1058" s="1">
        <f>ROUND(Table1[[#This Row],[fmpce]],0)</f>
        <v>15000</v>
      </c>
      <c r="W1058">
        <v>204.06997999999999</v>
      </c>
      <c r="X1058" s="4">
        <f>Table1[[#This Row],[mpce]]*89</f>
        <v>18162.228219999997</v>
      </c>
      <c r="Y1058" s="2" t="s">
        <v>35</v>
      </c>
      <c r="Z1058" s="3">
        <f>VLOOKUP(Y1058, rmpce_reference!$B$1:$D$7,3,FALSE) * 89</f>
        <v>9790</v>
      </c>
      <c r="AA1058" s="1" t="str">
        <f>IF(Table1[rmpce_inr]&lt;=rmpce_reference!$F$2, "Low Income", IF(Table1[rmpce_inr]&lt;=rmpce_reference!$F$3, "Middle Income", "High Income"))</f>
        <v>High Income</v>
      </c>
    </row>
    <row r="1059" spans="1:27" x14ac:dyDescent="0.25">
      <c r="A1059">
        <v>5196</v>
      </c>
      <c r="B1059" t="s">
        <v>43</v>
      </c>
      <c r="C1059" t="s">
        <v>21</v>
      </c>
      <c r="D1059">
        <v>49</v>
      </c>
      <c r="E1059" t="s">
        <v>25</v>
      </c>
      <c r="F1059" t="s">
        <v>26</v>
      </c>
      <c r="G1059">
        <v>0</v>
      </c>
      <c r="H1059" s="1" t="str">
        <f>IF(Table1[[#This Row],[anxiety_score]]&lt;=10, "Normal", IF(Table1[[#This Row],[anxiety_score]]&lt;=20, "Moderate", IF(Table1[[#This Row],[anxiety_score]]&lt;=30, "Severe", "Extremely Severe")))</f>
        <v>Normal</v>
      </c>
      <c r="I1059">
        <v>-1.0134224999999999</v>
      </c>
      <c r="J1059">
        <v>12</v>
      </c>
      <c r="K1059" s="1" t="str">
        <f>IF(Table1[[#This Row],[stress_score]]&lt;=10, "Normal", IF(Table1[[#This Row],[stress_score]]&lt;=20, "Moderate", IF(Table1[[#This Row],[stress_score]]&lt;=30, "Severe", "Extremely Severe")))</f>
        <v>Moderate</v>
      </c>
      <c r="L1059">
        <v>5.496318E-3</v>
      </c>
      <c r="M1059">
        <v>6</v>
      </c>
      <c r="N1059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059">
        <v>-0.53092379999999995</v>
      </c>
      <c r="P1059">
        <v>6</v>
      </c>
      <c r="Q1059">
        <f>ROUND(Table1[[#This Row],[dass21_raw_score]],0)</f>
        <v>6</v>
      </c>
      <c r="R1059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059">
        <v>-0.51295000000000002</v>
      </c>
      <c r="T1059">
        <v>0.58195989999999997</v>
      </c>
      <c r="U1059">
        <v>2800</v>
      </c>
      <c r="V1059" s="1">
        <f>ROUND(Table1[[#This Row],[fmpce]],0)</f>
        <v>2800</v>
      </c>
      <c r="W1059">
        <v>38.093060000000001</v>
      </c>
      <c r="X1059" s="4">
        <f>Table1[[#This Row],[mpce]]*89</f>
        <v>3390.2823400000002</v>
      </c>
      <c r="Y1059" s="2" t="s">
        <v>34</v>
      </c>
      <c r="Z1059" s="3">
        <f>VLOOKUP(Y1059, rmpce_reference!$B$1:$D$7,3,FALSE) * 89</f>
        <v>2848</v>
      </c>
      <c r="AA1059" s="1" t="str">
        <f>IF(Table1[rmpce_inr]&lt;=rmpce_reference!$F$2, "Low Income", IF(Table1[rmpce_inr]&lt;=rmpce_reference!$F$3, "Middle Income", "High Income"))</f>
        <v>Low Income</v>
      </c>
    </row>
    <row r="1060" spans="1:27" x14ac:dyDescent="0.25">
      <c r="A1060">
        <v>5198</v>
      </c>
      <c r="B1060" t="s">
        <v>43</v>
      </c>
      <c r="C1060" t="s">
        <v>29</v>
      </c>
      <c r="D1060">
        <v>32</v>
      </c>
      <c r="E1060" t="s">
        <v>25</v>
      </c>
      <c r="F1060" t="s">
        <v>26</v>
      </c>
      <c r="G1060">
        <v>4</v>
      </c>
      <c r="H1060" s="1" t="str">
        <f>IF(Table1[[#This Row],[anxiety_score]]&lt;=10, "Normal", IF(Table1[[#This Row],[anxiety_score]]&lt;=20, "Moderate", IF(Table1[[#This Row],[anxiety_score]]&lt;=30, "Severe", "Extremely Severe")))</f>
        <v>Normal</v>
      </c>
      <c r="I1060">
        <v>-0.61133329999999997</v>
      </c>
      <c r="J1060">
        <v>4</v>
      </c>
      <c r="K1060" s="1" t="str">
        <f>IF(Table1[[#This Row],[stress_score]]&lt;=10, "Normal", IF(Table1[[#This Row],[stress_score]]&lt;=20, "Moderate", IF(Table1[[#This Row],[stress_score]]&lt;=30, "Severe", "Extremely Severe")))</f>
        <v>Normal</v>
      </c>
      <c r="L1060">
        <v>-0.77314866000000004</v>
      </c>
      <c r="M1060">
        <v>16</v>
      </c>
      <c r="N1060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1060">
        <v>0.43226320000000001</v>
      </c>
      <c r="P1060">
        <v>8</v>
      </c>
      <c r="Q1060">
        <f>ROUND(Table1[[#This Row],[dass21_raw_score]],0)</f>
        <v>8</v>
      </c>
      <c r="R1060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060">
        <v>-0.31740626999999999</v>
      </c>
      <c r="T1060">
        <v>0.77750359999999996</v>
      </c>
      <c r="U1060">
        <v>8333.3330000000005</v>
      </c>
      <c r="V1060" s="1">
        <f>ROUND(Table1[[#This Row],[fmpce]],0)</f>
        <v>8333</v>
      </c>
      <c r="W1060">
        <v>113.37220000000001</v>
      </c>
      <c r="X1060" s="4">
        <f>Table1[[#This Row],[mpce]]*89</f>
        <v>10090.1258</v>
      </c>
      <c r="Y1060" s="2" t="s">
        <v>35</v>
      </c>
      <c r="Z1060" s="3">
        <f>VLOOKUP(Y1060, rmpce_reference!$B$1:$D$7,3,FALSE) * 89</f>
        <v>9790</v>
      </c>
      <c r="AA1060" s="1" t="str">
        <f>IF(Table1[rmpce_inr]&lt;=rmpce_reference!$F$2, "Low Income", IF(Table1[rmpce_inr]&lt;=rmpce_reference!$F$3, "Middle Income", "High Income"))</f>
        <v>High Income</v>
      </c>
    </row>
    <row r="1061" spans="1:27" x14ac:dyDescent="0.25">
      <c r="A1061">
        <v>5199</v>
      </c>
      <c r="B1061" t="s">
        <v>43</v>
      </c>
      <c r="C1061" t="s">
        <v>36</v>
      </c>
      <c r="D1061">
        <v>58</v>
      </c>
      <c r="E1061" t="s">
        <v>22</v>
      </c>
      <c r="F1061" t="s">
        <v>30</v>
      </c>
      <c r="G1061">
        <v>2</v>
      </c>
      <c r="H1061" s="1" t="str">
        <f>IF(Table1[[#This Row],[anxiety_score]]&lt;=10, "Normal", IF(Table1[[#This Row],[anxiety_score]]&lt;=20, "Moderate", IF(Table1[[#This Row],[anxiety_score]]&lt;=30, "Severe", "Extremely Severe")))</f>
        <v>Normal</v>
      </c>
      <c r="I1061">
        <v>-0.81237789999999999</v>
      </c>
      <c r="J1061">
        <v>2</v>
      </c>
      <c r="K1061" s="1" t="str">
        <f>IF(Table1[[#This Row],[stress_score]]&lt;=10, "Normal", IF(Table1[[#This Row],[stress_score]]&lt;=20, "Moderate", IF(Table1[[#This Row],[stress_score]]&lt;=30, "Severe", "Extremely Severe")))</f>
        <v>Normal</v>
      </c>
      <c r="L1061">
        <v>-0.9678099</v>
      </c>
      <c r="M1061">
        <v>8</v>
      </c>
      <c r="N1061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061">
        <v>-0.33828637</v>
      </c>
      <c r="P1061">
        <v>4</v>
      </c>
      <c r="Q1061">
        <f>ROUND(Table1[[#This Row],[dass21_raw_score]],0)</f>
        <v>4</v>
      </c>
      <c r="R1061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061">
        <v>-0.70615804000000004</v>
      </c>
      <c r="T1061">
        <v>0.38875186</v>
      </c>
      <c r="U1061">
        <v>17500</v>
      </c>
      <c r="V1061" s="1">
        <f>ROUND(Table1[[#This Row],[fmpce]],0)</f>
        <v>17500</v>
      </c>
      <c r="W1061">
        <v>238.08162999999999</v>
      </c>
      <c r="X1061" s="4">
        <f>Table1[[#This Row],[mpce]]*89</f>
        <v>21189.265069999998</v>
      </c>
      <c r="Y1061" s="2" t="s">
        <v>35</v>
      </c>
      <c r="Z1061" s="3">
        <f>VLOOKUP(Y1061, rmpce_reference!$B$1:$D$7,3,FALSE) * 89</f>
        <v>9790</v>
      </c>
      <c r="AA1061" s="1" t="str">
        <f>IF(Table1[rmpce_inr]&lt;=rmpce_reference!$F$2, "Low Income", IF(Table1[rmpce_inr]&lt;=rmpce_reference!$F$3, "Middle Income", "High Income"))</f>
        <v>High Income</v>
      </c>
    </row>
    <row r="1062" spans="1:27" x14ac:dyDescent="0.25">
      <c r="A1062">
        <v>5200</v>
      </c>
      <c r="B1062" t="s">
        <v>43</v>
      </c>
      <c r="C1062" t="s">
        <v>29</v>
      </c>
      <c r="D1062">
        <v>38</v>
      </c>
      <c r="E1062" t="s">
        <v>22</v>
      </c>
      <c r="F1062" t="s">
        <v>30</v>
      </c>
      <c r="G1062">
        <v>2</v>
      </c>
      <c r="H1062" s="1" t="str">
        <f>IF(Table1[[#This Row],[anxiety_score]]&lt;=10, "Normal", IF(Table1[[#This Row],[anxiety_score]]&lt;=20, "Moderate", IF(Table1[[#This Row],[anxiety_score]]&lt;=30, "Severe", "Extremely Severe")))</f>
        <v>Normal</v>
      </c>
      <c r="I1062">
        <v>-0.81237789999999999</v>
      </c>
      <c r="J1062">
        <v>0</v>
      </c>
      <c r="K1062" s="1" t="str">
        <f>IF(Table1[[#This Row],[stress_score]]&lt;=10, "Normal", IF(Table1[[#This Row],[stress_score]]&lt;=20, "Moderate", IF(Table1[[#This Row],[stress_score]]&lt;=30, "Severe", "Extremely Severe")))</f>
        <v>Normal</v>
      </c>
      <c r="L1062">
        <v>-1.1624711999999999</v>
      </c>
      <c r="M1062">
        <v>8</v>
      </c>
      <c r="N1062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062">
        <v>-0.33828637</v>
      </c>
      <c r="P1062">
        <v>3.3333333000000001</v>
      </c>
      <c r="Q1062">
        <f>ROUND(Table1[[#This Row],[dass21_raw_score]],0)</f>
        <v>3</v>
      </c>
      <c r="R1062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062">
        <v>-0.77104514999999996</v>
      </c>
      <c r="T1062">
        <v>0.32386475999999997</v>
      </c>
      <c r="U1062">
        <v>10000</v>
      </c>
      <c r="V1062" s="1">
        <f>ROUND(Table1[[#This Row],[fmpce]],0)</f>
        <v>10000</v>
      </c>
      <c r="W1062">
        <v>136.04665</v>
      </c>
      <c r="X1062" s="4">
        <f>Table1[[#This Row],[mpce]]*89</f>
        <v>12108.15185</v>
      </c>
      <c r="Y1062" s="2" t="s">
        <v>35</v>
      </c>
      <c r="Z1062" s="3">
        <f>VLOOKUP(Y1062, rmpce_reference!$B$1:$D$7,3,FALSE) * 89</f>
        <v>9790</v>
      </c>
      <c r="AA1062" s="1" t="str">
        <f>IF(Table1[rmpce_inr]&lt;=rmpce_reference!$F$2, "Low Income", IF(Table1[rmpce_inr]&lt;=rmpce_reference!$F$3, "Middle Income", "High Income"))</f>
        <v>High Income</v>
      </c>
    </row>
    <row r="1063" spans="1:27" x14ac:dyDescent="0.25">
      <c r="A1063">
        <v>5201</v>
      </c>
      <c r="B1063" t="s">
        <v>43</v>
      </c>
      <c r="C1063" t="s">
        <v>36</v>
      </c>
      <c r="D1063">
        <v>54</v>
      </c>
      <c r="E1063" t="s">
        <v>25</v>
      </c>
      <c r="F1063" t="s">
        <v>23</v>
      </c>
      <c r="G1063">
        <v>12</v>
      </c>
      <c r="H1063" s="1" t="str">
        <f>IF(Table1[[#This Row],[anxiety_score]]&lt;=10, "Normal", IF(Table1[[#This Row],[anxiety_score]]&lt;=20, "Moderate", IF(Table1[[#This Row],[anxiety_score]]&lt;=30, "Severe", "Extremely Severe")))</f>
        <v>Moderate</v>
      </c>
      <c r="I1063">
        <v>0.19284514999999999</v>
      </c>
      <c r="J1063">
        <v>16</v>
      </c>
      <c r="K1063" s="1" t="str">
        <f>IF(Table1[[#This Row],[stress_score]]&lt;=10, "Normal", IF(Table1[[#This Row],[stress_score]]&lt;=20, "Moderate", IF(Table1[[#This Row],[stress_score]]&lt;=30, "Severe", "Extremely Severe")))</f>
        <v>Moderate</v>
      </c>
      <c r="L1063">
        <v>0.39481880000000003</v>
      </c>
      <c r="M1063">
        <v>18</v>
      </c>
      <c r="N1063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1063">
        <v>0.62490060000000003</v>
      </c>
      <c r="P1063">
        <v>15.333333</v>
      </c>
      <c r="Q1063">
        <f>ROUND(Table1[[#This Row],[dass21_raw_score]],0)</f>
        <v>15</v>
      </c>
      <c r="R1063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1063">
        <v>0.4041882</v>
      </c>
      <c r="T1063">
        <v>1.4990981000000001</v>
      </c>
      <c r="U1063">
        <v>6000</v>
      </c>
      <c r="V1063" s="1">
        <f>ROUND(Table1[[#This Row],[fmpce]],0)</f>
        <v>6000</v>
      </c>
      <c r="W1063">
        <v>81.627989999999997</v>
      </c>
      <c r="X1063" s="4">
        <f>Table1[[#This Row],[mpce]]*89</f>
        <v>7264.8911099999996</v>
      </c>
      <c r="Y1063" s="2" t="s">
        <v>31</v>
      </c>
      <c r="Z1063" s="3">
        <f>VLOOKUP(Y1063, rmpce_reference!$B$1:$D$7,3,FALSE) * 89</f>
        <v>8010</v>
      </c>
      <c r="AA1063" s="1" t="str">
        <f>IF(Table1[rmpce_inr]&lt;=rmpce_reference!$F$2, "Low Income", IF(Table1[rmpce_inr]&lt;=rmpce_reference!$F$3, "Middle Income", "High Income"))</f>
        <v>High Income</v>
      </c>
    </row>
    <row r="1064" spans="1:27" x14ac:dyDescent="0.25">
      <c r="A1064">
        <v>5202</v>
      </c>
      <c r="B1064" t="s">
        <v>43</v>
      </c>
      <c r="C1064" t="s">
        <v>36</v>
      </c>
      <c r="D1064">
        <v>55</v>
      </c>
      <c r="E1064" t="s">
        <v>22</v>
      </c>
      <c r="F1064" t="s">
        <v>23</v>
      </c>
      <c r="G1064">
        <v>0</v>
      </c>
      <c r="H1064" s="1" t="str">
        <f>IF(Table1[[#This Row],[anxiety_score]]&lt;=10, "Normal", IF(Table1[[#This Row],[anxiety_score]]&lt;=20, "Moderate", IF(Table1[[#This Row],[anxiety_score]]&lt;=30, "Severe", "Extremely Severe")))</f>
        <v>Normal</v>
      </c>
      <c r="I1064">
        <v>-1.0134224999999999</v>
      </c>
      <c r="J1064">
        <v>2</v>
      </c>
      <c r="K1064" s="1" t="str">
        <f>IF(Table1[[#This Row],[stress_score]]&lt;=10, "Normal", IF(Table1[[#This Row],[stress_score]]&lt;=20, "Moderate", IF(Table1[[#This Row],[stress_score]]&lt;=30, "Severe", "Extremely Severe")))</f>
        <v>Normal</v>
      </c>
      <c r="L1064">
        <v>-0.9678099</v>
      </c>
      <c r="M1064">
        <v>0</v>
      </c>
      <c r="N1064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064">
        <v>-1.1088359000000001</v>
      </c>
      <c r="P1064">
        <v>0.66666669999999995</v>
      </c>
      <c r="Q1064">
        <f>ROUND(Table1[[#This Row],[dass21_raw_score]],0)</f>
        <v>1</v>
      </c>
      <c r="R1064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064">
        <v>-1.0300227</v>
      </c>
      <c r="T1064">
        <v>6.4887165999999996E-2</v>
      </c>
      <c r="U1064">
        <v>2000</v>
      </c>
      <c r="V1064" s="1">
        <f>ROUND(Table1[[#This Row],[fmpce]],0)</f>
        <v>2000</v>
      </c>
      <c r="W1064">
        <v>27.209330000000001</v>
      </c>
      <c r="X1064" s="4">
        <f>Table1[[#This Row],[mpce]]*89</f>
        <v>2421.6303700000003</v>
      </c>
      <c r="Y1064" s="2" t="s">
        <v>34</v>
      </c>
      <c r="Z1064" s="3">
        <f>VLOOKUP(Y1064, rmpce_reference!$B$1:$D$7,3,FALSE) * 89</f>
        <v>2848</v>
      </c>
      <c r="AA1064" s="1" t="str">
        <f>IF(Table1[rmpce_inr]&lt;=rmpce_reference!$F$2, "Low Income", IF(Table1[rmpce_inr]&lt;=rmpce_reference!$F$3, "Middle Income", "High Income"))</f>
        <v>Low Income</v>
      </c>
    </row>
    <row r="1065" spans="1:27" x14ac:dyDescent="0.25">
      <c r="A1065">
        <v>6001</v>
      </c>
      <c r="B1065" t="s">
        <v>44</v>
      </c>
      <c r="C1065" t="s">
        <v>36</v>
      </c>
      <c r="D1065">
        <v>54</v>
      </c>
      <c r="E1065" t="s">
        <v>25</v>
      </c>
      <c r="F1065" t="s">
        <v>26</v>
      </c>
      <c r="G1065">
        <v>6</v>
      </c>
      <c r="H1065" s="1" t="str">
        <f>IF(Table1[[#This Row],[anxiety_score]]&lt;=10, "Normal", IF(Table1[[#This Row],[anxiety_score]]&lt;=20, "Moderate", IF(Table1[[#This Row],[anxiety_score]]&lt;=30, "Severe", "Extremely Severe")))</f>
        <v>Normal</v>
      </c>
      <c r="I1065">
        <v>-0.41028870000000001</v>
      </c>
      <c r="J1065">
        <v>2</v>
      </c>
      <c r="K1065" s="1" t="str">
        <f>IF(Table1[[#This Row],[stress_score]]&lt;=10, "Normal", IF(Table1[[#This Row],[stress_score]]&lt;=20, "Moderate", IF(Table1[[#This Row],[stress_score]]&lt;=30, "Severe", "Extremely Severe")))</f>
        <v>Normal</v>
      </c>
      <c r="L1065">
        <v>-0.9678099</v>
      </c>
      <c r="M1065">
        <v>4</v>
      </c>
      <c r="N1065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065">
        <v>-0.72356116999999998</v>
      </c>
      <c r="P1065">
        <v>4</v>
      </c>
      <c r="Q1065">
        <f>ROUND(Table1[[#This Row],[dass21_raw_score]],0)</f>
        <v>4</v>
      </c>
      <c r="R1065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065">
        <v>-0.70055323999999997</v>
      </c>
      <c r="T1065">
        <v>0.39435667000000002</v>
      </c>
      <c r="U1065">
        <v>16000</v>
      </c>
      <c r="V1065" s="1">
        <f>ROUND(Table1[[#This Row],[fmpce]],0)</f>
        <v>16000</v>
      </c>
      <c r="W1065">
        <v>217.67464000000001</v>
      </c>
      <c r="X1065" s="4">
        <f>Table1[[#This Row],[mpce]]*89</f>
        <v>19373.042960000002</v>
      </c>
      <c r="Y1065" s="2" t="s">
        <v>35</v>
      </c>
      <c r="Z1065" s="3">
        <f>VLOOKUP(Y1065, rmpce_reference!$B$1:$D$7,3,FALSE) * 89</f>
        <v>9790</v>
      </c>
      <c r="AA1065" s="1" t="str">
        <f>IF(Table1[rmpce_inr]&lt;=rmpce_reference!$F$2, "Low Income", IF(Table1[rmpce_inr]&lt;=rmpce_reference!$F$3, "Middle Income", "High Income"))</f>
        <v>High Income</v>
      </c>
    </row>
    <row r="1066" spans="1:27" x14ac:dyDescent="0.25">
      <c r="A1066">
        <v>6002</v>
      </c>
      <c r="B1066" t="s">
        <v>44</v>
      </c>
      <c r="C1066" t="s">
        <v>33</v>
      </c>
      <c r="D1066">
        <v>25</v>
      </c>
      <c r="E1066" t="s">
        <v>22</v>
      </c>
      <c r="F1066" t="s">
        <v>30</v>
      </c>
      <c r="G1066">
        <v>18</v>
      </c>
      <c r="H1066" s="1" t="str">
        <f>IF(Table1[[#This Row],[anxiety_score]]&lt;=10, "Normal", IF(Table1[[#This Row],[anxiety_score]]&lt;=20, "Moderate", IF(Table1[[#This Row],[anxiety_score]]&lt;=30, "Severe", "Extremely Severe")))</f>
        <v>Moderate</v>
      </c>
      <c r="I1066">
        <v>0.79597896000000001</v>
      </c>
      <c r="J1066">
        <v>26</v>
      </c>
      <c r="K1066" s="1" t="str">
        <f>IF(Table1[[#This Row],[stress_score]]&lt;=10, "Normal", IF(Table1[[#This Row],[stress_score]]&lt;=20, "Moderate", IF(Table1[[#This Row],[stress_score]]&lt;=30, "Severe", "Extremely Severe")))</f>
        <v>Severe</v>
      </c>
      <c r="L1066">
        <v>1.3681251000000001</v>
      </c>
      <c r="M1066">
        <v>30</v>
      </c>
      <c r="N1066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1066">
        <v>1.7807249999999999</v>
      </c>
      <c r="P1066">
        <v>24.666665999999999</v>
      </c>
      <c r="Q1066">
        <f>ROUND(Table1[[#This Row],[dass21_raw_score]],0)</f>
        <v>25</v>
      </c>
      <c r="R1066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066">
        <v>1.3149431</v>
      </c>
      <c r="T1066">
        <v>2.409853</v>
      </c>
      <c r="U1066">
        <v>7500</v>
      </c>
      <c r="V1066" s="1">
        <f>ROUND(Table1[[#This Row],[fmpce]],0)</f>
        <v>7500</v>
      </c>
      <c r="W1066">
        <v>102.03498999999999</v>
      </c>
      <c r="X1066" s="4">
        <f>Table1[[#This Row],[mpce]]*89</f>
        <v>9081.1141099999986</v>
      </c>
      <c r="Y1066" s="2" t="s">
        <v>35</v>
      </c>
      <c r="Z1066" s="3">
        <f>VLOOKUP(Y1066, rmpce_reference!$B$1:$D$7,3,FALSE) * 89</f>
        <v>9790</v>
      </c>
      <c r="AA1066" s="1" t="str">
        <f>IF(Table1[rmpce_inr]&lt;=rmpce_reference!$F$2, "Low Income", IF(Table1[rmpce_inr]&lt;=rmpce_reference!$F$3, "Middle Income", "High Income"))</f>
        <v>High Income</v>
      </c>
    </row>
    <row r="1067" spans="1:27" x14ac:dyDescent="0.25">
      <c r="A1067">
        <v>6003</v>
      </c>
      <c r="B1067" t="s">
        <v>44</v>
      </c>
      <c r="C1067" t="s">
        <v>33</v>
      </c>
      <c r="D1067">
        <v>30</v>
      </c>
      <c r="E1067" t="s">
        <v>25</v>
      </c>
      <c r="F1067" t="s">
        <v>30</v>
      </c>
      <c r="G1067">
        <v>42</v>
      </c>
      <c r="H1067" s="1" t="str">
        <f>IF(Table1[[#This Row],[anxiety_score]]&lt;=10, "Normal", IF(Table1[[#This Row],[anxiety_score]]&lt;=20, "Moderate", IF(Table1[[#This Row],[anxiety_score]]&lt;=30, "Severe", "Extremely Severe")))</f>
        <v>Extremely Severe</v>
      </c>
      <c r="I1067">
        <v>3.2085145000000002</v>
      </c>
      <c r="J1067">
        <v>36</v>
      </c>
      <c r="K1067" s="1" t="str">
        <f>IF(Table1[[#This Row],[stress_score]]&lt;=10, "Normal", IF(Table1[[#This Row],[stress_score]]&lt;=20, "Moderate", IF(Table1[[#This Row],[stress_score]]&lt;=30, "Severe", "Extremely Severe")))</f>
        <v>Extremely Severe</v>
      </c>
      <c r="L1067">
        <v>2.3414313999999998</v>
      </c>
      <c r="M1067">
        <v>40</v>
      </c>
      <c r="N1067" s="1" t="str">
        <f>IF(Table1[[#This Row],[depression_score]]&lt;=10, "Normal", IF(Table1[[#This Row],[depression_score]]&lt;=20, "Moderate", IF(Table1[[#This Row],[depression_score]]&lt;=30, "Severe", "Extremely Severe")))</f>
        <v>Extremely Severe</v>
      </c>
      <c r="O1067">
        <v>2.7439119999999999</v>
      </c>
      <c r="P1067">
        <v>39.333331999999999</v>
      </c>
      <c r="Q1067">
        <f>ROUND(Table1[[#This Row],[dass21_raw_score]],0)</f>
        <v>39</v>
      </c>
      <c r="R1067" s="1" t="str">
        <f>IF(Table1[[#This Row],[round_dass21_raw_score]]&lt;=10, "Normal", IF(Table1[[#This Row],[round_dass21_raw_score]]&lt;=20, "Moderate", IF(Table1[[#This Row],[round_dass21_raw_score]]&lt;=30, "Severe", "Extremely Severe")))</f>
        <v>Extremely Severe</v>
      </c>
      <c r="S1067">
        <v>2.7646193999999999</v>
      </c>
      <c r="T1067">
        <v>3.8595293000000002</v>
      </c>
      <c r="U1067">
        <v>2142.8571999999999</v>
      </c>
      <c r="V1067" s="1">
        <f>ROUND(Table1[[#This Row],[fmpce]],0)</f>
        <v>2143</v>
      </c>
      <c r="W1067">
        <v>29.152853</v>
      </c>
      <c r="X1067" s="4">
        <f>Table1[[#This Row],[mpce]]*89</f>
        <v>2594.6039169999999</v>
      </c>
      <c r="Y1067" s="2" t="s">
        <v>34</v>
      </c>
      <c r="Z1067" s="3">
        <f>VLOOKUP(Y1067, rmpce_reference!$B$1:$D$7,3,FALSE) * 89</f>
        <v>2848</v>
      </c>
      <c r="AA1067" s="1" t="str">
        <f>IF(Table1[rmpce_inr]&lt;=rmpce_reference!$F$2, "Low Income", IF(Table1[rmpce_inr]&lt;=rmpce_reference!$F$3, "Middle Income", "High Income"))</f>
        <v>Low Income</v>
      </c>
    </row>
    <row r="1068" spans="1:27" x14ac:dyDescent="0.25">
      <c r="A1068">
        <v>6004</v>
      </c>
      <c r="B1068" t="s">
        <v>44</v>
      </c>
      <c r="C1068" t="s">
        <v>33</v>
      </c>
      <c r="D1068">
        <v>25</v>
      </c>
      <c r="E1068" t="s">
        <v>25</v>
      </c>
      <c r="F1068" t="s">
        <v>26</v>
      </c>
      <c r="G1068">
        <v>34</v>
      </c>
      <c r="H1068" s="1" t="str">
        <f>IF(Table1[[#This Row],[anxiety_score]]&lt;=10, "Normal", IF(Table1[[#This Row],[anxiety_score]]&lt;=20, "Moderate", IF(Table1[[#This Row],[anxiety_score]]&lt;=30, "Severe", "Extremely Severe")))</f>
        <v>Extremely Severe</v>
      </c>
      <c r="I1068">
        <v>2.4043359999999998</v>
      </c>
      <c r="J1068">
        <v>34</v>
      </c>
      <c r="K1068" s="1" t="str">
        <f>IF(Table1[[#This Row],[stress_score]]&lt;=10, "Normal", IF(Table1[[#This Row],[stress_score]]&lt;=20, "Moderate", IF(Table1[[#This Row],[stress_score]]&lt;=30, "Severe", "Extremely Severe")))</f>
        <v>Extremely Severe</v>
      </c>
      <c r="L1068">
        <v>2.1467700000000001</v>
      </c>
      <c r="M1068">
        <v>36</v>
      </c>
      <c r="N1068" s="1" t="str">
        <f>IF(Table1[[#This Row],[depression_score]]&lt;=10, "Normal", IF(Table1[[#This Row],[depression_score]]&lt;=20, "Moderate", IF(Table1[[#This Row],[depression_score]]&lt;=30, "Severe", "Extremely Severe")))</f>
        <v>Extremely Severe</v>
      </c>
      <c r="O1068">
        <v>2.3586369999999999</v>
      </c>
      <c r="P1068">
        <v>34.666668000000001</v>
      </c>
      <c r="Q1068">
        <f>ROUND(Table1[[#This Row],[dass21_raw_score]],0)</f>
        <v>35</v>
      </c>
      <c r="R1068" s="1" t="str">
        <f>IF(Table1[[#This Row],[round_dass21_raw_score]]&lt;=10, "Normal", IF(Table1[[#This Row],[round_dass21_raw_score]]&lt;=20, "Moderate", IF(Table1[[#This Row],[round_dass21_raw_score]]&lt;=30, "Severe", "Extremely Severe")))</f>
        <v>Extremely Severe</v>
      </c>
      <c r="S1068">
        <v>2.3032477</v>
      </c>
      <c r="T1068">
        <v>3.3981575999999998</v>
      </c>
      <c r="U1068">
        <v>2250</v>
      </c>
      <c r="V1068" s="1">
        <f>ROUND(Table1[[#This Row],[fmpce]],0)</f>
        <v>2250</v>
      </c>
      <c r="W1068">
        <v>30.610496999999999</v>
      </c>
      <c r="X1068" s="4">
        <f>Table1[[#This Row],[mpce]]*89</f>
        <v>2724.334233</v>
      </c>
      <c r="Y1068" s="2" t="s">
        <v>34</v>
      </c>
      <c r="Z1068" s="3">
        <f>VLOOKUP(Y1068, rmpce_reference!$B$1:$D$7,3,FALSE) * 89</f>
        <v>2848</v>
      </c>
      <c r="AA1068" s="1" t="str">
        <f>IF(Table1[rmpce_inr]&lt;=rmpce_reference!$F$2, "Low Income", IF(Table1[rmpce_inr]&lt;=rmpce_reference!$F$3, "Middle Income", "High Income"))</f>
        <v>Low Income</v>
      </c>
    </row>
    <row r="1069" spans="1:27" x14ac:dyDescent="0.25">
      <c r="A1069">
        <v>6005</v>
      </c>
      <c r="B1069" t="s">
        <v>44</v>
      </c>
      <c r="C1069" t="s">
        <v>21</v>
      </c>
      <c r="D1069">
        <v>42</v>
      </c>
      <c r="E1069" t="s">
        <v>25</v>
      </c>
      <c r="F1069" t="s">
        <v>30</v>
      </c>
      <c r="G1069">
        <v>10</v>
      </c>
      <c r="H1069" s="1" t="str">
        <f>IF(Table1[[#This Row],[anxiety_score]]&lt;=10, "Normal", IF(Table1[[#This Row],[anxiety_score]]&lt;=20, "Moderate", IF(Table1[[#This Row],[anxiety_score]]&lt;=30, "Severe", "Extremely Severe")))</f>
        <v>Normal</v>
      </c>
      <c r="I1069">
        <v>-8.1994660000000007E-3</v>
      </c>
      <c r="J1069">
        <v>8</v>
      </c>
      <c r="K1069" s="1" t="str">
        <f>IF(Table1[[#This Row],[stress_score]]&lt;=10, "Normal", IF(Table1[[#This Row],[stress_score]]&lt;=20, "Moderate", IF(Table1[[#This Row],[stress_score]]&lt;=30, "Severe", "Extremely Severe")))</f>
        <v>Normal</v>
      </c>
      <c r="L1069">
        <v>-0.38382620000000001</v>
      </c>
      <c r="M1069">
        <v>12</v>
      </c>
      <c r="N1069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1069">
        <v>4.6988415999999998E-2</v>
      </c>
      <c r="P1069">
        <v>10</v>
      </c>
      <c r="Q1069">
        <f>ROUND(Table1[[#This Row],[dass21_raw_score]],0)</f>
        <v>10</v>
      </c>
      <c r="R1069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069">
        <v>-0.11501241500000001</v>
      </c>
      <c r="T1069">
        <v>0.97989749999999998</v>
      </c>
      <c r="U1069">
        <v>4000</v>
      </c>
      <c r="V1069" s="1">
        <f>ROUND(Table1[[#This Row],[fmpce]],0)</f>
        <v>4000</v>
      </c>
      <c r="W1069">
        <v>54.418660000000003</v>
      </c>
      <c r="X1069" s="4">
        <f>Table1[[#This Row],[mpce]]*89</f>
        <v>4843.2607400000006</v>
      </c>
      <c r="Y1069" s="2" t="s">
        <v>32</v>
      </c>
      <c r="Z1069" s="3">
        <f>VLOOKUP(Y1069, rmpce_reference!$B$1:$D$7,3,FALSE) * 89</f>
        <v>4450</v>
      </c>
      <c r="AA1069" s="1" t="str">
        <f>IF(Table1[rmpce_inr]&lt;=rmpce_reference!$F$2, "Low Income", IF(Table1[rmpce_inr]&lt;=rmpce_reference!$F$3, "Middle Income", "High Income"))</f>
        <v>Low Income</v>
      </c>
    </row>
    <row r="1070" spans="1:27" x14ac:dyDescent="0.25">
      <c r="A1070">
        <v>6006</v>
      </c>
      <c r="B1070" t="s">
        <v>44</v>
      </c>
      <c r="C1070" t="s">
        <v>21</v>
      </c>
      <c r="D1070">
        <v>45</v>
      </c>
      <c r="E1070" t="s">
        <v>25</v>
      </c>
      <c r="F1070" t="s">
        <v>23</v>
      </c>
      <c r="G1070">
        <v>36</v>
      </c>
      <c r="H1070" s="1" t="str">
        <f>IF(Table1[[#This Row],[anxiety_score]]&lt;=10, "Normal", IF(Table1[[#This Row],[anxiety_score]]&lt;=20, "Moderate", IF(Table1[[#This Row],[anxiety_score]]&lt;=30, "Severe", "Extremely Severe")))</f>
        <v>Extremely Severe</v>
      </c>
      <c r="I1070">
        <v>2.6053804999999999</v>
      </c>
      <c r="J1070">
        <v>34</v>
      </c>
      <c r="K1070" s="1" t="str">
        <f>IF(Table1[[#This Row],[stress_score]]&lt;=10, "Normal", IF(Table1[[#This Row],[stress_score]]&lt;=20, "Moderate", IF(Table1[[#This Row],[stress_score]]&lt;=30, "Severe", "Extremely Severe")))</f>
        <v>Extremely Severe</v>
      </c>
      <c r="L1070">
        <v>2.1467700000000001</v>
      </c>
      <c r="M1070">
        <v>30</v>
      </c>
      <c r="N1070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1070">
        <v>1.7807249999999999</v>
      </c>
      <c r="P1070">
        <v>33.333331999999999</v>
      </c>
      <c r="Q1070">
        <f>ROUND(Table1[[#This Row],[dass21_raw_score]],0)</f>
        <v>33</v>
      </c>
      <c r="R1070" s="1" t="str">
        <f>IF(Table1[[#This Row],[round_dass21_raw_score]]&lt;=10, "Normal", IF(Table1[[#This Row],[round_dass21_raw_score]]&lt;=20, "Moderate", IF(Table1[[#This Row],[round_dass21_raw_score]]&lt;=30, "Severe", "Extremely Severe")))</f>
        <v>Extremely Severe</v>
      </c>
      <c r="S1070">
        <v>2.1776252</v>
      </c>
      <c r="T1070">
        <v>3.272535</v>
      </c>
      <c r="U1070">
        <v>5000</v>
      </c>
      <c r="V1070" s="1">
        <f>ROUND(Table1[[#This Row],[fmpce]],0)</f>
        <v>5000</v>
      </c>
      <c r="W1070">
        <v>68.023319999999998</v>
      </c>
      <c r="X1070" s="4">
        <f>Table1[[#This Row],[mpce]]*89</f>
        <v>6054.0754799999995</v>
      </c>
      <c r="Y1070" s="2" t="s">
        <v>28</v>
      </c>
      <c r="Z1070" s="3">
        <f>VLOOKUP(Y1070, rmpce_reference!$B$1:$D$7,3,FALSE) * 89</f>
        <v>6230</v>
      </c>
      <c r="AA1070" s="1" t="str">
        <f>IF(Table1[rmpce_inr]&lt;=rmpce_reference!$F$2, "Low Income", IF(Table1[rmpce_inr]&lt;=rmpce_reference!$F$3, "Middle Income", "High Income"))</f>
        <v>Middle Income</v>
      </c>
    </row>
    <row r="1071" spans="1:27" x14ac:dyDescent="0.25">
      <c r="A1071">
        <v>6007</v>
      </c>
      <c r="B1071" t="s">
        <v>44</v>
      </c>
      <c r="C1071" t="s">
        <v>33</v>
      </c>
      <c r="D1071">
        <v>30</v>
      </c>
      <c r="E1071" t="s">
        <v>25</v>
      </c>
      <c r="F1071" t="s">
        <v>26</v>
      </c>
      <c r="G1071">
        <v>34</v>
      </c>
      <c r="H1071" s="1" t="str">
        <f>IF(Table1[[#This Row],[anxiety_score]]&lt;=10, "Normal", IF(Table1[[#This Row],[anxiety_score]]&lt;=20, "Moderate", IF(Table1[[#This Row],[anxiety_score]]&lt;=30, "Severe", "Extremely Severe")))</f>
        <v>Extremely Severe</v>
      </c>
      <c r="I1071">
        <v>2.4043359999999998</v>
      </c>
      <c r="J1071">
        <v>32</v>
      </c>
      <c r="K1071" s="1" t="str">
        <f>IF(Table1[[#This Row],[stress_score]]&lt;=10, "Normal", IF(Table1[[#This Row],[stress_score]]&lt;=20, "Moderate", IF(Table1[[#This Row],[stress_score]]&lt;=30, "Severe", "Extremely Severe")))</f>
        <v>Extremely Severe</v>
      </c>
      <c r="L1071">
        <v>1.9521089</v>
      </c>
      <c r="M1071">
        <v>38</v>
      </c>
      <c r="N1071" s="1" t="str">
        <f>IF(Table1[[#This Row],[depression_score]]&lt;=10, "Normal", IF(Table1[[#This Row],[depression_score]]&lt;=20, "Moderate", IF(Table1[[#This Row],[depression_score]]&lt;=30, "Severe", "Extremely Severe")))</f>
        <v>Extremely Severe</v>
      </c>
      <c r="O1071">
        <v>2.5512744999999999</v>
      </c>
      <c r="P1071">
        <v>34.666668000000001</v>
      </c>
      <c r="Q1071">
        <f>ROUND(Table1[[#This Row],[dass21_raw_score]],0)</f>
        <v>35</v>
      </c>
      <c r="R1071" s="1" t="str">
        <f>IF(Table1[[#This Row],[round_dass21_raw_score]]&lt;=10, "Normal", IF(Table1[[#This Row],[round_dass21_raw_score]]&lt;=20, "Moderate", IF(Table1[[#This Row],[round_dass21_raw_score]]&lt;=30, "Severe", "Extremely Severe")))</f>
        <v>Extremely Severe</v>
      </c>
      <c r="S1071">
        <v>2.3025731999999999</v>
      </c>
      <c r="T1071">
        <v>3.3974829999999998</v>
      </c>
      <c r="U1071">
        <v>2000</v>
      </c>
      <c r="V1071" s="1">
        <f>ROUND(Table1[[#This Row],[fmpce]],0)</f>
        <v>2000</v>
      </c>
      <c r="W1071">
        <v>27.209330000000001</v>
      </c>
      <c r="X1071" s="4">
        <f>Table1[[#This Row],[mpce]]*89</f>
        <v>2421.6303700000003</v>
      </c>
      <c r="Y1071" s="2" t="s">
        <v>34</v>
      </c>
      <c r="Z1071" s="3">
        <f>VLOOKUP(Y1071, rmpce_reference!$B$1:$D$7,3,FALSE) * 89</f>
        <v>2848</v>
      </c>
      <c r="AA1071" s="1" t="str">
        <f>IF(Table1[rmpce_inr]&lt;=rmpce_reference!$F$2, "Low Income", IF(Table1[rmpce_inr]&lt;=rmpce_reference!$F$3, "Middle Income", "High Income"))</f>
        <v>Low Income</v>
      </c>
    </row>
    <row r="1072" spans="1:27" x14ac:dyDescent="0.25">
      <c r="A1072">
        <v>6008</v>
      </c>
      <c r="B1072" t="s">
        <v>44</v>
      </c>
      <c r="C1072" t="s">
        <v>33</v>
      </c>
      <c r="D1072">
        <v>30</v>
      </c>
      <c r="E1072" t="s">
        <v>25</v>
      </c>
      <c r="F1072" t="s">
        <v>26</v>
      </c>
      <c r="G1072">
        <v>38</v>
      </c>
      <c r="H1072" s="1" t="str">
        <f>IF(Table1[[#This Row],[anxiety_score]]&lt;=10, "Normal", IF(Table1[[#This Row],[anxiety_score]]&lt;=20, "Moderate", IF(Table1[[#This Row],[anxiety_score]]&lt;=30, "Severe", "Extremely Severe")))</f>
        <v>Extremely Severe</v>
      </c>
      <c r="I1072">
        <v>2.8064249999999999</v>
      </c>
      <c r="J1072">
        <v>34</v>
      </c>
      <c r="K1072" s="1" t="str">
        <f>IF(Table1[[#This Row],[stress_score]]&lt;=10, "Normal", IF(Table1[[#This Row],[stress_score]]&lt;=20, "Moderate", IF(Table1[[#This Row],[stress_score]]&lt;=30, "Severe", "Extremely Severe")))</f>
        <v>Extremely Severe</v>
      </c>
      <c r="L1072">
        <v>2.1467700000000001</v>
      </c>
      <c r="M1072">
        <v>34</v>
      </c>
      <c r="N1072" s="1" t="str">
        <f>IF(Table1[[#This Row],[depression_score]]&lt;=10, "Normal", IF(Table1[[#This Row],[depression_score]]&lt;=20, "Moderate", IF(Table1[[#This Row],[depression_score]]&lt;=30, "Severe", "Extremely Severe")))</f>
        <v>Extremely Severe</v>
      </c>
      <c r="O1072">
        <v>2.1659999999999999</v>
      </c>
      <c r="P1072">
        <v>35.333331999999999</v>
      </c>
      <c r="Q1072">
        <f>ROUND(Table1[[#This Row],[dass21_raw_score]],0)</f>
        <v>35</v>
      </c>
      <c r="R1072" s="1" t="str">
        <f>IF(Table1[[#This Row],[round_dass21_raw_score]]&lt;=10, "Normal", IF(Table1[[#This Row],[round_dass21_raw_score]]&lt;=20, "Moderate", IF(Table1[[#This Row],[round_dass21_raw_score]]&lt;=30, "Severe", "Extremely Severe")))</f>
        <v>Extremely Severe</v>
      </c>
      <c r="S1072">
        <v>2.373065</v>
      </c>
      <c r="T1072">
        <v>3.467975</v>
      </c>
      <c r="U1072">
        <v>2142.8571999999999</v>
      </c>
      <c r="V1072" s="1">
        <f>ROUND(Table1[[#This Row],[fmpce]],0)</f>
        <v>2143</v>
      </c>
      <c r="W1072">
        <v>29.152853</v>
      </c>
      <c r="X1072" s="4">
        <f>Table1[[#This Row],[mpce]]*89</f>
        <v>2594.6039169999999</v>
      </c>
      <c r="Y1072" s="2" t="s">
        <v>34</v>
      </c>
      <c r="Z1072" s="3">
        <f>VLOOKUP(Y1072, rmpce_reference!$B$1:$D$7,3,FALSE) * 89</f>
        <v>2848</v>
      </c>
      <c r="AA1072" s="1" t="str">
        <f>IF(Table1[rmpce_inr]&lt;=rmpce_reference!$F$2, "Low Income", IF(Table1[rmpce_inr]&lt;=rmpce_reference!$F$3, "Middle Income", "High Income"))</f>
        <v>Low Income</v>
      </c>
    </row>
    <row r="1073" spans="1:27" x14ac:dyDescent="0.25">
      <c r="A1073">
        <v>6009</v>
      </c>
      <c r="B1073" t="s">
        <v>44</v>
      </c>
      <c r="C1073" t="s">
        <v>21</v>
      </c>
      <c r="D1073">
        <v>45</v>
      </c>
      <c r="E1073" t="s">
        <v>25</v>
      </c>
      <c r="F1073" t="s">
        <v>26</v>
      </c>
      <c r="G1073">
        <v>36</v>
      </c>
      <c r="H1073" s="1" t="str">
        <f>IF(Table1[[#This Row],[anxiety_score]]&lt;=10, "Normal", IF(Table1[[#This Row],[anxiety_score]]&lt;=20, "Moderate", IF(Table1[[#This Row],[anxiety_score]]&lt;=30, "Severe", "Extremely Severe")))</f>
        <v>Extremely Severe</v>
      </c>
      <c r="I1073">
        <v>2.6053804999999999</v>
      </c>
      <c r="J1073">
        <v>30</v>
      </c>
      <c r="K1073" s="1" t="str">
        <f>IF(Table1[[#This Row],[stress_score]]&lt;=10, "Normal", IF(Table1[[#This Row],[stress_score]]&lt;=20, "Moderate", IF(Table1[[#This Row],[stress_score]]&lt;=30, "Severe", "Extremely Severe")))</f>
        <v>Severe</v>
      </c>
      <c r="L1073">
        <v>1.7574476000000001</v>
      </c>
      <c r="M1073">
        <v>36</v>
      </c>
      <c r="N1073" s="1" t="str">
        <f>IF(Table1[[#This Row],[depression_score]]&lt;=10, "Normal", IF(Table1[[#This Row],[depression_score]]&lt;=20, "Moderate", IF(Table1[[#This Row],[depression_score]]&lt;=30, "Severe", "Extremely Severe")))</f>
        <v>Extremely Severe</v>
      </c>
      <c r="O1073">
        <v>2.3586369999999999</v>
      </c>
      <c r="P1073">
        <v>34</v>
      </c>
      <c r="Q1073">
        <f>ROUND(Table1[[#This Row],[dass21_raw_score]],0)</f>
        <v>34</v>
      </c>
      <c r="R1073" s="1" t="str">
        <f>IF(Table1[[#This Row],[round_dass21_raw_score]]&lt;=10, "Normal", IF(Table1[[#This Row],[round_dass21_raw_score]]&lt;=20, "Moderate", IF(Table1[[#This Row],[round_dass21_raw_score]]&lt;=30, "Severe", "Extremely Severe")))</f>
        <v>Extremely Severe</v>
      </c>
      <c r="S1073">
        <v>2.2404885000000001</v>
      </c>
      <c r="T1073">
        <v>3.3353983999999999</v>
      </c>
      <c r="U1073">
        <v>2500</v>
      </c>
      <c r="V1073" s="1">
        <f>ROUND(Table1[[#This Row],[fmpce]],0)</f>
        <v>2500</v>
      </c>
      <c r="W1073">
        <v>34.011659999999999</v>
      </c>
      <c r="X1073" s="4">
        <f>Table1[[#This Row],[mpce]]*89</f>
        <v>3027.0377399999998</v>
      </c>
      <c r="Y1073" s="2" t="s">
        <v>34</v>
      </c>
      <c r="Z1073" s="3">
        <f>VLOOKUP(Y1073, rmpce_reference!$B$1:$D$7,3,FALSE) * 89</f>
        <v>2848</v>
      </c>
      <c r="AA1073" s="1" t="str">
        <f>IF(Table1[rmpce_inr]&lt;=rmpce_reference!$F$2, "Low Income", IF(Table1[rmpce_inr]&lt;=rmpce_reference!$F$3, "Middle Income", "High Income"))</f>
        <v>Low Income</v>
      </c>
    </row>
    <row r="1074" spans="1:27" x14ac:dyDescent="0.25">
      <c r="A1074">
        <v>6010</v>
      </c>
      <c r="B1074" t="s">
        <v>44</v>
      </c>
      <c r="C1074" t="s">
        <v>33</v>
      </c>
      <c r="D1074">
        <v>25</v>
      </c>
      <c r="E1074" t="s">
        <v>25</v>
      </c>
      <c r="F1074" t="s">
        <v>26</v>
      </c>
      <c r="G1074">
        <v>34</v>
      </c>
      <c r="H1074" s="1" t="str">
        <f>IF(Table1[[#This Row],[anxiety_score]]&lt;=10, "Normal", IF(Table1[[#This Row],[anxiety_score]]&lt;=20, "Moderate", IF(Table1[[#This Row],[anxiety_score]]&lt;=30, "Severe", "Extremely Severe")))</f>
        <v>Extremely Severe</v>
      </c>
      <c r="I1074">
        <v>2.4043359999999998</v>
      </c>
      <c r="J1074">
        <v>34</v>
      </c>
      <c r="K1074" s="1" t="str">
        <f>IF(Table1[[#This Row],[stress_score]]&lt;=10, "Normal", IF(Table1[[#This Row],[stress_score]]&lt;=20, "Moderate", IF(Table1[[#This Row],[stress_score]]&lt;=30, "Severe", "Extremely Severe")))</f>
        <v>Extremely Severe</v>
      </c>
      <c r="L1074">
        <v>2.1467700000000001</v>
      </c>
      <c r="M1074">
        <v>32</v>
      </c>
      <c r="N1074" s="1" t="str">
        <f>IF(Table1[[#This Row],[depression_score]]&lt;=10, "Normal", IF(Table1[[#This Row],[depression_score]]&lt;=20, "Moderate", IF(Table1[[#This Row],[depression_score]]&lt;=30, "Severe", "Extremely Severe")))</f>
        <v>Extremely Severe</v>
      </c>
      <c r="O1074">
        <v>1.9733623</v>
      </c>
      <c r="P1074">
        <v>33.333331999999999</v>
      </c>
      <c r="Q1074">
        <f>ROUND(Table1[[#This Row],[dass21_raw_score]],0)</f>
        <v>33</v>
      </c>
      <c r="R1074" s="1" t="str">
        <f>IF(Table1[[#This Row],[round_dass21_raw_score]]&lt;=10, "Normal", IF(Table1[[#This Row],[round_dass21_raw_score]]&lt;=20, "Moderate", IF(Table1[[#This Row],[round_dass21_raw_score]]&lt;=30, "Severe", "Extremely Severe")))</f>
        <v>Extremely Severe</v>
      </c>
      <c r="S1074">
        <v>2.1748227999999998</v>
      </c>
      <c r="T1074">
        <v>3.2697327</v>
      </c>
      <c r="U1074">
        <v>2500</v>
      </c>
      <c r="V1074" s="1">
        <f>ROUND(Table1[[#This Row],[fmpce]],0)</f>
        <v>2500</v>
      </c>
      <c r="W1074">
        <v>34.011659999999999</v>
      </c>
      <c r="X1074" s="4">
        <f>Table1[[#This Row],[mpce]]*89</f>
        <v>3027.0377399999998</v>
      </c>
      <c r="Y1074" s="2" t="s">
        <v>34</v>
      </c>
      <c r="Z1074" s="3">
        <f>VLOOKUP(Y1074, rmpce_reference!$B$1:$D$7,3,FALSE) * 89</f>
        <v>2848</v>
      </c>
      <c r="AA1074" s="1" t="str">
        <f>IF(Table1[rmpce_inr]&lt;=rmpce_reference!$F$2, "Low Income", IF(Table1[rmpce_inr]&lt;=rmpce_reference!$F$3, "Middle Income", "High Income"))</f>
        <v>Low Income</v>
      </c>
    </row>
    <row r="1075" spans="1:27" x14ac:dyDescent="0.25">
      <c r="A1075">
        <v>6011</v>
      </c>
      <c r="B1075" t="s">
        <v>44</v>
      </c>
      <c r="C1075" t="s">
        <v>33</v>
      </c>
      <c r="D1075">
        <v>30</v>
      </c>
      <c r="E1075" t="s">
        <v>25</v>
      </c>
      <c r="F1075" t="s">
        <v>30</v>
      </c>
      <c r="G1075">
        <v>30</v>
      </c>
      <c r="H1075" s="1" t="str">
        <f>IF(Table1[[#This Row],[anxiety_score]]&lt;=10, "Normal", IF(Table1[[#This Row],[anxiety_score]]&lt;=20, "Moderate", IF(Table1[[#This Row],[anxiety_score]]&lt;=30, "Severe", "Extremely Severe")))</f>
        <v>Severe</v>
      </c>
      <c r="I1075">
        <v>2.0022465999999999</v>
      </c>
      <c r="J1075">
        <v>30</v>
      </c>
      <c r="K1075" s="1" t="str">
        <f>IF(Table1[[#This Row],[stress_score]]&lt;=10, "Normal", IF(Table1[[#This Row],[stress_score]]&lt;=20, "Moderate", IF(Table1[[#This Row],[stress_score]]&lt;=30, "Severe", "Extremely Severe")))</f>
        <v>Severe</v>
      </c>
      <c r="L1075">
        <v>1.7574476000000001</v>
      </c>
      <c r="M1075">
        <v>30</v>
      </c>
      <c r="N1075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1075">
        <v>1.7807249999999999</v>
      </c>
      <c r="P1075">
        <v>30</v>
      </c>
      <c r="Q1075">
        <f>ROUND(Table1[[#This Row],[dass21_raw_score]],0)</f>
        <v>30</v>
      </c>
      <c r="R1075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075">
        <v>1.8468064</v>
      </c>
      <c r="T1075">
        <v>2.9417162000000001</v>
      </c>
      <c r="U1075">
        <v>5250</v>
      </c>
      <c r="V1075" s="1">
        <f>ROUND(Table1[[#This Row],[fmpce]],0)</f>
        <v>5250</v>
      </c>
      <c r="W1075">
        <v>71.424490000000006</v>
      </c>
      <c r="X1075" s="4">
        <f>Table1[[#This Row],[mpce]]*89</f>
        <v>6356.7796100000005</v>
      </c>
      <c r="Y1075" s="2" t="s">
        <v>28</v>
      </c>
      <c r="Z1075" s="3">
        <f>VLOOKUP(Y1075, rmpce_reference!$B$1:$D$7,3,FALSE) * 89</f>
        <v>6230</v>
      </c>
      <c r="AA1075" s="1" t="str">
        <f>IF(Table1[rmpce_inr]&lt;=rmpce_reference!$F$2, "Low Income", IF(Table1[rmpce_inr]&lt;=rmpce_reference!$F$3, "Middle Income", "High Income"))</f>
        <v>Middle Income</v>
      </c>
    </row>
    <row r="1076" spans="1:27" x14ac:dyDescent="0.25">
      <c r="A1076">
        <v>6012</v>
      </c>
      <c r="B1076" t="s">
        <v>44</v>
      </c>
      <c r="C1076" t="s">
        <v>33</v>
      </c>
      <c r="D1076">
        <v>25</v>
      </c>
      <c r="E1076" t="s">
        <v>25</v>
      </c>
      <c r="F1076" t="s">
        <v>30</v>
      </c>
      <c r="G1076">
        <v>34</v>
      </c>
      <c r="H1076" s="1" t="str">
        <f>IF(Table1[[#This Row],[anxiety_score]]&lt;=10, "Normal", IF(Table1[[#This Row],[anxiety_score]]&lt;=20, "Moderate", IF(Table1[[#This Row],[anxiety_score]]&lt;=30, "Severe", "Extremely Severe")))</f>
        <v>Extremely Severe</v>
      </c>
      <c r="I1076">
        <v>2.4043359999999998</v>
      </c>
      <c r="J1076">
        <v>34</v>
      </c>
      <c r="K1076" s="1" t="str">
        <f>IF(Table1[[#This Row],[stress_score]]&lt;=10, "Normal", IF(Table1[[#This Row],[stress_score]]&lt;=20, "Moderate", IF(Table1[[#This Row],[stress_score]]&lt;=30, "Severe", "Extremely Severe")))</f>
        <v>Extremely Severe</v>
      </c>
      <c r="L1076">
        <v>2.1467700000000001</v>
      </c>
      <c r="M1076">
        <v>36</v>
      </c>
      <c r="N1076" s="1" t="str">
        <f>IF(Table1[[#This Row],[depression_score]]&lt;=10, "Normal", IF(Table1[[#This Row],[depression_score]]&lt;=20, "Moderate", IF(Table1[[#This Row],[depression_score]]&lt;=30, "Severe", "Extremely Severe")))</f>
        <v>Extremely Severe</v>
      </c>
      <c r="O1076">
        <v>2.3586369999999999</v>
      </c>
      <c r="P1076">
        <v>34.666668000000001</v>
      </c>
      <c r="Q1076">
        <f>ROUND(Table1[[#This Row],[dass21_raw_score]],0)</f>
        <v>35</v>
      </c>
      <c r="R1076" s="1" t="str">
        <f>IF(Table1[[#This Row],[round_dass21_raw_score]]&lt;=10, "Normal", IF(Table1[[#This Row],[round_dass21_raw_score]]&lt;=20, "Moderate", IF(Table1[[#This Row],[round_dass21_raw_score]]&lt;=30, "Severe", "Extremely Severe")))</f>
        <v>Extremely Severe</v>
      </c>
      <c r="S1076">
        <v>2.3032477</v>
      </c>
      <c r="T1076">
        <v>3.3981575999999998</v>
      </c>
      <c r="U1076">
        <v>5000</v>
      </c>
      <c r="V1076" s="1">
        <f>ROUND(Table1[[#This Row],[fmpce]],0)</f>
        <v>5000</v>
      </c>
      <c r="W1076">
        <v>68.023319999999998</v>
      </c>
      <c r="X1076" s="4">
        <f>Table1[[#This Row],[mpce]]*89</f>
        <v>6054.0754799999995</v>
      </c>
      <c r="Y1076" s="2" t="s">
        <v>28</v>
      </c>
      <c r="Z1076" s="3">
        <f>VLOOKUP(Y1076, rmpce_reference!$B$1:$D$7,3,FALSE) * 89</f>
        <v>6230</v>
      </c>
      <c r="AA1076" s="1" t="str">
        <f>IF(Table1[rmpce_inr]&lt;=rmpce_reference!$F$2, "Low Income", IF(Table1[rmpce_inr]&lt;=rmpce_reference!$F$3, "Middle Income", "High Income"))</f>
        <v>Middle Income</v>
      </c>
    </row>
    <row r="1077" spans="1:27" x14ac:dyDescent="0.25">
      <c r="A1077">
        <v>6013</v>
      </c>
      <c r="B1077" t="s">
        <v>44</v>
      </c>
      <c r="C1077" t="s">
        <v>33</v>
      </c>
      <c r="D1077">
        <v>25</v>
      </c>
      <c r="E1077" t="s">
        <v>25</v>
      </c>
      <c r="F1077" t="s">
        <v>30</v>
      </c>
      <c r="G1077">
        <v>34</v>
      </c>
      <c r="H1077" s="1" t="str">
        <f>IF(Table1[[#This Row],[anxiety_score]]&lt;=10, "Normal", IF(Table1[[#This Row],[anxiety_score]]&lt;=20, "Moderate", IF(Table1[[#This Row],[anxiety_score]]&lt;=30, "Severe", "Extremely Severe")))</f>
        <v>Extremely Severe</v>
      </c>
      <c r="I1077">
        <v>2.4043359999999998</v>
      </c>
      <c r="J1077">
        <v>34</v>
      </c>
      <c r="K1077" s="1" t="str">
        <f>IF(Table1[[#This Row],[stress_score]]&lt;=10, "Normal", IF(Table1[[#This Row],[stress_score]]&lt;=20, "Moderate", IF(Table1[[#This Row],[stress_score]]&lt;=30, "Severe", "Extremely Severe")))</f>
        <v>Extremely Severe</v>
      </c>
      <c r="L1077">
        <v>2.1467700000000001</v>
      </c>
      <c r="M1077">
        <v>34</v>
      </c>
      <c r="N1077" s="1" t="str">
        <f>IF(Table1[[#This Row],[depression_score]]&lt;=10, "Normal", IF(Table1[[#This Row],[depression_score]]&lt;=20, "Moderate", IF(Table1[[#This Row],[depression_score]]&lt;=30, "Severe", "Extremely Severe")))</f>
        <v>Extremely Severe</v>
      </c>
      <c r="O1077">
        <v>2.1659999999999999</v>
      </c>
      <c r="P1077">
        <v>34</v>
      </c>
      <c r="Q1077">
        <f>ROUND(Table1[[#This Row],[dass21_raw_score]],0)</f>
        <v>34</v>
      </c>
      <c r="R1077" s="1" t="str">
        <f>IF(Table1[[#This Row],[round_dass21_raw_score]]&lt;=10, "Normal", IF(Table1[[#This Row],[round_dass21_raw_score]]&lt;=20, "Moderate", IF(Table1[[#This Row],[round_dass21_raw_score]]&lt;=30, "Severe", "Extremely Severe")))</f>
        <v>Extremely Severe</v>
      </c>
      <c r="S1077">
        <v>2.2390354000000001</v>
      </c>
      <c r="T1077">
        <v>3.3339452999999999</v>
      </c>
      <c r="U1077">
        <v>3333.3332999999998</v>
      </c>
      <c r="V1077" s="1">
        <f>ROUND(Table1[[#This Row],[fmpce]],0)</f>
        <v>3333</v>
      </c>
      <c r="W1077">
        <v>45.348880000000001</v>
      </c>
      <c r="X1077" s="4">
        <f>Table1[[#This Row],[mpce]]*89</f>
        <v>4036.0503200000003</v>
      </c>
      <c r="Y1077" s="2" t="s">
        <v>32</v>
      </c>
      <c r="Z1077" s="3">
        <f>VLOOKUP(Y1077, rmpce_reference!$B$1:$D$7,3,FALSE) * 89</f>
        <v>4450</v>
      </c>
      <c r="AA1077" s="1" t="str">
        <f>IF(Table1[rmpce_inr]&lt;=rmpce_reference!$F$2, "Low Income", IF(Table1[rmpce_inr]&lt;=rmpce_reference!$F$3, "Middle Income", "High Income"))</f>
        <v>Low Income</v>
      </c>
    </row>
    <row r="1078" spans="1:27" x14ac:dyDescent="0.25">
      <c r="A1078">
        <v>6014</v>
      </c>
      <c r="B1078" t="s">
        <v>44</v>
      </c>
      <c r="C1078" t="s">
        <v>29</v>
      </c>
      <c r="D1078">
        <v>35</v>
      </c>
      <c r="E1078" t="s">
        <v>25</v>
      </c>
      <c r="F1078" t="s">
        <v>26</v>
      </c>
      <c r="G1078">
        <v>18</v>
      </c>
      <c r="H1078" s="1" t="str">
        <f>IF(Table1[[#This Row],[anxiety_score]]&lt;=10, "Normal", IF(Table1[[#This Row],[anxiety_score]]&lt;=20, "Moderate", IF(Table1[[#This Row],[anxiety_score]]&lt;=30, "Severe", "Extremely Severe")))</f>
        <v>Moderate</v>
      </c>
      <c r="I1078">
        <v>0.79597896000000001</v>
      </c>
      <c r="J1078">
        <v>18</v>
      </c>
      <c r="K1078" s="1" t="str">
        <f>IF(Table1[[#This Row],[stress_score]]&lt;=10, "Normal", IF(Table1[[#This Row],[stress_score]]&lt;=20, "Moderate", IF(Table1[[#This Row],[stress_score]]&lt;=30, "Severe", "Extremely Severe")))</f>
        <v>Moderate</v>
      </c>
      <c r="L1078">
        <v>0.58948003999999998</v>
      </c>
      <c r="M1078">
        <v>18</v>
      </c>
      <c r="N1078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1078">
        <v>0.62490060000000003</v>
      </c>
      <c r="P1078">
        <v>18</v>
      </c>
      <c r="Q1078">
        <f>ROUND(Table1[[#This Row],[dass21_raw_score]],0)</f>
        <v>18</v>
      </c>
      <c r="R1078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1078">
        <v>0.67011989999999999</v>
      </c>
      <c r="T1078">
        <v>1.7650298</v>
      </c>
      <c r="U1078">
        <v>2000</v>
      </c>
      <c r="V1078" s="1">
        <f>ROUND(Table1[[#This Row],[fmpce]],0)</f>
        <v>2000</v>
      </c>
      <c r="W1078">
        <v>27.209330000000001</v>
      </c>
      <c r="X1078" s="4">
        <f>Table1[[#This Row],[mpce]]*89</f>
        <v>2421.6303700000003</v>
      </c>
      <c r="Y1078" s="2" t="s">
        <v>34</v>
      </c>
      <c r="Z1078" s="3">
        <f>VLOOKUP(Y1078, rmpce_reference!$B$1:$D$7,3,FALSE) * 89</f>
        <v>2848</v>
      </c>
      <c r="AA1078" s="1" t="str">
        <f>IF(Table1[rmpce_inr]&lt;=rmpce_reference!$F$2, "Low Income", IF(Table1[rmpce_inr]&lt;=rmpce_reference!$F$3, "Middle Income", "High Income"))</f>
        <v>Low Income</v>
      </c>
    </row>
    <row r="1079" spans="1:27" x14ac:dyDescent="0.25">
      <c r="A1079">
        <v>6015</v>
      </c>
      <c r="B1079" t="s">
        <v>44</v>
      </c>
      <c r="C1079" t="s">
        <v>29</v>
      </c>
      <c r="D1079">
        <v>32</v>
      </c>
      <c r="E1079" t="s">
        <v>25</v>
      </c>
      <c r="F1079" t="s">
        <v>27</v>
      </c>
      <c r="G1079">
        <v>12</v>
      </c>
      <c r="H1079" s="1" t="str">
        <f>IF(Table1[[#This Row],[anxiety_score]]&lt;=10, "Normal", IF(Table1[[#This Row],[anxiety_score]]&lt;=20, "Moderate", IF(Table1[[#This Row],[anxiety_score]]&lt;=30, "Severe", "Extremely Severe")))</f>
        <v>Moderate</v>
      </c>
      <c r="I1079">
        <v>0.19284514999999999</v>
      </c>
      <c r="J1079">
        <v>10</v>
      </c>
      <c r="K1079" s="1" t="str">
        <f>IF(Table1[[#This Row],[stress_score]]&lt;=10, "Normal", IF(Table1[[#This Row],[stress_score]]&lt;=20, "Moderate", IF(Table1[[#This Row],[stress_score]]&lt;=30, "Severe", "Extremely Severe")))</f>
        <v>Normal</v>
      </c>
      <c r="L1079">
        <v>-0.18916494</v>
      </c>
      <c r="M1079">
        <v>14</v>
      </c>
      <c r="N1079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1079">
        <v>0.23962580999999999</v>
      </c>
      <c r="P1079">
        <v>12</v>
      </c>
      <c r="Q1079">
        <f>ROUND(Table1[[#This Row],[dass21_raw_score]],0)</f>
        <v>12</v>
      </c>
      <c r="R1079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1079">
        <v>8.1102006000000004E-2</v>
      </c>
      <c r="T1079">
        <v>1.1760119</v>
      </c>
      <c r="U1079">
        <v>2500</v>
      </c>
      <c r="V1079" s="1">
        <f>ROUND(Table1[[#This Row],[fmpce]],0)</f>
        <v>2500</v>
      </c>
      <c r="W1079">
        <v>34.011659999999999</v>
      </c>
      <c r="X1079" s="4">
        <f>Table1[[#This Row],[mpce]]*89</f>
        <v>3027.0377399999998</v>
      </c>
      <c r="Y1079" s="2" t="s">
        <v>34</v>
      </c>
      <c r="Z1079" s="3">
        <f>VLOOKUP(Y1079, rmpce_reference!$B$1:$D$7,3,FALSE) * 89</f>
        <v>2848</v>
      </c>
      <c r="AA1079" s="1" t="str">
        <f>IF(Table1[rmpce_inr]&lt;=rmpce_reference!$F$2, "Low Income", IF(Table1[rmpce_inr]&lt;=rmpce_reference!$F$3, "Middle Income", "High Income"))</f>
        <v>Low Income</v>
      </c>
    </row>
    <row r="1080" spans="1:27" x14ac:dyDescent="0.25">
      <c r="A1080">
        <v>6016</v>
      </c>
      <c r="B1080" t="s">
        <v>44</v>
      </c>
      <c r="C1080" t="s">
        <v>29</v>
      </c>
      <c r="D1080">
        <v>36</v>
      </c>
      <c r="E1080" t="s">
        <v>25</v>
      </c>
      <c r="F1080" t="s">
        <v>26</v>
      </c>
      <c r="G1080">
        <v>20</v>
      </c>
      <c r="H1080" s="1" t="str">
        <f>IF(Table1[[#This Row],[anxiety_score]]&lt;=10, "Normal", IF(Table1[[#This Row],[anxiety_score]]&lt;=20, "Moderate", IF(Table1[[#This Row],[anxiety_score]]&lt;=30, "Severe", "Extremely Severe")))</f>
        <v>Moderate</v>
      </c>
      <c r="I1080">
        <v>0.99702360000000001</v>
      </c>
      <c r="J1080">
        <v>20</v>
      </c>
      <c r="K1080" s="1" t="str">
        <f>IF(Table1[[#This Row],[stress_score]]&lt;=10, "Normal", IF(Table1[[#This Row],[stress_score]]&lt;=20, "Moderate", IF(Table1[[#This Row],[stress_score]]&lt;=30, "Severe", "Extremely Severe")))</f>
        <v>Moderate</v>
      </c>
      <c r="L1080">
        <v>0.78414130000000004</v>
      </c>
      <c r="M1080">
        <v>22</v>
      </c>
      <c r="N1080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1080">
        <v>1.0101753</v>
      </c>
      <c r="P1080">
        <v>20.666665999999999</v>
      </c>
      <c r="Q1080">
        <f>ROUND(Table1[[#This Row],[dass21_raw_score]],0)</f>
        <v>21</v>
      </c>
      <c r="R1080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080">
        <v>0.93044674000000005</v>
      </c>
      <c r="T1080">
        <v>2.0253568</v>
      </c>
      <c r="U1080">
        <v>2571.4285</v>
      </c>
      <c r="V1080" s="1">
        <f>ROUND(Table1[[#This Row],[fmpce]],0)</f>
        <v>2571</v>
      </c>
      <c r="W1080">
        <v>34.983420000000002</v>
      </c>
      <c r="X1080" s="4">
        <f>Table1[[#This Row],[mpce]]*89</f>
        <v>3113.5243800000003</v>
      </c>
      <c r="Y1080" s="2" t="s">
        <v>34</v>
      </c>
      <c r="Z1080" s="3">
        <f>VLOOKUP(Y1080, rmpce_reference!$B$1:$D$7,3,FALSE) * 89</f>
        <v>2848</v>
      </c>
      <c r="AA1080" s="1" t="str">
        <f>IF(Table1[rmpce_inr]&lt;=rmpce_reference!$F$2, "Low Income", IF(Table1[rmpce_inr]&lt;=rmpce_reference!$F$3, "Middle Income", "High Income"))</f>
        <v>Low Income</v>
      </c>
    </row>
    <row r="1081" spans="1:27" x14ac:dyDescent="0.25">
      <c r="A1081">
        <v>6017</v>
      </c>
      <c r="B1081" t="s">
        <v>44</v>
      </c>
      <c r="C1081" t="s">
        <v>21</v>
      </c>
      <c r="D1081">
        <v>45</v>
      </c>
      <c r="E1081" t="s">
        <v>25</v>
      </c>
      <c r="F1081" t="s">
        <v>26</v>
      </c>
      <c r="G1081">
        <v>16</v>
      </c>
      <c r="H1081" s="1" t="str">
        <f>IF(Table1[[#This Row],[anxiety_score]]&lt;=10, "Normal", IF(Table1[[#This Row],[anxiety_score]]&lt;=20, "Moderate", IF(Table1[[#This Row],[anxiety_score]]&lt;=30, "Severe", "Extremely Severe")))</f>
        <v>Moderate</v>
      </c>
      <c r="I1081">
        <v>0.59493434000000001</v>
      </c>
      <c r="J1081">
        <v>20</v>
      </c>
      <c r="K1081" s="1" t="str">
        <f>IF(Table1[[#This Row],[stress_score]]&lt;=10, "Normal", IF(Table1[[#This Row],[stress_score]]&lt;=20, "Moderate", IF(Table1[[#This Row],[stress_score]]&lt;=30, "Severe", "Extremely Severe")))</f>
        <v>Moderate</v>
      </c>
      <c r="L1081">
        <v>0.78414130000000004</v>
      </c>
      <c r="M1081">
        <v>22</v>
      </c>
      <c r="N1081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1081">
        <v>1.0101753</v>
      </c>
      <c r="P1081">
        <v>19.333334000000001</v>
      </c>
      <c r="Q1081">
        <f>ROUND(Table1[[#This Row],[dass21_raw_score]],0)</f>
        <v>19</v>
      </c>
      <c r="R1081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1081">
        <v>0.79641700000000004</v>
      </c>
      <c r="T1081">
        <v>1.8913268999999999</v>
      </c>
      <c r="U1081">
        <v>3714.2856000000002</v>
      </c>
      <c r="V1081" s="1">
        <f>ROUND(Table1[[#This Row],[fmpce]],0)</f>
        <v>3714</v>
      </c>
      <c r="W1081">
        <v>50.531612000000003</v>
      </c>
      <c r="X1081" s="4">
        <f>Table1[[#This Row],[mpce]]*89</f>
        <v>4497.3134680000003</v>
      </c>
      <c r="Y1081" s="2" t="s">
        <v>32</v>
      </c>
      <c r="Z1081" s="3">
        <f>VLOOKUP(Y1081, rmpce_reference!$B$1:$D$7,3,FALSE) * 89</f>
        <v>4450</v>
      </c>
      <c r="AA1081" s="1" t="str">
        <f>IF(Table1[rmpce_inr]&lt;=rmpce_reference!$F$2, "Low Income", IF(Table1[rmpce_inr]&lt;=rmpce_reference!$F$3, "Middle Income", "High Income"))</f>
        <v>Low Income</v>
      </c>
    </row>
    <row r="1082" spans="1:27" x14ac:dyDescent="0.25">
      <c r="A1082">
        <v>6018</v>
      </c>
      <c r="B1082" t="s">
        <v>44</v>
      </c>
      <c r="C1082" t="s">
        <v>33</v>
      </c>
      <c r="D1082">
        <v>26</v>
      </c>
      <c r="E1082" t="s">
        <v>25</v>
      </c>
      <c r="F1082" t="s">
        <v>27</v>
      </c>
      <c r="G1082">
        <v>8</v>
      </c>
      <c r="H1082" s="1" t="str">
        <f>IF(Table1[[#This Row],[anxiety_score]]&lt;=10, "Normal", IF(Table1[[#This Row],[anxiety_score]]&lt;=20, "Moderate", IF(Table1[[#This Row],[anxiety_score]]&lt;=30, "Severe", "Extremely Severe")))</f>
        <v>Normal</v>
      </c>
      <c r="I1082">
        <v>-0.20924408999999999</v>
      </c>
      <c r="J1082">
        <v>4</v>
      </c>
      <c r="K1082" s="1" t="str">
        <f>IF(Table1[[#This Row],[stress_score]]&lt;=10, "Normal", IF(Table1[[#This Row],[stress_score]]&lt;=20, "Moderate", IF(Table1[[#This Row],[stress_score]]&lt;=30, "Severe", "Extremely Severe")))</f>
        <v>Normal</v>
      </c>
      <c r="L1082">
        <v>-0.77314866000000004</v>
      </c>
      <c r="M1082">
        <v>16</v>
      </c>
      <c r="N1082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1082">
        <v>0.43226320000000001</v>
      </c>
      <c r="P1082">
        <v>9.3333329999999997</v>
      </c>
      <c r="Q1082">
        <f>ROUND(Table1[[#This Row],[dass21_raw_score]],0)</f>
        <v>9</v>
      </c>
      <c r="R1082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082">
        <v>-0.18337651999999999</v>
      </c>
      <c r="T1082">
        <v>0.91153335999999996</v>
      </c>
      <c r="U1082">
        <v>3000</v>
      </c>
      <c r="V1082" s="1">
        <f>ROUND(Table1[[#This Row],[fmpce]],0)</f>
        <v>3000</v>
      </c>
      <c r="W1082">
        <v>40.813994999999998</v>
      </c>
      <c r="X1082" s="4">
        <f>Table1[[#This Row],[mpce]]*89</f>
        <v>3632.4455549999998</v>
      </c>
      <c r="Y1082" s="2" t="s">
        <v>32</v>
      </c>
      <c r="Z1082" s="3">
        <f>VLOOKUP(Y1082, rmpce_reference!$B$1:$D$7,3,FALSE) * 89</f>
        <v>4450</v>
      </c>
      <c r="AA1082" s="1" t="str">
        <f>IF(Table1[rmpce_inr]&lt;=rmpce_reference!$F$2, "Low Income", IF(Table1[rmpce_inr]&lt;=rmpce_reference!$F$3, "Middle Income", "High Income"))</f>
        <v>Low Income</v>
      </c>
    </row>
    <row r="1083" spans="1:27" x14ac:dyDescent="0.25">
      <c r="A1083">
        <v>6019</v>
      </c>
      <c r="B1083" t="s">
        <v>44</v>
      </c>
      <c r="C1083" t="s">
        <v>33</v>
      </c>
      <c r="D1083">
        <v>27</v>
      </c>
      <c r="E1083" t="s">
        <v>25</v>
      </c>
      <c r="F1083" t="s">
        <v>26</v>
      </c>
      <c r="G1083">
        <v>18</v>
      </c>
      <c r="H1083" s="1" t="str">
        <f>IF(Table1[[#This Row],[anxiety_score]]&lt;=10, "Normal", IF(Table1[[#This Row],[anxiety_score]]&lt;=20, "Moderate", IF(Table1[[#This Row],[anxiety_score]]&lt;=30, "Severe", "Extremely Severe")))</f>
        <v>Moderate</v>
      </c>
      <c r="I1083">
        <v>0.79597896000000001</v>
      </c>
      <c r="J1083">
        <v>22</v>
      </c>
      <c r="K1083" s="1" t="str">
        <f>IF(Table1[[#This Row],[stress_score]]&lt;=10, "Normal", IF(Table1[[#This Row],[stress_score]]&lt;=20, "Moderate", IF(Table1[[#This Row],[stress_score]]&lt;=30, "Severe", "Extremely Severe")))</f>
        <v>Severe</v>
      </c>
      <c r="L1083">
        <v>0.97880255999999999</v>
      </c>
      <c r="M1083">
        <v>24</v>
      </c>
      <c r="N1083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1083">
        <v>1.2028128</v>
      </c>
      <c r="P1083">
        <v>21.333334000000001</v>
      </c>
      <c r="Q1083">
        <f>ROUND(Table1[[#This Row],[dass21_raw_score]],0)</f>
        <v>21</v>
      </c>
      <c r="R1083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083">
        <v>0.99253139999999995</v>
      </c>
      <c r="T1083">
        <v>2.0874413999999999</v>
      </c>
      <c r="U1083">
        <v>6000</v>
      </c>
      <c r="V1083" s="1">
        <f>ROUND(Table1[[#This Row],[fmpce]],0)</f>
        <v>6000</v>
      </c>
      <c r="W1083">
        <v>81.627989999999997</v>
      </c>
      <c r="X1083" s="4">
        <f>Table1[[#This Row],[mpce]]*89</f>
        <v>7264.8911099999996</v>
      </c>
      <c r="Y1083" s="2" t="s">
        <v>31</v>
      </c>
      <c r="Z1083" s="3">
        <f>VLOOKUP(Y1083, rmpce_reference!$B$1:$D$7,3,FALSE) * 89</f>
        <v>8010</v>
      </c>
      <c r="AA1083" s="1" t="str">
        <f>IF(Table1[rmpce_inr]&lt;=rmpce_reference!$F$2, "Low Income", IF(Table1[rmpce_inr]&lt;=rmpce_reference!$F$3, "Middle Income", "High Income"))</f>
        <v>High Income</v>
      </c>
    </row>
    <row r="1084" spans="1:27" x14ac:dyDescent="0.25">
      <c r="A1084">
        <v>6020</v>
      </c>
      <c r="B1084" t="s">
        <v>44</v>
      </c>
      <c r="C1084" t="s">
        <v>29</v>
      </c>
      <c r="D1084">
        <v>35</v>
      </c>
      <c r="E1084" t="s">
        <v>25</v>
      </c>
      <c r="F1084" t="s">
        <v>26</v>
      </c>
      <c r="G1084">
        <v>8</v>
      </c>
      <c r="H1084" s="1" t="str">
        <f>IF(Table1[[#This Row],[anxiety_score]]&lt;=10, "Normal", IF(Table1[[#This Row],[anxiety_score]]&lt;=20, "Moderate", IF(Table1[[#This Row],[anxiety_score]]&lt;=30, "Severe", "Extremely Severe")))</f>
        <v>Normal</v>
      </c>
      <c r="I1084">
        <v>-0.20924408999999999</v>
      </c>
      <c r="J1084">
        <v>8</v>
      </c>
      <c r="K1084" s="1" t="str">
        <f>IF(Table1[[#This Row],[stress_score]]&lt;=10, "Normal", IF(Table1[[#This Row],[stress_score]]&lt;=20, "Moderate", IF(Table1[[#This Row],[stress_score]]&lt;=30, "Severe", "Extremely Severe")))</f>
        <v>Normal</v>
      </c>
      <c r="L1084">
        <v>-0.38382620000000001</v>
      </c>
      <c r="M1084">
        <v>10</v>
      </c>
      <c r="N1084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084">
        <v>-0.14564899000000001</v>
      </c>
      <c r="P1084">
        <v>8.6666670000000003</v>
      </c>
      <c r="Q1084">
        <f>ROUND(Table1[[#This Row],[dass21_raw_score]],0)</f>
        <v>9</v>
      </c>
      <c r="R1084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084">
        <v>-0.24623975000000001</v>
      </c>
      <c r="T1084">
        <v>0.84867009999999998</v>
      </c>
      <c r="U1084">
        <v>2000</v>
      </c>
      <c r="V1084" s="1">
        <f>ROUND(Table1[[#This Row],[fmpce]],0)</f>
        <v>2000</v>
      </c>
      <c r="W1084">
        <v>27.209330000000001</v>
      </c>
      <c r="X1084" s="4">
        <f>Table1[[#This Row],[mpce]]*89</f>
        <v>2421.6303700000003</v>
      </c>
      <c r="Y1084" s="2" t="s">
        <v>34</v>
      </c>
      <c r="Z1084" s="3">
        <f>VLOOKUP(Y1084, rmpce_reference!$B$1:$D$7,3,FALSE) * 89</f>
        <v>2848</v>
      </c>
      <c r="AA1084" s="1" t="str">
        <f>IF(Table1[rmpce_inr]&lt;=rmpce_reference!$F$2, "Low Income", IF(Table1[rmpce_inr]&lt;=rmpce_reference!$F$3, "Middle Income", "High Income"))</f>
        <v>Low Income</v>
      </c>
    </row>
    <row r="1085" spans="1:27" x14ac:dyDescent="0.25">
      <c r="A1085">
        <v>6021</v>
      </c>
      <c r="B1085" t="s">
        <v>44</v>
      </c>
      <c r="C1085" t="s">
        <v>33</v>
      </c>
      <c r="D1085">
        <v>30</v>
      </c>
      <c r="E1085" t="s">
        <v>25</v>
      </c>
      <c r="F1085" t="s">
        <v>26</v>
      </c>
      <c r="G1085">
        <v>10</v>
      </c>
      <c r="H1085" s="1" t="str">
        <f>IF(Table1[[#This Row],[anxiety_score]]&lt;=10, "Normal", IF(Table1[[#This Row],[anxiety_score]]&lt;=20, "Moderate", IF(Table1[[#This Row],[anxiety_score]]&lt;=30, "Severe", "Extremely Severe")))</f>
        <v>Normal</v>
      </c>
      <c r="I1085">
        <v>-8.1994660000000007E-3</v>
      </c>
      <c r="J1085">
        <v>6</v>
      </c>
      <c r="K1085" s="1" t="str">
        <f>IF(Table1[[#This Row],[stress_score]]&lt;=10, "Normal", IF(Table1[[#This Row],[stress_score]]&lt;=20, "Moderate", IF(Table1[[#This Row],[stress_score]]&lt;=30, "Severe", "Extremely Severe")))</f>
        <v>Normal</v>
      </c>
      <c r="L1085">
        <v>-0.57848745999999995</v>
      </c>
      <c r="M1085">
        <v>12</v>
      </c>
      <c r="N1085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1085">
        <v>4.6988415999999998E-2</v>
      </c>
      <c r="P1085">
        <v>9.3333329999999997</v>
      </c>
      <c r="Q1085">
        <f>ROUND(Table1[[#This Row],[dass21_raw_score]],0)</f>
        <v>9</v>
      </c>
      <c r="R1085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085">
        <v>-0.17989949999999999</v>
      </c>
      <c r="T1085">
        <v>0.9150104</v>
      </c>
      <c r="U1085">
        <v>6000</v>
      </c>
      <c r="V1085" s="1">
        <f>ROUND(Table1[[#This Row],[fmpce]],0)</f>
        <v>6000</v>
      </c>
      <c r="W1085">
        <v>81.627989999999997</v>
      </c>
      <c r="X1085" s="4">
        <f>Table1[[#This Row],[mpce]]*89</f>
        <v>7264.8911099999996</v>
      </c>
      <c r="Y1085" s="2" t="s">
        <v>31</v>
      </c>
      <c r="Z1085" s="3">
        <f>VLOOKUP(Y1085, rmpce_reference!$B$1:$D$7,3,FALSE) * 89</f>
        <v>8010</v>
      </c>
      <c r="AA1085" s="1" t="str">
        <f>IF(Table1[rmpce_inr]&lt;=rmpce_reference!$F$2, "Low Income", IF(Table1[rmpce_inr]&lt;=rmpce_reference!$F$3, "Middle Income", "High Income"))</f>
        <v>High Income</v>
      </c>
    </row>
    <row r="1086" spans="1:27" x14ac:dyDescent="0.25">
      <c r="A1086">
        <v>6022</v>
      </c>
      <c r="B1086" t="s">
        <v>44</v>
      </c>
      <c r="C1086" t="s">
        <v>21</v>
      </c>
      <c r="D1086">
        <v>45</v>
      </c>
      <c r="E1086" t="s">
        <v>25</v>
      </c>
      <c r="F1086" t="s">
        <v>26</v>
      </c>
      <c r="G1086">
        <v>16</v>
      </c>
      <c r="H1086" s="1" t="str">
        <f>IF(Table1[[#This Row],[anxiety_score]]&lt;=10, "Normal", IF(Table1[[#This Row],[anxiety_score]]&lt;=20, "Moderate", IF(Table1[[#This Row],[anxiety_score]]&lt;=30, "Severe", "Extremely Severe")))</f>
        <v>Moderate</v>
      </c>
      <c r="I1086">
        <v>0.59493434000000001</v>
      </c>
      <c r="J1086">
        <v>10</v>
      </c>
      <c r="K1086" s="1" t="str">
        <f>IF(Table1[[#This Row],[stress_score]]&lt;=10, "Normal", IF(Table1[[#This Row],[stress_score]]&lt;=20, "Moderate", IF(Table1[[#This Row],[stress_score]]&lt;=30, "Severe", "Extremely Severe")))</f>
        <v>Normal</v>
      </c>
      <c r="L1086">
        <v>-0.18916494</v>
      </c>
      <c r="M1086">
        <v>16</v>
      </c>
      <c r="N1086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1086">
        <v>0.43226320000000001</v>
      </c>
      <c r="P1086">
        <v>14</v>
      </c>
      <c r="Q1086">
        <f>ROUND(Table1[[#This Row],[dass21_raw_score]],0)</f>
        <v>14</v>
      </c>
      <c r="R1086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1086">
        <v>0.27934419999999999</v>
      </c>
      <c r="T1086">
        <v>1.3742540999999999</v>
      </c>
      <c r="U1086">
        <v>6000</v>
      </c>
      <c r="V1086" s="1">
        <f>ROUND(Table1[[#This Row],[fmpce]],0)</f>
        <v>6000</v>
      </c>
      <c r="W1086">
        <v>81.627989999999997</v>
      </c>
      <c r="X1086" s="4">
        <f>Table1[[#This Row],[mpce]]*89</f>
        <v>7264.8911099999996</v>
      </c>
      <c r="Y1086" s="2" t="s">
        <v>31</v>
      </c>
      <c r="Z1086" s="3">
        <f>VLOOKUP(Y1086, rmpce_reference!$B$1:$D$7,3,FALSE) * 89</f>
        <v>8010</v>
      </c>
      <c r="AA1086" s="1" t="str">
        <f>IF(Table1[rmpce_inr]&lt;=rmpce_reference!$F$2, "Low Income", IF(Table1[rmpce_inr]&lt;=rmpce_reference!$F$3, "Middle Income", "High Income"))</f>
        <v>High Income</v>
      </c>
    </row>
    <row r="1087" spans="1:27" x14ac:dyDescent="0.25">
      <c r="A1087">
        <v>6023</v>
      </c>
      <c r="B1087" t="s">
        <v>44</v>
      </c>
      <c r="C1087" t="s">
        <v>33</v>
      </c>
      <c r="D1087">
        <v>27</v>
      </c>
      <c r="E1087" t="s">
        <v>25</v>
      </c>
      <c r="F1087" t="s">
        <v>30</v>
      </c>
      <c r="G1087">
        <v>12</v>
      </c>
      <c r="H1087" s="1" t="str">
        <f>IF(Table1[[#This Row],[anxiety_score]]&lt;=10, "Normal", IF(Table1[[#This Row],[anxiety_score]]&lt;=20, "Moderate", IF(Table1[[#This Row],[anxiety_score]]&lt;=30, "Severe", "Extremely Severe")))</f>
        <v>Moderate</v>
      </c>
      <c r="I1087">
        <v>0.19284514999999999</v>
      </c>
      <c r="J1087">
        <v>10</v>
      </c>
      <c r="K1087" s="1" t="str">
        <f>IF(Table1[[#This Row],[stress_score]]&lt;=10, "Normal", IF(Table1[[#This Row],[stress_score]]&lt;=20, "Moderate", IF(Table1[[#This Row],[stress_score]]&lt;=30, "Severe", "Extremely Severe")))</f>
        <v>Normal</v>
      </c>
      <c r="L1087">
        <v>-0.18916494</v>
      </c>
      <c r="M1087">
        <v>16</v>
      </c>
      <c r="N1087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1087">
        <v>0.43226320000000001</v>
      </c>
      <c r="P1087">
        <v>12.666667</v>
      </c>
      <c r="Q1087">
        <f>ROUND(Table1[[#This Row],[dass21_raw_score]],0)</f>
        <v>13</v>
      </c>
      <c r="R1087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1087">
        <v>0.14531447</v>
      </c>
      <c r="T1087">
        <v>1.2402244</v>
      </c>
      <c r="U1087">
        <v>3000</v>
      </c>
      <c r="V1087" s="1">
        <f>ROUND(Table1[[#This Row],[fmpce]],0)</f>
        <v>3000</v>
      </c>
      <c r="W1087">
        <v>40.813994999999998</v>
      </c>
      <c r="X1087" s="4">
        <f>Table1[[#This Row],[mpce]]*89</f>
        <v>3632.4455549999998</v>
      </c>
      <c r="Y1087" s="2" t="s">
        <v>32</v>
      </c>
      <c r="Z1087" s="3">
        <f>VLOOKUP(Y1087, rmpce_reference!$B$1:$D$7,3,FALSE) * 89</f>
        <v>4450</v>
      </c>
      <c r="AA1087" s="1" t="str">
        <f>IF(Table1[rmpce_inr]&lt;=rmpce_reference!$F$2, "Low Income", IF(Table1[rmpce_inr]&lt;=rmpce_reference!$F$3, "Middle Income", "High Income"))</f>
        <v>Low Income</v>
      </c>
    </row>
    <row r="1088" spans="1:27" x14ac:dyDescent="0.25">
      <c r="A1088">
        <v>6024</v>
      </c>
      <c r="B1088" t="s">
        <v>44</v>
      </c>
      <c r="C1088" t="s">
        <v>36</v>
      </c>
      <c r="D1088">
        <v>59</v>
      </c>
      <c r="E1088" t="s">
        <v>25</v>
      </c>
      <c r="F1088" t="s">
        <v>38</v>
      </c>
      <c r="G1088">
        <v>24</v>
      </c>
      <c r="H1088" s="1" t="str">
        <f>IF(Table1[[#This Row],[anxiety_score]]&lt;=10, "Normal", IF(Table1[[#This Row],[anxiety_score]]&lt;=20, "Moderate", IF(Table1[[#This Row],[anxiety_score]]&lt;=30, "Severe", "Extremely Severe")))</f>
        <v>Severe</v>
      </c>
      <c r="I1088">
        <v>1.3991127999999999</v>
      </c>
      <c r="J1088">
        <v>22</v>
      </c>
      <c r="K1088" s="1" t="str">
        <f>IF(Table1[[#This Row],[stress_score]]&lt;=10, "Normal", IF(Table1[[#This Row],[stress_score]]&lt;=20, "Moderate", IF(Table1[[#This Row],[stress_score]]&lt;=30, "Severe", "Extremely Severe")))</f>
        <v>Severe</v>
      </c>
      <c r="L1088">
        <v>0.97880255999999999</v>
      </c>
      <c r="M1088">
        <v>16</v>
      </c>
      <c r="N1088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1088">
        <v>0.43226320000000001</v>
      </c>
      <c r="P1088">
        <v>20.666665999999999</v>
      </c>
      <c r="Q1088">
        <f>ROUND(Table1[[#This Row],[dass21_raw_score]],0)</f>
        <v>21</v>
      </c>
      <c r="R1088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088">
        <v>0.93672619999999995</v>
      </c>
      <c r="T1088">
        <v>2.0316361999999999</v>
      </c>
      <c r="U1088">
        <v>8333.3330000000005</v>
      </c>
      <c r="V1088" s="1">
        <f>ROUND(Table1[[#This Row],[fmpce]],0)</f>
        <v>8333</v>
      </c>
      <c r="W1088">
        <v>113.37220000000001</v>
      </c>
      <c r="X1088" s="4">
        <f>Table1[[#This Row],[mpce]]*89</f>
        <v>10090.1258</v>
      </c>
      <c r="Y1088" s="2" t="s">
        <v>35</v>
      </c>
      <c r="Z1088" s="3">
        <f>VLOOKUP(Y1088, rmpce_reference!$B$1:$D$7,3,FALSE) * 89</f>
        <v>9790</v>
      </c>
      <c r="AA1088" s="1" t="str">
        <f>IF(Table1[rmpce_inr]&lt;=rmpce_reference!$F$2, "Low Income", IF(Table1[rmpce_inr]&lt;=rmpce_reference!$F$3, "Middle Income", "High Income"))</f>
        <v>High Income</v>
      </c>
    </row>
    <row r="1089" spans="1:27" x14ac:dyDescent="0.25">
      <c r="A1089">
        <v>6025</v>
      </c>
      <c r="B1089" t="s">
        <v>44</v>
      </c>
      <c r="C1089" t="s">
        <v>29</v>
      </c>
      <c r="D1089">
        <v>31</v>
      </c>
      <c r="E1089" t="s">
        <v>22</v>
      </c>
      <c r="F1089" t="s">
        <v>30</v>
      </c>
      <c r="G1089">
        <v>8</v>
      </c>
      <c r="H1089" s="1" t="str">
        <f>IF(Table1[[#This Row],[anxiety_score]]&lt;=10, "Normal", IF(Table1[[#This Row],[anxiety_score]]&lt;=20, "Moderate", IF(Table1[[#This Row],[anxiety_score]]&lt;=30, "Severe", "Extremely Severe")))</f>
        <v>Normal</v>
      </c>
      <c r="I1089">
        <v>-0.20924408999999999</v>
      </c>
      <c r="J1089">
        <v>10</v>
      </c>
      <c r="K1089" s="1" t="str">
        <f>IF(Table1[[#This Row],[stress_score]]&lt;=10, "Normal", IF(Table1[[#This Row],[stress_score]]&lt;=20, "Moderate", IF(Table1[[#This Row],[stress_score]]&lt;=30, "Severe", "Extremely Severe")))</f>
        <v>Normal</v>
      </c>
      <c r="L1089">
        <v>-0.18916494</v>
      </c>
      <c r="M1089">
        <v>8</v>
      </c>
      <c r="N1089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089">
        <v>-0.33828637</v>
      </c>
      <c r="P1089">
        <v>8.6666670000000003</v>
      </c>
      <c r="Q1089">
        <f>ROUND(Table1[[#This Row],[dass21_raw_score]],0)</f>
        <v>9</v>
      </c>
      <c r="R1089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089">
        <v>-0.24556512999999999</v>
      </c>
      <c r="T1089">
        <v>0.84934480000000001</v>
      </c>
      <c r="U1089">
        <v>7500</v>
      </c>
      <c r="V1089" s="1">
        <f>ROUND(Table1[[#This Row],[fmpce]],0)</f>
        <v>7500</v>
      </c>
      <c r="W1089">
        <v>102.03498999999999</v>
      </c>
      <c r="X1089" s="4">
        <f>Table1[[#This Row],[mpce]]*89</f>
        <v>9081.1141099999986</v>
      </c>
      <c r="Y1089" s="2" t="s">
        <v>35</v>
      </c>
      <c r="Z1089" s="3">
        <f>VLOOKUP(Y1089, rmpce_reference!$B$1:$D$7,3,FALSE) * 89</f>
        <v>9790</v>
      </c>
      <c r="AA1089" s="1" t="str">
        <f>IF(Table1[rmpce_inr]&lt;=rmpce_reference!$F$2, "Low Income", IF(Table1[rmpce_inr]&lt;=rmpce_reference!$F$3, "Middle Income", "High Income"))</f>
        <v>High Income</v>
      </c>
    </row>
    <row r="1090" spans="1:27" x14ac:dyDescent="0.25">
      <c r="A1090">
        <v>6026</v>
      </c>
      <c r="B1090" t="s">
        <v>44</v>
      </c>
      <c r="C1090" t="s">
        <v>33</v>
      </c>
      <c r="D1090">
        <v>26</v>
      </c>
      <c r="E1090" t="s">
        <v>25</v>
      </c>
      <c r="F1090" t="s">
        <v>30</v>
      </c>
      <c r="G1090">
        <v>36</v>
      </c>
      <c r="H1090" s="1" t="str">
        <f>IF(Table1[[#This Row],[anxiety_score]]&lt;=10, "Normal", IF(Table1[[#This Row],[anxiety_score]]&lt;=20, "Moderate", IF(Table1[[#This Row],[anxiety_score]]&lt;=30, "Severe", "Extremely Severe")))</f>
        <v>Extremely Severe</v>
      </c>
      <c r="I1090">
        <v>2.6053804999999999</v>
      </c>
      <c r="J1090">
        <v>38</v>
      </c>
      <c r="K1090" s="1" t="str">
        <f>IF(Table1[[#This Row],[stress_score]]&lt;=10, "Normal", IF(Table1[[#This Row],[stress_score]]&lt;=20, "Moderate", IF(Table1[[#This Row],[stress_score]]&lt;=30, "Severe", "Extremely Severe")))</f>
        <v>Extremely Severe</v>
      </c>
      <c r="L1090">
        <v>2.5360925000000001</v>
      </c>
      <c r="M1090">
        <v>36</v>
      </c>
      <c r="N1090" s="1" t="str">
        <f>IF(Table1[[#This Row],[depression_score]]&lt;=10, "Normal", IF(Table1[[#This Row],[depression_score]]&lt;=20, "Moderate", IF(Table1[[#This Row],[depression_score]]&lt;=30, "Severe", "Extremely Severe")))</f>
        <v>Extremely Severe</v>
      </c>
      <c r="O1090">
        <v>2.3586369999999999</v>
      </c>
      <c r="P1090">
        <v>36.666668000000001</v>
      </c>
      <c r="Q1090">
        <f>ROUND(Table1[[#This Row],[dass21_raw_score]],0)</f>
        <v>37</v>
      </c>
      <c r="R1090" s="1" t="str">
        <f>IF(Table1[[#This Row],[round_dass21_raw_score]]&lt;=10, "Normal", IF(Table1[[#This Row],[round_dass21_raw_score]]&lt;=20, "Moderate", IF(Table1[[#This Row],[round_dass21_raw_score]]&lt;=30, "Severe", "Extremely Severe")))</f>
        <v>Extremely Severe</v>
      </c>
      <c r="S1090">
        <v>2.5000366999999999</v>
      </c>
      <c r="T1090">
        <v>3.5949466000000001</v>
      </c>
      <c r="U1090">
        <v>3750</v>
      </c>
      <c r="V1090" s="1">
        <f>ROUND(Table1[[#This Row],[fmpce]],0)</f>
        <v>3750</v>
      </c>
      <c r="W1090">
        <v>51.017493999999999</v>
      </c>
      <c r="X1090" s="4">
        <f>Table1[[#This Row],[mpce]]*89</f>
        <v>4540.5569660000001</v>
      </c>
      <c r="Y1090" s="2" t="s">
        <v>32</v>
      </c>
      <c r="Z1090" s="3">
        <f>VLOOKUP(Y1090, rmpce_reference!$B$1:$D$7,3,FALSE) * 89</f>
        <v>4450</v>
      </c>
      <c r="AA1090" s="1" t="str">
        <f>IF(Table1[rmpce_inr]&lt;=rmpce_reference!$F$2, "Low Income", IF(Table1[rmpce_inr]&lt;=rmpce_reference!$F$3, "Middle Income", "High Income"))</f>
        <v>Low Income</v>
      </c>
    </row>
    <row r="1091" spans="1:27" x14ac:dyDescent="0.25">
      <c r="A1091">
        <v>6027</v>
      </c>
      <c r="B1091" t="s">
        <v>44</v>
      </c>
      <c r="C1091" t="s">
        <v>29</v>
      </c>
      <c r="D1091">
        <v>38</v>
      </c>
      <c r="E1091" t="s">
        <v>25</v>
      </c>
      <c r="F1091" t="s">
        <v>26</v>
      </c>
      <c r="G1091">
        <v>0</v>
      </c>
      <c r="H1091" s="1" t="str">
        <f>IF(Table1[[#This Row],[anxiety_score]]&lt;=10, "Normal", IF(Table1[[#This Row],[anxiety_score]]&lt;=20, "Moderate", IF(Table1[[#This Row],[anxiety_score]]&lt;=30, "Severe", "Extremely Severe")))</f>
        <v>Normal</v>
      </c>
      <c r="I1091">
        <v>-1.0134224999999999</v>
      </c>
      <c r="J1091">
        <v>6</v>
      </c>
      <c r="K1091" s="1" t="str">
        <f>IF(Table1[[#This Row],[stress_score]]&lt;=10, "Normal", IF(Table1[[#This Row],[stress_score]]&lt;=20, "Moderate", IF(Table1[[#This Row],[stress_score]]&lt;=30, "Severe", "Extremely Severe")))</f>
        <v>Normal</v>
      </c>
      <c r="L1091">
        <v>-0.57848745999999995</v>
      </c>
      <c r="M1091">
        <v>6</v>
      </c>
      <c r="N1091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091">
        <v>-0.53092379999999995</v>
      </c>
      <c r="P1091">
        <v>4</v>
      </c>
      <c r="Q1091">
        <f>ROUND(Table1[[#This Row],[dass21_raw_score]],0)</f>
        <v>4</v>
      </c>
      <c r="R1091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091">
        <v>-0.70761125999999996</v>
      </c>
      <c r="T1091">
        <v>0.38729864000000003</v>
      </c>
      <c r="U1091">
        <v>2000</v>
      </c>
      <c r="V1091" s="1">
        <f>ROUND(Table1[[#This Row],[fmpce]],0)</f>
        <v>2000</v>
      </c>
      <c r="W1091">
        <v>27.209330000000001</v>
      </c>
      <c r="X1091" s="4">
        <f>Table1[[#This Row],[mpce]]*89</f>
        <v>2421.6303700000003</v>
      </c>
      <c r="Y1091" s="2" t="s">
        <v>34</v>
      </c>
      <c r="Z1091" s="3">
        <f>VLOOKUP(Y1091, rmpce_reference!$B$1:$D$7,3,FALSE) * 89</f>
        <v>2848</v>
      </c>
      <c r="AA1091" s="1" t="str">
        <f>IF(Table1[rmpce_inr]&lt;=rmpce_reference!$F$2, "Low Income", IF(Table1[rmpce_inr]&lt;=rmpce_reference!$F$3, "Middle Income", "High Income"))</f>
        <v>Low Income</v>
      </c>
    </row>
    <row r="1092" spans="1:27" x14ac:dyDescent="0.25">
      <c r="A1092">
        <v>6028</v>
      </c>
      <c r="B1092" t="s">
        <v>44</v>
      </c>
      <c r="C1092" t="s">
        <v>21</v>
      </c>
      <c r="D1092">
        <v>42</v>
      </c>
      <c r="E1092" t="s">
        <v>25</v>
      </c>
      <c r="F1092" t="s">
        <v>26</v>
      </c>
      <c r="G1092">
        <v>16</v>
      </c>
      <c r="H1092" s="1" t="str">
        <f>IF(Table1[[#This Row],[anxiety_score]]&lt;=10, "Normal", IF(Table1[[#This Row],[anxiety_score]]&lt;=20, "Moderate", IF(Table1[[#This Row],[anxiety_score]]&lt;=30, "Severe", "Extremely Severe")))</f>
        <v>Moderate</v>
      </c>
      <c r="I1092">
        <v>0.59493434000000001</v>
      </c>
      <c r="J1092">
        <v>28</v>
      </c>
      <c r="K1092" s="1" t="str">
        <f>IF(Table1[[#This Row],[stress_score]]&lt;=10, "Normal", IF(Table1[[#This Row],[stress_score]]&lt;=20, "Moderate", IF(Table1[[#This Row],[stress_score]]&lt;=30, "Severe", "Extremely Severe")))</f>
        <v>Severe</v>
      </c>
      <c r="L1092">
        <v>1.5627863</v>
      </c>
      <c r="M1092">
        <v>24</v>
      </c>
      <c r="N1092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1092">
        <v>1.2028128</v>
      </c>
      <c r="P1092">
        <v>22.666665999999999</v>
      </c>
      <c r="Q1092">
        <f>ROUND(Table1[[#This Row],[dass21_raw_score]],0)</f>
        <v>23</v>
      </c>
      <c r="R1092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092">
        <v>1.1201779000000001</v>
      </c>
      <c r="T1092">
        <v>2.2150880000000002</v>
      </c>
      <c r="U1092">
        <v>2500</v>
      </c>
      <c r="V1092" s="1">
        <f>ROUND(Table1[[#This Row],[fmpce]],0)</f>
        <v>2500</v>
      </c>
      <c r="W1092">
        <v>34.011659999999999</v>
      </c>
      <c r="X1092" s="4">
        <f>Table1[[#This Row],[mpce]]*89</f>
        <v>3027.0377399999998</v>
      </c>
      <c r="Y1092" s="2" t="s">
        <v>34</v>
      </c>
      <c r="Z1092" s="3">
        <f>VLOOKUP(Y1092, rmpce_reference!$B$1:$D$7,3,FALSE) * 89</f>
        <v>2848</v>
      </c>
      <c r="AA1092" s="1" t="str">
        <f>IF(Table1[rmpce_inr]&lt;=rmpce_reference!$F$2, "Low Income", IF(Table1[rmpce_inr]&lt;=rmpce_reference!$F$3, "Middle Income", "High Income"))</f>
        <v>Low Income</v>
      </c>
    </row>
    <row r="1093" spans="1:27" x14ac:dyDescent="0.25">
      <c r="A1093">
        <v>6029</v>
      </c>
      <c r="B1093" t="s">
        <v>44</v>
      </c>
      <c r="C1093" t="s">
        <v>33</v>
      </c>
      <c r="D1093">
        <v>28</v>
      </c>
      <c r="E1093" t="s">
        <v>22</v>
      </c>
      <c r="F1093" t="s">
        <v>30</v>
      </c>
      <c r="G1093">
        <v>4</v>
      </c>
      <c r="H1093" s="1" t="str">
        <f>IF(Table1[[#This Row],[anxiety_score]]&lt;=10, "Normal", IF(Table1[[#This Row],[anxiety_score]]&lt;=20, "Moderate", IF(Table1[[#This Row],[anxiety_score]]&lt;=30, "Severe", "Extremely Severe")))</f>
        <v>Normal</v>
      </c>
      <c r="I1093">
        <v>-0.61133329999999997</v>
      </c>
      <c r="J1093">
        <v>10</v>
      </c>
      <c r="K1093" s="1" t="str">
        <f>IF(Table1[[#This Row],[stress_score]]&lt;=10, "Normal", IF(Table1[[#This Row],[stress_score]]&lt;=20, "Moderate", IF(Table1[[#This Row],[stress_score]]&lt;=30, "Severe", "Extremely Severe")))</f>
        <v>Normal</v>
      </c>
      <c r="L1093">
        <v>-0.18916494</v>
      </c>
      <c r="M1093">
        <v>8</v>
      </c>
      <c r="N1093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093">
        <v>-0.33828637</v>
      </c>
      <c r="P1093">
        <v>7.3333335000000002</v>
      </c>
      <c r="Q1093">
        <f>ROUND(Table1[[#This Row],[dass21_raw_score]],0)</f>
        <v>7</v>
      </c>
      <c r="R1093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093">
        <v>-0.37959485999999998</v>
      </c>
      <c r="T1093">
        <v>0.71531504000000001</v>
      </c>
      <c r="U1093">
        <v>1666.6666</v>
      </c>
      <c r="V1093" s="1">
        <f>ROUND(Table1[[#This Row],[fmpce]],0)</f>
        <v>1667</v>
      </c>
      <c r="W1093">
        <v>22.674440000000001</v>
      </c>
      <c r="X1093" s="4">
        <f>Table1[[#This Row],[mpce]]*89</f>
        <v>2018.0251600000001</v>
      </c>
      <c r="Y1093" s="2" t="s">
        <v>24</v>
      </c>
      <c r="Z1093" s="3">
        <f>VLOOKUP(Y1093, rmpce_reference!$B$1:$D$7,3,FALSE) * 89</f>
        <v>2225</v>
      </c>
      <c r="AA1093" s="1" t="str">
        <f>IF(Table1[rmpce_inr]&lt;=rmpce_reference!$F$2, "Low Income", IF(Table1[rmpce_inr]&lt;=rmpce_reference!$F$3, "Middle Income", "High Income"))</f>
        <v>Low Income</v>
      </c>
    </row>
    <row r="1094" spans="1:27" x14ac:dyDescent="0.25">
      <c r="A1094">
        <v>6030</v>
      </c>
      <c r="B1094" t="s">
        <v>44</v>
      </c>
      <c r="C1094" t="s">
        <v>29</v>
      </c>
      <c r="D1094">
        <v>38</v>
      </c>
      <c r="E1094" t="s">
        <v>22</v>
      </c>
      <c r="F1094" t="s">
        <v>23</v>
      </c>
      <c r="G1094">
        <v>4</v>
      </c>
      <c r="H1094" s="1" t="str">
        <f>IF(Table1[[#This Row],[anxiety_score]]&lt;=10, "Normal", IF(Table1[[#This Row],[anxiety_score]]&lt;=20, "Moderate", IF(Table1[[#This Row],[anxiety_score]]&lt;=30, "Severe", "Extremely Severe")))</f>
        <v>Normal</v>
      </c>
      <c r="I1094">
        <v>-0.61133329999999997</v>
      </c>
      <c r="J1094">
        <v>10</v>
      </c>
      <c r="K1094" s="1" t="str">
        <f>IF(Table1[[#This Row],[stress_score]]&lt;=10, "Normal", IF(Table1[[#This Row],[stress_score]]&lt;=20, "Moderate", IF(Table1[[#This Row],[stress_score]]&lt;=30, "Severe", "Extremely Severe")))</f>
        <v>Normal</v>
      </c>
      <c r="L1094">
        <v>-0.18916494</v>
      </c>
      <c r="M1094">
        <v>8</v>
      </c>
      <c r="N1094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094">
        <v>-0.33828637</v>
      </c>
      <c r="P1094">
        <v>7.3333335000000002</v>
      </c>
      <c r="Q1094">
        <f>ROUND(Table1[[#This Row],[dass21_raw_score]],0)</f>
        <v>7</v>
      </c>
      <c r="R1094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094">
        <v>-0.37959485999999998</v>
      </c>
      <c r="T1094">
        <v>0.71531504000000001</v>
      </c>
      <c r="U1094">
        <v>4166.6665000000003</v>
      </c>
      <c r="V1094" s="1">
        <f>ROUND(Table1[[#This Row],[fmpce]],0)</f>
        <v>4167</v>
      </c>
      <c r="W1094">
        <v>56.686100000000003</v>
      </c>
      <c r="X1094" s="4">
        <f>Table1[[#This Row],[mpce]]*89</f>
        <v>5045.0628999999999</v>
      </c>
      <c r="Y1094" s="2" t="s">
        <v>32</v>
      </c>
      <c r="Z1094" s="3">
        <f>VLOOKUP(Y1094, rmpce_reference!$B$1:$D$7,3,FALSE) * 89</f>
        <v>4450</v>
      </c>
      <c r="AA1094" s="1" t="str">
        <f>IF(Table1[rmpce_inr]&lt;=rmpce_reference!$F$2, "Low Income", IF(Table1[rmpce_inr]&lt;=rmpce_reference!$F$3, "Middle Income", "High Income"))</f>
        <v>Low Income</v>
      </c>
    </row>
    <row r="1095" spans="1:27" x14ac:dyDescent="0.25">
      <c r="A1095">
        <v>6031</v>
      </c>
      <c r="B1095" t="s">
        <v>44</v>
      </c>
      <c r="C1095" t="s">
        <v>29</v>
      </c>
      <c r="D1095">
        <v>38</v>
      </c>
      <c r="E1095" t="s">
        <v>22</v>
      </c>
      <c r="F1095" t="s">
        <v>23</v>
      </c>
      <c r="G1095">
        <v>10</v>
      </c>
      <c r="H1095" s="1" t="str">
        <f>IF(Table1[[#This Row],[anxiety_score]]&lt;=10, "Normal", IF(Table1[[#This Row],[anxiety_score]]&lt;=20, "Moderate", IF(Table1[[#This Row],[anxiety_score]]&lt;=30, "Severe", "Extremely Severe")))</f>
        <v>Normal</v>
      </c>
      <c r="I1095">
        <v>-8.1994660000000007E-3</v>
      </c>
      <c r="J1095">
        <v>4</v>
      </c>
      <c r="K1095" s="1" t="str">
        <f>IF(Table1[[#This Row],[stress_score]]&lt;=10, "Normal", IF(Table1[[#This Row],[stress_score]]&lt;=20, "Moderate", IF(Table1[[#This Row],[stress_score]]&lt;=30, "Severe", "Extremely Severe")))</f>
        <v>Normal</v>
      </c>
      <c r="L1095">
        <v>-0.77314866000000004</v>
      </c>
      <c r="M1095">
        <v>6</v>
      </c>
      <c r="N1095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095">
        <v>-0.53092379999999995</v>
      </c>
      <c r="P1095">
        <v>6.6666664999999998</v>
      </c>
      <c r="Q1095">
        <f>ROUND(Table1[[#This Row],[dass21_raw_score]],0)</f>
        <v>7</v>
      </c>
      <c r="R1095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095">
        <v>-0.43742397</v>
      </c>
      <c r="T1095">
        <v>0.65748596000000004</v>
      </c>
      <c r="U1095">
        <v>6250</v>
      </c>
      <c r="V1095" s="1">
        <f>ROUND(Table1[[#This Row],[fmpce]],0)</f>
        <v>6250</v>
      </c>
      <c r="W1095">
        <v>85.029150000000001</v>
      </c>
      <c r="X1095" s="4">
        <f>Table1[[#This Row],[mpce]]*89</f>
        <v>7567.5943500000003</v>
      </c>
      <c r="Y1095" s="2" t="s">
        <v>31</v>
      </c>
      <c r="Z1095" s="3">
        <f>VLOOKUP(Y1095, rmpce_reference!$B$1:$D$7,3,FALSE) * 89</f>
        <v>8010</v>
      </c>
      <c r="AA1095" s="1" t="str">
        <f>IF(Table1[rmpce_inr]&lt;=rmpce_reference!$F$2, "Low Income", IF(Table1[rmpce_inr]&lt;=rmpce_reference!$F$3, "Middle Income", "High Income"))</f>
        <v>High Income</v>
      </c>
    </row>
    <row r="1096" spans="1:27" x14ac:dyDescent="0.25">
      <c r="A1096">
        <v>6032</v>
      </c>
      <c r="B1096" t="s">
        <v>44</v>
      </c>
      <c r="C1096" t="s">
        <v>33</v>
      </c>
      <c r="D1096">
        <v>30</v>
      </c>
      <c r="E1096" t="s">
        <v>22</v>
      </c>
      <c r="F1096" t="s">
        <v>27</v>
      </c>
      <c r="G1096">
        <v>0</v>
      </c>
      <c r="H1096" s="1" t="str">
        <f>IF(Table1[[#This Row],[anxiety_score]]&lt;=10, "Normal", IF(Table1[[#This Row],[anxiety_score]]&lt;=20, "Moderate", IF(Table1[[#This Row],[anxiety_score]]&lt;=30, "Severe", "Extremely Severe")))</f>
        <v>Normal</v>
      </c>
      <c r="I1096">
        <v>-1.0134224999999999</v>
      </c>
      <c r="J1096">
        <v>8</v>
      </c>
      <c r="K1096" s="1" t="str">
        <f>IF(Table1[[#This Row],[stress_score]]&lt;=10, "Normal", IF(Table1[[#This Row],[stress_score]]&lt;=20, "Moderate", IF(Table1[[#This Row],[stress_score]]&lt;=30, "Severe", "Extremely Severe")))</f>
        <v>Normal</v>
      </c>
      <c r="L1096">
        <v>-0.38382620000000001</v>
      </c>
      <c r="M1096">
        <v>4</v>
      </c>
      <c r="N1096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096">
        <v>-0.72356116999999998</v>
      </c>
      <c r="P1096">
        <v>4</v>
      </c>
      <c r="Q1096">
        <f>ROUND(Table1[[#This Row],[dass21_raw_score]],0)</f>
        <v>4</v>
      </c>
      <c r="R1096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096">
        <v>-0.70693660000000003</v>
      </c>
      <c r="T1096">
        <v>0.38797330000000002</v>
      </c>
      <c r="U1096">
        <v>3750</v>
      </c>
      <c r="V1096" s="1">
        <f>ROUND(Table1[[#This Row],[fmpce]],0)</f>
        <v>3750</v>
      </c>
      <c r="W1096">
        <v>51.017493999999999</v>
      </c>
      <c r="X1096" s="4">
        <f>Table1[[#This Row],[mpce]]*89</f>
        <v>4540.5569660000001</v>
      </c>
      <c r="Y1096" s="2" t="s">
        <v>32</v>
      </c>
      <c r="Z1096" s="3">
        <f>VLOOKUP(Y1096, rmpce_reference!$B$1:$D$7,3,FALSE) * 89</f>
        <v>4450</v>
      </c>
      <c r="AA1096" s="1" t="str">
        <f>IF(Table1[rmpce_inr]&lt;=rmpce_reference!$F$2, "Low Income", IF(Table1[rmpce_inr]&lt;=rmpce_reference!$F$3, "Middle Income", "High Income"))</f>
        <v>Low Income</v>
      </c>
    </row>
    <row r="1097" spans="1:27" x14ac:dyDescent="0.25">
      <c r="A1097">
        <v>6033</v>
      </c>
      <c r="B1097" t="s">
        <v>44</v>
      </c>
      <c r="C1097" t="s">
        <v>33</v>
      </c>
      <c r="D1097">
        <v>30</v>
      </c>
      <c r="E1097" t="s">
        <v>22</v>
      </c>
      <c r="F1097" t="s">
        <v>23</v>
      </c>
      <c r="G1097">
        <v>6</v>
      </c>
      <c r="H1097" s="1" t="str">
        <f>IF(Table1[[#This Row],[anxiety_score]]&lt;=10, "Normal", IF(Table1[[#This Row],[anxiety_score]]&lt;=20, "Moderate", IF(Table1[[#This Row],[anxiety_score]]&lt;=30, "Severe", "Extremely Severe")))</f>
        <v>Normal</v>
      </c>
      <c r="I1097">
        <v>-0.41028870000000001</v>
      </c>
      <c r="J1097">
        <v>4</v>
      </c>
      <c r="K1097" s="1" t="str">
        <f>IF(Table1[[#This Row],[stress_score]]&lt;=10, "Normal", IF(Table1[[#This Row],[stress_score]]&lt;=20, "Moderate", IF(Table1[[#This Row],[stress_score]]&lt;=30, "Severe", "Extremely Severe")))</f>
        <v>Normal</v>
      </c>
      <c r="L1097">
        <v>-0.77314866000000004</v>
      </c>
      <c r="M1097">
        <v>0</v>
      </c>
      <c r="N1097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097">
        <v>-1.1088359000000001</v>
      </c>
      <c r="P1097">
        <v>3.3333333000000001</v>
      </c>
      <c r="Q1097">
        <f>ROUND(Table1[[#This Row],[dass21_raw_score]],0)</f>
        <v>3</v>
      </c>
      <c r="R1097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097">
        <v>-0.76409110000000002</v>
      </c>
      <c r="T1097">
        <v>0.33081883000000001</v>
      </c>
      <c r="U1097">
        <v>3750</v>
      </c>
      <c r="V1097" s="1">
        <f>ROUND(Table1[[#This Row],[fmpce]],0)</f>
        <v>3750</v>
      </c>
      <c r="W1097">
        <v>51.017493999999999</v>
      </c>
      <c r="X1097" s="4">
        <f>Table1[[#This Row],[mpce]]*89</f>
        <v>4540.5569660000001</v>
      </c>
      <c r="Y1097" s="2" t="s">
        <v>32</v>
      </c>
      <c r="Z1097" s="3">
        <f>VLOOKUP(Y1097, rmpce_reference!$B$1:$D$7,3,FALSE) * 89</f>
        <v>4450</v>
      </c>
      <c r="AA1097" s="1" t="str">
        <f>IF(Table1[rmpce_inr]&lt;=rmpce_reference!$F$2, "Low Income", IF(Table1[rmpce_inr]&lt;=rmpce_reference!$F$3, "Middle Income", "High Income"))</f>
        <v>Low Income</v>
      </c>
    </row>
    <row r="1098" spans="1:27" x14ac:dyDescent="0.25">
      <c r="A1098">
        <v>6034</v>
      </c>
      <c r="B1098" t="s">
        <v>44</v>
      </c>
      <c r="C1098" t="s">
        <v>33</v>
      </c>
      <c r="D1098">
        <v>30</v>
      </c>
      <c r="E1098" t="s">
        <v>25</v>
      </c>
      <c r="F1098" t="s">
        <v>26</v>
      </c>
      <c r="G1098">
        <v>2</v>
      </c>
      <c r="H1098" s="1" t="str">
        <f>IF(Table1[[#This Row],[anxiety_score]]&lt;=10, "Normal", IF(Table1[[#This Row],[anxiety_score]]&lt;=20, "Moderate", IF(Table1[[#This Row],[anxiety_score]]&lt;=30, "Severe", "Extremely Severe")))</f>
        <v>Normal</v>
      </c>
      <c r="I1098">
        <v>-0.81237789999999999</v>
      </c>
      <c r="J1098">
        <v>8</v>
      </c>
      <c r="K1098" s="1" t="str">
        <f>IF(Table1[[#This Row],[stress_score]]&lt;=10, "Normal", IF(Table1[[#This Row],[stress_score]]&lt;=20, "Moderate", IF(Table1[[#This Row],[stress_score]]&lt;=30, "Severe", "Extremely Severe")))</f>
        <v>Normal</v>
      </c>
      <c r="L1098">
        <v>-0.38382620000000001</v>
      </c>
      <c r="M1098">
        <v>4</v>
      </c>
      <c r="N1098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098">
        <v>-0.72356116999999998</v>
      </c>
      <c r="P1098">
        <v>4.6666664999999998</v>
      </c>
      <c r="Q1098">
        <f>ROUND(Table1[[#This Row],[dass21_raw_score]],0)</f>
        <v>5</v>
      </c>
      <c r="R1098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098">
        <v>-0.63992179999999999</v>
      </c>
      <c r="T1098">
        <v>0.45498812</v>
      </c>
      <c r="U1098">
        <v>6250</v>
      </c>
      <c r="V1098" s="1">
        <f>ROUND(Table1[[#This Row],[fmpce]],0)</f>
        <v>6250</v>
      </c>
      <c r="W1098">
        <v>85.029150000000001</v>
      </c>
      <c r="X1098" s="4">
        <f>Table1[[#This Row],[mpce]]*89</f>
        <v>7567.5943500000003</v>
      </c>
      <c r="Y1098" s="2" t="s">
        <v>31</v>
      </c>
      <c r="Z1098" s="3">
        <f>VLOOKUP(Y1098, rmpce_reference!$B$1:$D$7,3,FALSE) * 89</f>
        <v>8010</v>
      </c>
      <c r="AA1098" s="1" t="str">
        <f>IF(Table1[rmpce_inr]&lt;=rmpce_reference!$F$2, "Low Income", IF(Table1[rmpce_inr]&lt;=rmpce_reference!$F$3, "Middle Income", "High Income"))</f>
        <v>High Income</v>
      </c>
    </row>
    <row r="1099" spans="1:27" x14ac:dyDescent="0.25">
      <c r="A1099">
        <v>6035</v>
      </c>
      <c r="B1099" t="s">
        <v>44</v>
      </c>
      <c r="C1099" t="s">
        <v>33</v>
      </c>
      <c r="D1099">
        <v>26</v>
      </c>
      <c r="E1099" t="s">
        <v>22</v>
      </c>
      <c r="F1099" t="s">
        <v>37</v>
      </c>
      <c r="G1099">
        <v>2</v>
      </c>
      <c r="H1099" s="1" t="str">
        <f>IF(Table1[[#This Row],[anxiety_score]]&lt;=10, "Normal", IF(Table1[[#This Row],[anxiety_score]]&lt;=20, "Moderate", IF(Table1[[#This Row],[anxiety_score]]&lt;=30, "Severe", "Extremely Severe")))</f>
        <v>Normal</v>
      </c>
      <c r="I1099">
        <v>-0.81237789999999999</v>
      </c>
      <c r="J1099">
        <v>2</v>
      </c>
      <c r="K1099" s="1" t="str">
        <f>IF(Table1[[#This Row],[stress_score]]&lt;=10, "Normal", IF(Table1[[#This Row],[stress_score]]&lt;=20, "Moderate", IF(Table1[[#This Row],[stress_score]]&lt;=30, "Severe", "Extremely Severe")))</f>
        <v>Normal</v>
      </c>
      <c r="L1099">
        <v>-0.9678099</v>
      </c>
      <c r="M1099">
        <v>2</v>
      </c>
      <c r="N1099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099">
        <v>-0.91619854999999994</v>
      </c>
      <c r="P1099">
        <v>2</v>
      </c>
      <c r="Q1099">
        <f>ROUND(Table1[[#This Row],[dass21_raw_score]],0)</f>
        <v>2</v>
      </c>
      <c r="R1099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099">
        <v>-0.89879549999999997</v>
      </c>
      <c r="T1099">
        <v>0.19611442000000001</v>
      </c>
      <c r="U1099">
        <v>4000</v>
      </c>
      <c r="V1099" s="1">
        <f>ROUND(Table1[[#This Row],[fmpce]],0)</f>
        <v>4000</v>
      </c>
      <c r="W1099">
        <v>54.418660000000003</v>
      </c>
      <c r="X1099" s="4">
        <f>Table1[[#This Row],[mpce]]*89</f>
        <v>4843.2607400000006</v>
      </c>
      <c r="Y1099" s="2" t="s">
        <v>32</v>
      </c>
      <c r="Z1099" s="3">
        <f>VLOOKUP(Y1099, rmpce_reference!$B$1:$D$7,3,FALSE) * 89</f>
        <v>4450</v>
      </c>
      <c r="AA1099" s="1" t="str">
        <f>IF(Table1[rmpce_inr]&lt;=rmpce_reference!$F$2, "Low Income", IF(Table1[rmpce_inr]&lt;=rmpce_reference!$F$3, "Middle Income", "High Income"))</f>
        <v>Low Income</v>
      </c>
    </row>
    <row r="1100" spans="1:27" x14ac:dyDescent="0.25">
      <c r="A1100">
        <v>6036</v>
      </c>
      <c r="B1100" t="s">
        <v>44</v>
      </c>
      <c r="C1100" t="s">
        <v>21</v>
      </c>
      <c r="D1100">
        <v>41</v>
      </c>
      <c r="E1100" t="s">
        <v>22</v>
      </c>
      <c r="F1100" t="s">
        <v>30</v>
      </c>
      <c r="G1100">
        <v>8</v>
      </c>
      <c r="H1100" s="1" t="str">
        <f>IF(Table1[[#This Row],[anxiety_score]]&lt;=10, "Normal", IF(Table1[[#This Row],[anxiety_score]]&lt;=20, "Moderate", IF(Table1[[#This Row],[anxiety_score]]&lt;=30, "Severe", "Extremely Severe")))</f>
        <v>Normal</v>
      </c>
      <c r="I1100">
        <v>-0.20924408999999999</v>
      </c>
      <c r="J1100">
        <v>2</v>
      </c>
      <c r="K1100" s="1" t="str">
        <f>IF(Table1[[#This Row],[stress_score]]&lt;=10, "Normal", IF(Table1[[#This Row],[stress_score]]&lt;=20, "Moderate", IF(Table1[[#This Row],[stress_score]]&lt;=30, "Severe", "Extremely Severe")))</f>
        <v>Normal</v>
      </c>
      <c r="L1100">
        <v>-0.9678099</v>
      </c>
      <c r="M1100">
        <v>8</v>
      </c>
      <c r="N1100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100">
        <v>-0.33828637</v>
      </c>
      <c r="P1100">
        <v>6</v>
      </c>
      <c r="Q1100">
        <f>ROUND(Table1[[#This Row],[dass21_raw_score]],0)</f>
        <v>6</v>
      </c>
      <c r="R1100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100">
        <v>-0.50511349999999999</v>
      </c>
      <c r="T1100">
        <v>0.5897964</v>
      </c>
      <c r="U1100">
        <v>7500</v>
      </c>
      <c r="V1100" s="1">
        <f>ROUND(Table1[[#This Row],[fmpce]],0)</f>
        <v>7500</v>
      </c>
      <c r="W1100">
        <v>102.03498999999999</v>
      </c>
      <c r="X1100" s="4">
        <f>Table1[[#This Row],[mpce]]*89</f>
        <v>9081.1141099999986</v>
      </c>
      <c r="Y1100" s="2" t="s">
        <v>35</v>
      </c>
      <c r="Z1100" s="3">
        <f>VLOOKUP(Y1100, rmpce_reference!$B$1:$D$7,3,FALSE) * 89</f>
        <v>9790</v>
      </c>
      <c r="AA1100" s="1" t="str">
        <f>IF(Table1[rmpce_inr]&lt;=rmpce_reference!$F$2, "Low Income", IF(Table1[rmpce_inr]&lt;=rmpce_reference!$F$3, "Middle Income", "High Income"))</f>
        <v>High Income</v>
      </c>
    </row>
    <row r="1101" spans="1:27" x14ac:dyDescent="0.25">
      <c r="A1101">
        <v>6037</v>
      </c>
      <c r="B1101" t="s">
        <v>44</v>
      </c>
      <c r="C1101" t="s">
        <v>33</v>
      </c>
      <c r="D1101">
        <v>26</v>
      </c>
      <c r="E1101" t="s">
        <v>22</v>
      </c>
      <c r="F1101" t="s">
        <v>30</v>
      </c>
      <c r="G1101">
        <v>6</v>
      </c>
      <c r="H1101" s="1" t="str">
        <f>IF(Table1[[#This Row],[anxiety_score]]&lt;=10, "Normal", IF(Table1[[#This Row],[anxiety_score]]&lt;=20, "Moderate", IF(Table1[[#This Row],[anxiety_score]]&lt;=30, "Severe", "Extremely Severe")))</f>
        <v>Normal</v>
      </c>
      <c r="I1101">
        <v>-0.41028870000000001</v>
      </c>
      <c r="J1101">
        <v>12</v>
      </c>
      <c r="K1101" s="1" t="str">
        <f>IF(Table1[[#This Row],[stress_score]]&lt;=10, "Normal", IF(Table1[[#This Row],[stress_score]]&lt;=20, "Moderate", IF(Table1[[#This Row],[stress_score]]&lt;=30, "Severe", "Extremely Severe")))</f>
        <v>Moderate</v>
      </c>
      <c r="L1101">
        <v>5.496318E-3</v>
      </c>
      <c r="M1101">
        <v>4</v>
      </c>
      <c r="N1101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101">
        <v>-0.72356116999999998</v>
      </c>
      <c r="P1101">
        <v>7.3333335000000002</v>
      </c>
      <c r="Q1101">
        <f>ROUND(Table1[[#This Row],[dass21_raw_score]],0)</f>
        <v>7</v>
      </c>
      <c r="R1101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101">
        <v>-0.37611786000000003</v>
      </c>
      <c r="T1101">
        <v>0.71879210000000004</v>
      </c>
      <c r="U1101">
        <v>6000</v>
      </c>
      <c r="V1101" s="1">
        <f>ROUND(Table1[[#This Row],[fmpce]],0)</f>
        <v>6000</v>
      </c>
      <c r="W1101">
        <v>81.627989999999997</v>
      </c>
      <c r="X1101" s="4">
        <f>Table1[[#This Row],[mpce]]*89</f>
        <v>7264.8911099999996</v>
      </c>
      <c r="Y1101" s="2" t="s">
        <v>31</v>
      </c>
      <c r="Z1101" s="3">
        <f>VLOOKUP(Y1101, rmpce_reference!$B$1:$D$7,3,FALSE) * 89</f>
        <v>8010</v>
      </c>
      <c r="AA1101" s="1" t="str">
        <f>IF(Table1[rmpce_inr]&lt;=rmpce_reference!$F$2, "Low Income", IF(Table1[rmpce_inr]&lt;=rmpce_reference!$F$3, "Middle Income", "High Income"))</f>
        <v>High Income</v>
      </c>
    </row>
    <row r="1102" spans="1:27" x14ac:dyDescent="0.25">
      <c r="A1102">
        <v>6038</v>
      </c>
      <c r="B1102" t="s">
        <v>44</v>
      </c>
      <c r="C1102" t="s">
        <v>29</v>
      </c>
      <c r="D1102">
        <v>32</v>
      </c>
      <c r="E1102" t="s">
        <v>22</v>
      </c>
      <c r="F1102" t="s">
        <v>30</v>
      </c>
      <c r="G1102">
        <v>8</v>
      </c>
      <c r="H1102" s="1" t="str">
        <f>IF(Table1[[#This Row],[anxiety_score]]&lt;=10, "Normal", IF(Table1[[#This Row],[anxiety_score]]&lt;=20, "Moderate", IF(Table1[[#This Row],[anxiety_score]]&lt;=30, "Severe", "Extremely Severe")))</f>
        <v>Normal</v>
      </c>
      <c r="I1102">
        <v>-0.20924408999999999</v>
      </c>
      <c r="J1102">
        <v>14</v>
      </c>
      <c r="K1102" s="1" t="str">
        <f>IF(Table1[[#This Row],[stress_score]]&lt;=10, "Normal", IF(Table1[[#This Row],[stress_score]]&lt;=20, "Moderate", IF(Table1[[#This Row],[stress_score]]&lt;=30, "Severe", "Extremely Severe")))</f>
        <v>Moderate</v>
      </c>
      <c r="L1102">
        <v>0.20015757000000001</v>
      </c>
      <c r="M1102">
        <v>16</v>
      </c>
      <c r="N1102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1102">
        <v>0.43226320000000001</v>
      </c>
      <c r="P1102">
        <v>12.666667</v>
      </c>
      <c r="Q1102">
        <f>ROUND(Table1[[#This Row],[dass21_raw_score]],0)</f>
        <v>13</v>
      </c>
      <c r="R1102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1102">
        <v>0.14105888999999999</v>
      </c>
      <c r="T1102">
        <v>1.2359688</v>
      </c>
      <c r="U1102">
        <v>5000</v>
      </c>
      <c r="V1102" s="1">
        <f>ROUND(Table1[[#This Row],[fmpce]],0)</f>
        <v>5000</v>
      </c>
      <c r="W1102">
        <v>68.023319999999998</v>
      </c>
      <c r="X1102" s="4">
        <f>Table1[[#This Row],[mpce]]*89</f>
        <v>6054.0754799999995</v>
      </c>
      <c r="Y1102" s="2" t="s">
        <v>28</v>
      </c>
      <c r="Z1102" s="3">
        <f>VLOOKUP(Y1102, rmpce_reference!$B$1:$D$7,3,FALSE) * 89</f>
        <v>6230</v>
      </c>
      <c r="AA1102" s="1" t="str">
        <f>IF(Table1[rmpce_inr]&lt;=rmpce_reference!$F$2, "Low Income", IF(Table1[rmpce_inr]&lt;=rmpce_reference!$F$3, "Middle Income", "High Income"))</f>
        <v>Middle Income</v>
      </c>
    </row>
    <row r="1103" spans="1:27" x14ac:dyDescent="0.25">
      <c r="A1103">
        <v>6039</v>
      </c>
      <c r="B1103" t="s">
        <v>44</v>
      </c>
      <c r="C1103" t="s">
        <v>21</v>
      </c>
      <c r="D1103">
        <v>42</v>
      </c>
      <c r="E1103" t="s">
        <v>22</v>
      </c>
      <c r="F1103" t="s">
        <v>37</v>
      </c>
      <c r="G1103">
        <v>12</v>
      </c>
      <c r="H1103" s="1" t="str">
        <f>IF(Table1[[#This Row],[anxiety_score]]&lt;=10, "Normal", IF(Table1[[#This Row],[anxiety_score]]&lt;=20, "Moderate", IF(Table1[[#This Row],[anxiety_score]]&lt;=30, "Severe", "Extremely Severe")))</f>
        <v>Moderate</v>
      </c>
      <c r="I1103">
        <v>0.19284514999999999</v>
      </c>
      <c r="J1103">
        <v>16</v>
      </c>
      <c r="K1103" s="1" t="str">
        <f>IF(Table1[[#This Row],[stress_score]]&lt;=10, "Normal", IF(Table1[[#This Row],[stress_score]]&lt;=20, "Moderate", IF(Table1[[#This Row],[stress_score]]&lt;=30, "Severe", "Extremely Severe")))</f>
        <v>Moderate</v>
      </c>
      <c r="L1103">
        <v>0.39481880000000003</v>
      </c>
      <c r="M1103">
        <v>10</v>
      </c>
      <c r="N1103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103">
        <v>-0.14564899000000001</v>
      </c>
      <c r="P1103">
        <v>12.666667</v>
      </c>
      <c r="Q1103">
        <f>ROUND(Table1[[#This Row],[dass21_raw_score]],0)</f>
        <v>13</v>
      </c>
      <c r="R1103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1103">
        <v>0.14733832999999999</v>
      </c>
      <c r="T1103">
        <v>1.2422483</v>
      </c>
      <c r="U1103">
        <v>5000</v>
      </c>
      <c r="V1103" s="1">
        <f>ROUND(Table1[[#This Row],[fmpce]],0)</f>
        <v>5000</v>
      </c>
      <c r="W1103">
        <v>68.023319999999998</v>
      </c>
      <c r="X1103" s="4">
        <f>Table1[[#This Row],[mpce]]*89</f>
        <v>6054.0754799999995</v>
      </c>
      <c r="Y1103" s="2" t="s">
        <v>28</v>
      </c>
      <c r="Z1103" s="3">
        <f>VLOOKUP(Y1103, rmpce_reference!$B$1:$D$7,3,FALSE) * 89</f>
        <v>6230</v>
      </c>
      <c r="AA1103" s="1" t="str">
        <f>IF(Table1[rmpce_inr]&lt;=rmpce_reference!$F$2, "Low Income", IF(Table1[rmpce_inr]&lt;=rmpce_reference!$F$3, "Middle Income", "High Income"))</f>
        <v>Middle Income</v>
      </c>
    </row>
    <row r="1104" spans="1:27" x14ac:dyDescent="0.25">
      <c r="A1104">
        <v>6040</v>
      </c>
      <c r="B1104" t="s">
        <v>44</v>
      </c>
      <c r="C1104" t="s">
        <v>29</v>
      </c>
      <c r="D1104">
        <v>35</v>
      </c>
      <c r="E1104" t="s">
        <v>22</v>
      </c>
      <c r="F1104" t="s">
        <v>30</v>
      </c>
      <c r="G1104">
        <v>8</v>
      </c>
      <c r="H1104" s="1" t="str">
        <f>IF(Table1[[#This Row],[anxiety_score]]&lt;=10, "Normal", IF(Table1[[#This Row],[anxiety_score]]&lt;=20, "Moderate", IF(Table1[[#This Row],[anxiety_score]]&lt;=30, "Severe", "Extremely Severe")))</f>
        <v>Normal</v>
      </c>
      <c r="I1104">
        <v>-0.20924408999999999</v>
      </c>
      <c r="J1104">
        <v>4</v>
      </c>
      <c r="K1104" s="1" t="str">
        <f>IF(Table1[[#This Row],[stress_score]]&lt;=10, "Normal", IF(Table1[[#This Row],[stress_score]]&lt;=20, "Moderate", IF(Table1[[#This Row],[stress_score]]&lt;=30, "Severe", "Extremely Severe")))</f>
        <v>Normal</v>
      </c>
      <c r="L1104">
        <v>-0.77314866000000004</v>
      </c>
      <c r="M1104">
        <v>2</v>
      </c>
      <c r="N1104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104">
        <v>-0.91619854999999994</v>
      </c>
      <c r="P1104">
        <v>4.6666664999999998</v>
      </c>
      <c r="Q1104">
        <f>ROUND(Table1[[#This Row],[dass21_raw_score]],0)</f>
        <v>5</v>
      </c>
      <c r="R1104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104">
        <v>-0.63286376</v>
      </c>
      <c r="T1104">
        <v>0.46204614999999999</v>
      </c>
      <c r="U1104">
        <v>2500</v>
      </c>
      <c r="V1104" s="1">
        <f>ROUND(Table1[[#This Row],[fmpce]],0)</f>
        <v>2500</v>
      </c>
      <c r="W1104">
        <v>34.011659999999999</v>
      </c>
      <c r="X1104" s="4">
        <f>Table1[[#This Row],[mpce]]*89</f>
        <v>3027.0377399999998</v>
      </c>
      <c r="Y1104" s="2" t="s">
        <v>34</v>
      </c>
      <c r="Z1104" s="3">
        <f>VLOOKUP(Y1104, rmpce_reference!$B$1:$D$7,3,FALSE) * 89</f>
        <v>2848</v>
      </c>
      <c r="AA1104" s="1" t="str">
        <f>IF(Table1[rmpce_inr]&lt;=rmpce_reference!$F$2, "Low Income", IF(Table1[rmpce_inr]&lt;=rmpce_reference!$F$3, "Middle Income", "High Income"))</f>
        <v>Low Income</v>
      </c>
    </row>
    <row r="1105" spans="1:27" x14ac:dyDescent="0.25">
      <c r="A1105">
        <v>6041</v>
      </c>
      <c r="B1105" t="s">
        <v>44</v>
      </c>
      <c r="C1105" t="s">
        <v>29</v>
      </c>
      <c r="D1105">
        <v>35</v>
      </c>
      <c r="E1105" t="s">
        <v>25</v>
      </c>
      <c r="F1105" t="s">
        <v>30</v>
      </c>
      <c r="G1105">
        <v>0</v>
      </c>
      <c r="H1105" s="1" t="str">
        <f>IF(Table1[[#This Row],[anxiety_score]]&lt;=10, "Normal", IF(Table1[[#This Row],[anxiety_score]]&lt;=20, "Moderate", IF(Table1[[#This Row],[anxiety_score]]&lt;=30, "Severe", "Extremely Severe")))</f>
        <v>Normal</v>
      </c>
      <c r="I1105">
        <v>-1.0134224999999999</v>
      </c>
      <c r="J1105">
        <v>8</v>
      </c>
      <c r="K1105" s="1" t="str">
        <f>IF(Table1[[#This Row],[stress_score]]&lt;=10, "Normal", IF(Table1[[#This Row],[stress_score]]&lt;=20, "Moderate", IF(Table1[[#This Row],[stress_score]]&lt;=30, "Severe", "Extremely Severe")))</f>
        <v>Normal</v>
      </c>
      <c r="L1105">
        <v>-0.38382620000000001</v>
      </c>
      <c r="M1105">
        <v>4</v>
      </c>
      <c r="N1105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105">
        <v>-0.72356116999999998</v>
      </c>
      <c r="P1105">
        <v>4</v>
      </c>
      <c r="Q1105">
        <f>ROUND(Table1[[#This Row],[dass21_raw_score]],0)</f>
        <v>4</v>
      </c>
      <c r="R1105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105">
        <v>-0.70693660000000003</v>
      </c>
      <c r="T1105">
        <v>0.38797330000000002</v>
      </c>
      <c r="U1105">
        <v>5000</v>
      </c>
      <c r="V1105" s="1">
        <f>ROUND(Table1[[#This Row],[fmpce]],0)</f>
        <v>5000</v>
      </c>
      <c r="W1105">
        <v>68.023319999999998</v>
      </c>
      <c r="X1105" s="4">
        <f>Table1[[#This Row],[mpce]]*89</f>
        <v>6054.0754799999995</v>
      </c>
      <c r="Y1105" s="2" t="s">
        <v>28</v>
      </c>
      <c r="Z1105" s="3">
        <f>VLOOKUP(Y1105, rmpce_reference!$B$1:$D$7,3,FALSE) * 89</f>
        <v>6230</v>
      </c>
      <c r="AA1105" s="1" t="str">
        <f>IF(Table1[rmpce_inr]&lt;=rmpce_reference!$F$2, "Low Income", IF(Table1[rmpce_inr]&lt;=rmpce_reference!$F$3, "Middle Income", "High Income"))</f>
        <v>Middle Income</v>
      </c>
    </row>
    <row r="1106" spans="1:27" x14ac:dyDescent="0.25">
      <c r="A1106">
        <v>6042</v>
      </c>
      <c r="B1106" t="s">
        <v>44</v>
      </c>
      <c r="C1106" t="s">
        <v>29</v>
      </c>
      <c r="D1106">
        <v>37</v>
      </c>
      <c r="E1106" t="s">
        <v>22</v>
      </c>
      <c r="F1106" t="s">
        <v>23</v>
      </c>
      <c r="G1106">
        <v>2</v>
      </c>
      <c r="H1106" s="1" t="str">
        <f>IF(Table1[[#This Row],[anxiety_score]]&lt;=10, "Normal", IF(Table1[[#This Row],[anxiety_score]]&lt;=20, "Moderate", IF(Table1[[#This Row],[anxiety_score]]&lt;=30, "Severe", "Extremely Severe")))</f>
        <v>Normal</v>
      </c>
      <c r="I1106">
        <v>-0.81237789999999999</v>
      </c>
      <c r="J1106">
        <v>4</v>
      </c>
      <c r="K1106" s="1" t="str">
        <f>IF(Table1[[#This Row],[stress_score]]&lt;=10, "Normal", IF(Table1[[#This Row],[stress_score]]&lt;=20, "Moderate", IF(Table1[[#This Row],[stress_score]]&lt;=30, "Severe", "Extremely Severe")))</f>
        <v>Normal</v>
      </c>
      <c r="L1106">
        <v>-0.77314866000000004</v>
      </c>
      <c r="M1106">
        <v>2</v>
      </c>
      <c r="N1106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106">
        <v>-0.91619854999999994</v>
      </c>
      <c r="P1106">
        <v>2.6666666999999999</v>
      </c>
      <c r="Q1106">
        <f>ROUND(Table1[[#This Row],[dass21_raw_score]],0)</f>
        <v>3</v>
      </c>
      <c r="R1106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106">
        <v>-0.83390839999999999</v>
      </c>
      <c r="T1106">
        <v>0.26100152999999998</v>
      </c>
      <c r="U1106">
        <v>5000</v>
      </c>
      <c r="V1106" s="1">
        <f>ROUND(Table1[[#This Row],[fmpce]],0)</f>
        <v>5000</v>
      </c>
      <c r="W1106">
        <v>68.023319999999998</v>
      </c>
      <c r="X1106" s="4">
        <f>Table1[[#This Row],[mpce]]*89</f>
        <v>6054.0754799999995</v>
      </c>
      <c r="Y1106" s="2" t="s">
        <v>28</v>
      </c>
      <c r="Z1106" s="3">
        <f>VLOOKUP(Y1106, rmpce_reference!$B$1:$D$7,3,FALSE) * 89</f>
        <v>6230</v>
      </c>
      <c r="AA1106" s="1" t="str">
        <f>IF(Table1[rmpce_inr]&lt;=rmpce_reference!$F$2, "Low Income", IF(Table1[rmpce_inr]&lt;=rmpce_reference!$F$3, "Middle Income", "High Income"))</f>
        <v>Middle Income</v>
      </c>
    </row>
    <row r="1107" spans="1:27" x14ac:dyDescent="0.25">
      <c r="A1107">
        <v>6043</v>
      </c>
      <c r="B1107" t="s">
        <v>44</v>
      </c>
      <c r="C1107" t="s">
        <v>29</v>
      </c>
      <c r="D1107">
        <v>40</v>
      </c>
      <c r="E1107" t="s">
        <v>25</v>
      </c>
      <c r="F1107" t="s">
        <v>37</v>
      </c>
      <c r="G1107">
        <v>8</v>
      </c>
      <c r="H1107" s="1" t="str">
        <f>IF(Table1[[#This Row],[anxiety_score]]&lt;=10, "Normal", IF(Table1[[#This Row],[anxiety_score]]&lt;=20, "Moderate", IF(Table1[[#This Row],[anxiety_score]]&lt;=30, "Severe", "Extremely Severe")))</f>
        <v>Normal</v>
      </c>
      <c r="I1107">
        <v>-0.20924408999999999</v>
      </c>
      <c r="J1107">
        <v>6</v>
      </c>
      <c r="K1107" s="1" t="str">
        <f>IF(Table1[[#This Row],[stress_score]]&lt;=10, "Normal", IF(Table1[[#This Row],[stress_score]]&lt;=20, "Moderate", IF(Table1[[#This Row],[stress_score]]&lt;=30, "Severe", "Extremely Severe")))</f>
        <v>Normal</v>
      </c>
      <c r="L1107">
        <v>-0.57848745999999995</v>
      </c>
      <c r="M1107">
        <v>4</v>
      </c>
      <c r="N1107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107">
        <v>-0.72356116999999998</v>
      </c>
      <c r="P1107">
        <v>6</v>
      </c>
      <c r="Q1107">
        <f>ROUND(Table1[[#This Row],[dass21_raw_score]],0)</f>
        <v>6</v>
      </c>
      <c r="R1107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107">
        <v>-0.5037642</v>
      </c>
      <c r="T1107">
        <v>0.5911457</v>
      </c>
      <c r="U1107">
        <v>6666.6665000000003</v>
      </c>
      <c r="V1107" s="1">
        <f>ROUND(Table1[[#This Row],[fmpce]],0)</f>
        <v>6667</v>
      </c>
      <c r="W1107">
        <v>90.697760000000002</v>
      </c>
      <c r="X1107" s="4">
        <f>Table1[[#This Row],[mpce]]*89</f>
        <v>8072.1006400000006</v>
      </c>
      <c r="Y1107" s="2" t="s">
        <v>31</v>
      </c>
      <c r="Z1107" s="3">
        <f>VLOOKUP(Y1107, rmpce_reference!$B$1:$D$7,3,FALSE) * 89</f>
        <v>8010</v>
      </c>
      <c r="AA1107" s="1" t="str">
        <f>IF(Table1[rmpce_inr]&lt;=rmpce_reference!$F$2, "Low Income", IF(Table1[rmpce_inr]&lt;=rmpce_reference!$F$3, "Middle Income", "High Income"))</f>
        <v>High Income</v>
      </c>
    </row>
    <row r="1108" spans="1:27" x14ac:dyDescent="0.25">
      <c r="A1108">
        <v>6044</v>
      </c>
      <c r="B1108" t="s">
        <v>44</v>
      </c>
      <c r="C1108" t="s">
        <v>33</v>
      </c>
      <c r="D1108">
        <v>29</v>
      </c>
      <c r="E1108" t="s">
        <v>25</v>
      </c>
      <c r="F1108" t="s">
        <v>30</v>
      </c>
      <c r="G1108">
        <v>4</v>
      </c>
      <c r="H1108" s="1" t="str">
        <f>IF(Table1[[#This Row],[anxiety_score]]&lt;=10, "Normal", IF(Table1[[#This Row],[anxiety_score]]&lt;=20, "Moderate", IF(Table1[[#This Row],[anxiety_score]]&lt;=30, "Severe", "Extremely Severe")))</f>
        <v>Normal</v>
      </c>
      <c r="I1108">
        <v>-0.61133329999999997</v>
      </c>
      <c r="J1108">
        <v>10</v>
      </c>
      <c r="K1108" s="1" t="str">
        <f>IF(Table1[[#This Row],[stress_score]]&lt;=10, "Normal", IF(Table1[[#This Row],[stress_score]]&lt;=20, "Moderate", IF(Table1[[#This Row],[stress_score]]&lt;=30, "Severe", "Extremely Severe")))</f>
        <v>Normal</v>
      </c>
      <c r="L1108">
        <v>-0.18916494</v>
      </c>
      <c r="M1108">
        <v>6</v>
      </c>
      <c r="N1108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108">
        <v>-0.53092379999999995</v>
      </c>
      <c r="P1108">
        <v>6.6666664999999998</v>
      </c>
      <c r="Q1108">
        <f>ROUND(Table1[[#This Row],[dass21_raw_score]],0)</f>
        <v>7</v>
      </c>
      <c r="R1108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108">
        <v>-0.44380733</v>
      </c>
      <c r="T1108">
        <v>0.65110254000000001</v>
      </c>
      <c r="U1108">
        <v>7333.3334999999997</v>
      </c>
      <c r="V1108" s="1">
        <f>ROUND(Table1[[#This Row],[fmpce]],0)</f>
        <v>7333</v>
      </c>
      <c r="W1108">
        <v>99.76755</v>
      </c>
      <c r="X1108" s="4">
        <f>Table1[[#This Row],[mpce]]*89</f>
        <v>8879.3119499999993</v>
      </c>
      <c r="Y1108" s="2" t="s">
        <v>31</v>
      </c>
      <c r="Z1108" s="3">
        <f>VLOOKUP(Y1108, rmpce_reference!$B$1:$D$7,3,FALSE) * 89</f>
        <v>8010</v>
      </c>
      <c r="AA1108" s="1" t="str">
        <f>IF(Table1[rmpce_inr]&lt;=rmpce_reference!$F$2, "Low Income", IF(Table1[rmpce_inr]&lt;=rmpce_reference!$F$3, "Middle Income", "High Income"))</f>
        <v>High Income</v>
      </c>
    </row>
    <row r="1109" spans="1:27" x14ac:dyDescent="0.25">
      <c r="A1109">
        <v>6045</v>
      </c>
      <c r="B1109" t="s">
        <v>44</v>
      </c>
      <c r="C1109" t="s">
        <v>21</v>
      </c>
      <c r="D1109">
        <v>43</v>
      </c>
      <c r="E1109" t="s">
        <v>25</v>
      </c>
      <c r="F1109" t="s">
        <v>37</v>
      </c>
      <c r="G1109">
        <v>12</v>
      </c>
      <c r="H1109" s="1" t="str">
        <f>IF(Table1[[#This Row],[anxiety_score]]&lt;=10, "Normal", IF(Table1[[#This Row],[anxiety_score]]&lt;=20, "Moderate", IF(Table1[[#This Row],[anxiety_score]]&lt;=30, "Severe", "Extremely Severe")))</f>
        <v>Moderate</v>
      </c>
      <c r="I1109">
        <v>0.19284514999999999</v>
      </c>
      <c r="J1109">
        <v>10</v>
      </c>
      <c r="K1109" s="1" t="str">
        <f>IF(Table1[[#This Row],[stress_score]]&lt;=10, "Normal", IF(Table1[[#This Row],[stress_score]]&lt;=20, "Moderate", IF(Table1[[#This Row],[stress_score]]&lt;=30, "Severe", "Extremely Severe")))</f>
        <v>Normal</v>
      </c>
      <c r="L1109">
        <v>-0.18916494</v>
      </c>
      <c r="M1109">
        <v>10</v>
      </c>
      <c r="N1109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109">
        <v>-0.14564899000000001</v>
      </c>
      <c r="P1109">
        <v>10.666667</v>
      </c>
      <c r="Q1109">
        <f>ROUND(Table1[[#This Row],[dass21_raw_score]],0)</f>
        <v>11</v>
      </c>
      <c r="R1109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1109">
        <v>-4.7322925000000002E-2</v>
      </c>
      <c r="T1109">
        <v>1.047587</v>
      </c>
      <c r="U1109">
        <v>5000</v>
      </c>
      <c r="V1109" s="1">
        <f>ROUND(Table1[[#This Row],[fmpce]],0)</f>
        <v>5000</v>
      </c>
      <c r="W1109">
        <v>68.023319999999998</v>
      </c>
      <c r="X1109" s="4">
        <f>Table1[[#This Row],[mpce]]*89</f>
        <v>6054.0754799999995</v>
      </c>
      <c r="Y1109" s="2" t="s">
        <v>28</v>
      </c>
      <c r="Z1109" s="3">
        <f>VLOOKUP(Y1109, rmpce_reference!$B$1:$D$7,3,FALSE) * 89</f>
        <v>6230</v>
      </c>
      <c r="AA1109" s="1" t="str">
        <f>IF(Table1[rmpce_inr]&lt;=rmpce_reference!$F$2, "Low Income", IF(Table1[rmpce_inr]&lt;=rmpce_reference!$F$3, "Middle Income", "High Income"))</f>
        <v>Middle Income</v>
      </c>
    </row>
    <row r="1110" spans="1:27" x14ac:dyDescent="0.25">
      <c r="A1110">
        <v>6046</v>
      </c>
      <c r="B1110" t="s">
        <v>44</v>
      </c>
      <c r="C1110" t="s">
        <v>33</v>
      </c>
      <c r="D1110">
        <v>30</v>
      </c>
      <c r="E1110" t="s">
        <v>25</v>
      </c>
      <c r="F1110" t="s">
        <v>23</v>
      </c>
      <c r="G1110">
        <v>2</v>
      </c>
      <c r="H1110" s="1" t="str">
        <f>IF(Table1[[#This Row],[anxiety_score]]&lt;=10, "Normal", IF(Table1[[#This Row],[anxiety_score]]&lt;=20, "Moderate", IF(Table1[[#This Row],[anxiety_score]]&lt;=30, "Severe", "Extremely Severe")))</f>
        <v>Normal</v>
      </c>
      <c r="I1110">
        <v>-0.81237789999999999</v>
      </c>
      <c r="J1110">
        <v>8</v>
      </c>
      <c r="K1110" s="1" t="str">
        <f>IF(Table1[[#This Row],[stress_score]]&lt;=10, "Normal", IF(Table1[[#This Row],[stress_score]]&lt;=20, "Moderate", IF(Table1[[#This Row],[stress_score]]&lt;=30, "Severe", "Extremely Severe")))</f>
        <v>Normal</v>
      </c>
      <c r="L1110">
        <v>-0.38382620000000001</v>
      </c>
      <c r="M1110">
        <v>6</v>
      </c>
      <c r="N1110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110">
        <v>-0.53092379999999995</v>
      </c>
      <c r="P1110">
        <v>5.3333335000000002</v>
      </c>
      <c r="Q1110">
        <f>ROUND(Table1[[#This Row],[dass21_raw_score]],0)</f>
        <v>5</v>
      </c>
      <c r="R1110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110">
        <v>-0.57570929999999998</v>
      </c>
      <c r="T1110">
        <v>0.51920060000000001</v>
      </c>
      <c r="U1110">
        <v>6666.6665000000003</v>
      </c>
      <c r="V1110" s="1">
        <f>ROUND(Table1[[#This Row],[fmpce]],0)</f>
        <v>6667</v>
      </c>
      <c r="W1110">
        <v>90.697760000000002</v>
      </c>
      <c r="X1110" s="4">
        <f>Table1[[#This Row],[mpce]]*89</f>
        <v>8072.1006400000006</v>
      </c>
      <c r="Y1110" s="2" t="s">
        <v>31</v>
      </c>
      <c r="Z1110" s="3">
        <f>VLOOKUP(Y1110, rmpce_reference!$B$1:$D$7,3,FALSE) * 89</f>
        <v>8010</v>
      </c>
      <c r="AA1110" s="1" t="str">
        <f>IF(Table1[rmpce_inr]&lt;=rmpce_reference!$F$2, "Low Income", IF(Table1[rmpce_inr]&lt;=rmpce_reference!$F$3, "Middle Income", "High Income"))</f>
        <v>High Income</v>
      </c>
    </row>
    <row r="1111" spans="1:27" x14ac:dyDescent="0.25">
      <c r="A1111">
        <v>6047</v>
      </c>
      <c r="B1111" t="s">
        <v>44</v>
      </c>
      <c r="C1111" t="s">
        <v>33</v>
      </c>
      <c r="D1111">
        <v>25</v>
      </c>
      <c r="E1111" t="s">
        <v>25</v>
      </c>
      <c r="F1111" t="s">
        <v>30</v>
      </c>
      <c r="G1111">
        <v>4</v>
      </c>
      <c r="H1111" s="1" t="str">
        <f>IF(Table1[[#This Row],[anxiety_score]]&lt;=10, "Normal", IF(Table1[[#This Row],[anxiety_score]]&lt;=20, "Moderate", IF(Table1[[#This Row],[anxiety_score]]&lt;=30, "Severe", "Extremely Severe")))</f>
        <v>Normal</v>
      </c>
      <c r="I1111">
        <v>-0.61133329999999997</v>
      </c>
      <c r="J1111">
        <v>8</v>
      </c>
      <c r="K1111" s="1" t="str">
        <f>IF(Table1[[#This Row],[stress_score]]&lt;=10, "Normal", IF(Table1[[#This Row],[stress_score]]&lt;=20, "Moderate", IF(Table1[[#This Row],[stress_score]]&lt;=30, "Severe", "Extremely Severe")))</f>
        <v>Normal</v>
      </c>
      <c r="L1111">
        <v>-0.38382620000000001</v>
      </c>
      <c r="M1111">
        <v>8</v>
      </c>
      <c r="N1111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111">
        <v>-0.33828637</v>
      </c>
      <c r="P1111">
        <v>6.6666664999999998</v>
      </c>
      <c r="Q1111">
        <f>ROUND(Table1[[#This Row],[dass21_raw_score]],0)</f>
        <v>7</v>
      </c>
      <c r="R1111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111">
        <v>-0.44448197</v>
      </c>
      <c r="T1111">
        <v>0.65042794000000004</v>
      </c>
      <c r="U1111">
        <v>3600</v>
      </c>
      <c r="V1111" s="1">
        <f>ROUND(Table1[[#This Row],[fmpce]],0)</f>
        <v>3600</v>
      </c>
      <c r="W1111">
        <v>48.976790000000001</v>
      </c>
      <c r="X1111" s="4">
        <f>Table1[[#This Row],[mpce]]*89</f>
        <v>4358.9343100000006</v>
      </c>
      <c r="Y1111" s="2" t="s">
        <v>32</v>
      </c>
      <c r="Z1111" s="3">
        <f>VLOOKUP(Y1111, rmpce_reference!$B$1:$D$7,3,FALSE) * 89</f>
        <v>4450</v>
      </c>
      <c r="AA1111" s="1" t="str">
        <f>IF(Table1[rmpce_inr]&lt;=rmpce_reference!$F$2, "Low Income", IF(Table1[rmpce_inr]&lt;=rmpce_reference!$F$3, "Middle Income", "High Income"))</f>
        <v>Low Income</v>
      </c>
    </row>
    <row r="1112" spans="1:27" x14ac:dyDescent="0.25">
      <c r="A1112">
        <v>6048</v>
      </c>
      <c r="B1112" t="s">
        <v>44</v>
      </c>
      <c r="C1112" t="s">
        <v>29</v>
      </c>
      <c r="D1112">
        <v>32</v>
      </c>
      <c r="E1112" t="s">
        <v>25</v>
      </c>
      <c r="F1112" t="s">
        <v>26</v>
      </c>
      <c r="G1112">
        <v>6</v>
      </c>
      <c r="H1112" s="1" t="str">
        <f>IF(Table1[[#This Row],[anxiety_score]]&lt;=10, "Normal", IF(Table1[[#This Row],[anxiety_score]]&lt;=20, "Moderate", IF(Table1[[#This Row],[anxiety_score]]&lt;=30, "Severe", "Extremely Severe")))</f>
        <v>Normal</v>
      </c>
      <c r="I1112">
        <v>-0.41028870000000001</v>
      </c>
      <c r="J1112">
        <v>12</v>
      </c>
      <c r="K1112" s="1" t="str">
        <f>IF(Table1[[#This Row],[stress_score]]&lt;=10, "Normal", IF(Table1[[#This Row],[stress_score]]&lt;=20, "Moderate", IF(Table1[[#This Row],[stress_score]]&lt;=30, "Severe", "Extremely Severe")))</f>
        <v>Moderate</v>
      </c>
      <c r="L1112">
        <v>5.496318E-3</v>
      </c>
      <c r="M1112">
        <v>6</v>
      </c>
      <c r="N1112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112">
        <v>-0.53092379999999995</v>
      </c>
      <c r="P1112">
        <v>8</v>
      </c>
      <c r="Q1112">
        <f>ROUND(Table1[[#This Row],[dass21_raw_score]],0)</f>
        <v>8</v>
      </c>
      <c r="R1112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112">
        <v>-0.31190538000000001</v>
      </c>
      <c r="T1112">
        <v>0.78300449999999999</v>
      </c>
      <c r="U1112">
        <v>2400</v>
      </c>
      <c r="V1112" s="1">
        <f>ROUND(Table1[[#This Row],[fmpce]],0)</f>
        <v>2400</v>
      </c>
      <c r="W1112">
        <v>32.651195999999999</v>
      </c>
      <c r="X1112" s="4">
        <f>Table1[[#This Row],[mpce]]*89</f>
        <v>2905.9564439999999</v>
      </c>
      <c r="Y1112" s="2" t="s">
        <v>34</v>
      </c>
      <c r="Z1112" s="3">
        <f>VLOOKUP(Y1112, rmpce_reference!$B$1:$D$7,3,FALSE) * 89</f>
        <v>2848</v>
      </c>
      <c r="AA1112" s="1" t="str">
        <f>IF(Table1[rmpce_inr]&lt;=rmpce_reference!$F$2, "Low Income", IF(Table1[rmpce_inr]&lt;=rmpce_reference!$F$3, "Middle Income", "High Income"))</f>
        <v>Low Income</v>
      </c>
    </row>
    <row r="1113" spans="1:27" x14ac:dyDescent="0.25">
      <c r="A1113">
        <v>6049</v>
      </c>
      <c r="B1113" t="s">
        <v>44</v>
      </c>
      <c r="C1113" t="s">
        <v>29</v>
      </c>
      <c r="D1113">
        <v>35</v>
      </c>
      <c r="E1113" t="s">
        <v>22</v>
      </c>
      <c r="F1113" t="s">
        <v>23</v>
      </c>
      <c r="G1113">
        <v>12</v>
      </c>
      <c r="H1113" s="1" t="str">
        <f>IF(Table1[[#This Row],[anxiety_score]]&lt;=10, "Normal", IF(Table1[[#This Row],[anxiety_score]]&lt;=20, "Moderate", IF(Table1[[#This Row],[anxiety_score]]&lt;=30, "Severe", "Extremely Severe")))</f>
        <v>Moderate</v>
      </c>
      <c r="I1113">
        <v>0.19284514999999999</v>
      </c>
      <c r="J1113">
        <v>6</v>
      </c>
      <c r="K1113" s="1" t="str">
        <f>IF(Table1[[#This Row],[stress_score]]&lt;=10, "Normal", IF(Table1[[#This Row],[stress_score]]&lt;=20, "Moderate", IF(Table1[[#This Row],[stress_score]]&lt;=30, "Severe", "Extremely Severe")))</f>
        <v>Normal</v>
      </c>
      <c r="L1113">
        <v>-0.57848745999999995</v>
      </c>
      <c r="M1113">
        <v>10</v>
      </c>
      <c r="N1113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113">
        <v>-0.14564899000000001</v>
      </c>
      <c r="P1113">
        <v>9.3333329999999997</v>
      </c>
      <c r="Q1113">
        <f>ROUND(Table1[[#This Row],[dass21_raw_score]],0)</f>
        <v>9</v>
      </c>
      <c r="R1113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113">
        <v>-0.17709710000000001</v>
      </c>
      <c r="T1113">
        <v>0.91781279999999998</v>
      </c>
      <c r="U1113">
        <v>4166.6665000000003</v>
      </c>
      <c r="V1113" s="1">
        <f>ROUND(Table1[[#This Row],[fmpce]],0)</f>
        <v>4167</v>
      </c>
      <c r="W1113">
        <v>56.686100000000003</v>
      </c>
      <c r="X1113" s="4">
        <f>Table1[[#This Row],[mpce]]*89</f>
        <v>5045.0628999999999</v>
      </c>
      <c r="Y1113" s="2" t="s">
        <v>32</v>
      </c>
      <c r="Z1113" s="3">
        <f>VLOOKUP(Y1113, rmpce_reference!$B$1:$D$7,3,FALSE) * 89</f>
        <v>4450</v>
      </c>
      <c r="AA1113" s="1" t="str">
        <f>IF(Table1[rmpce_inr]&lt;=rmpce_reference!$F$2, "Low Income", IF(Table1[rmpce_inr]&lt;=rmpce_reference!$F$3, "Middle Income", "High Income"))</f>
        <v>Low Income</v>
      </c>
    </row>
    <row r="1114" spans="1:27" x14ac:dyDescent="0.25">
      <c r="A1114">
        <v>6050</v>
      </c>
      <c r="B1114" t="s">
        <v>44</v>
      </c>
      <c r="C1114" t="s">
        <v>29</v>
      </c>
      <c r="D1114">
        <v>38</v>
      </c>
      <c r="E1114" t="s">
        <v>25</v>
      </c>
      <c r="F1114" t="s">
        <v>30</v>
      </c>
      <c r="G1114">
        <v>2</v>
      </c>
      <c r="H1114" s="1" t="str">
        <f>IF(Table1[[#This Row],[anxiety_score]]&lt;=10, "Normal", IF(Table1[[#This Row],[anxiety_score]]&lt;=20, "Moderate", IF(Table1[[#This Row],[anxiety_score]]&lt;=30, "Severe", "Extremely Severe")))</f>
        <v>Normal</v>
      </c>
      <c r="I1114">
        <v>-0.81237789999999999</v>
      </c>
      <c r="J1114">
        <v>4</v>
      </c>
      <c r="K1114" s="1" t="str">
        <f>IF(Table1[[#This Row],[stress_score]]&lt;=10, "Normal", IF(Table1[[#This Row],[stress_score]]&lt;=20, "Moderate", IF(Table1[[#This Row],[stress_score]]&lt;=30, "Severe", "Extremely Severe")))</f>
        <v>Normal</v>
      </c>
      <c r="L1114">
        <v>-0.77314866000000004</v>
      </c>
      <c r="M1114">
        <v>6</v>
      </c>
      <c r="N1114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114">
        <v>-0.53092379999999995</v>
      </c>
      <c r="P1114">
        <v>4</v>
      </c>
      <c r="Q1114">
        <f>ROUND(Table1[[#This Row],[dass21_raw_score]],0)</f>
        <v>4</v>
      </c>
      <c r="R1114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114">
        <v>-0.70548343999999996</v>
      </c>
      <c r="T1114">
        <v>0.38942647000000002</v>
      </c>
      <c r="U1114">
        <v>7500</v>
      </c>
      <c r="V1114" s="1">
        <f>ROUND(Table1[[#This Row],[fmpce]],0)</f>
        <v>7500</v>
      </c>
      <c r="W1114">
        <v>102.03498999999999</v>
      </c>
      <c r="X1114" s="4">
        <f>Table1[[#This Row],[mpce]]*89</f>
        <v>9081.1141099999986</v>
      </c>
      <c r="Y1114" s="2" t="s">
        <v>35</v>
      </c>
      <c r="Z1114" s="3">
        <f>VLOOKUP(Y1114, rmpce_reference!$B$1:$D$7,3,FALSE) * 89</f>
        <v>9790</v>
      </c>
      <c r="AA1114" s="1" t="str">
        <f>IF(Table1[rmpce_inr]&lt;=rmpce_reference!$F$2, "Low Income", IF(Table1[rmpce_inr]&lt;=rmpce_reference!$F$3, "Middle Income", "High Income"))</f>
        <v>High Income</v>
      </c>
    </row>
    <row r="1115" spans="1:27" x14ac:dyDescent="0.25">
      <c r="A1115">
        <v>6051</v>
      </c>
      <c r="B1115" t="s">
        <v>44</v>
      </c>
      <c r="C1115" t="s">
        <v>33</v>
      </c>
      <c r="D1115">
        <v>30</v>
      </c>
      <c r="E1115" t="s">
        <v>25</v>
      </c>
      <c r="F1115" t="s">
        <v>26</v>
      </c>
      <c r="G1115">
        <v>8</v>
      </c>
      <c r="H1115" s="1" t="str">
        <f>IF(Table1[[#This Row],[anxiety_score]]&lt;=10, "Normal", IF(Table1[[#This Row],[anxiety_score]]&lt;=20, "Moderate", IF(Table1[[#This Row],[anxiety_score]]&lt;=30, "Severe", "Extremely Severe")))</f>
        <v>Normal</v>
      </c>
      <c r="I1115">
        <v>-0.20924408999999999</v>
      </c>
      <c r="J1115">
        <v>10</v>
      </c>
      <c r="K1115" s="1" t="str">
        <f>IF(Table1[[#This Row],[stress_score]]&lt;=10, "Normal", IF(Table1[[#This Row],[stress_score]]&lt;=20, "Moderate", IF(Table1[[#This Row],[stress_score]]&lt;=30, "Severe", "Extremely Severe")))</f>
        <v>Normal</v>
      </c>
      <c r="L1115">
        <v>-0.18916494</v>
      </c>
      <c r="M1115">
        <v>4</v>
      </c>
      <c r="N1115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115">
        <v>-0.72356116999999998</v>
      </c>
      <c r="P1115">
        <v>7.3333335000000002</v>
      </c>
      <c r="Q1115">
        <f>ROUND(Table1[[#This Row],[dass21_raw_score]],0)</f>
        <v>7</v>
      </c>
      <c r="R1115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115">
        <v>-0.37399006000000001</v>
      </c>
      <c r="T1115">
        <v>0.72091985000000003</v>
      </c>
      <c r="U1115">
        <v>3200</v>
      </c>
      <c r="V1115" s="1">
        <f>ROUND(Table1[[#This Row],[fmpce]],0)</f>
        <v>3200</v>
      </c>
      <c r="W1115">
        <v>43.534927000000003</v>
      </c>
      <c r="X1115" s="4">
        <f>Table1[[#This Row],[mpce]]*89</f>
        <v>3874.6085030000004</v>
      </c>
      <c r="Y1115" s="2" t="s">
        <v>32</v>
      </c>
      <c r="Z1115" s="3">
        <f>VLOOKUP(Y1115, rmpce_reference!$B$1:$D$7,3,FALSE) * 89</f>
        <v>4450</v>
      </c>
      <c r="AA1115" s="1" t="str">
        <f>IF(Table1[rmpce_inr]&lt;=rmpce_reference!$F$2, "Low Income", IF(Table1[rmpce_inr]&lt;=rmpce_reference!$F$3, "Middle Income", "High Income"))</f>
        <v>Low Income</v>
      </c>
    </row>
    <row r="1116" spans="1:27" x14ac:dyDescent="0.25">
      <c r="A1116">
        <v>6052</v>
      </c>
      <c r="B1116" t="s">
        <v>44</v>
      </c>
      <c r="C1116" t="s">
        <v>33</v>
      </c>
      <c r="D1116">
        <v>25</v>
      </c>
      <c r="E1116" t="s">
        <v>25</v>
      </c>
      <c r="F1116" t="s">
        <v>30</v>
      </c>
      <c r="G1116">
        <v>14</v>
      </c>
      <c r="H1116" s="1" t="str">
        <f>IF(Table1[[#This Row],[anxiety_score]]&lt;=10, "Normal", IF(Table1[[#This Row],[anxiety_score]]&lt;=20, "Moderate", IF(Table1[[#This Row],[anxiety_score]]&lt;=30, "Severe", "Extremely Severe")))</f>
        <v>Moderate</v>
      </c>
      <c r="I1116">
        <v>0.39388975999999998</v>
      </c>
      <c r="J1116">
        <v>10</v>
      </c>
      <c r="K1116" s="1" t="str">
        <f>IF(Table1[[#This Row],[stress_score]]&lt;=10, "Normal", IF(Table1[[#This Row],[stress_score]]&lt;=20, "Moderate", IF(Table1[[#This Row],[stress_score]]&lt;=30, "Severe", "Extremely Severe")))</f>
        <v>Normal</v>
      </c>
      <c r="L1116">
        <v>-0.18916494</v>
      </c>
      <c r="M1116">
        <v>12</v>
      </c>
      <c r="N1116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1116">
        <v>4.6988415999999998E-2</v>
      </c>
      <c r="P1116">
        <v>12</v>
      </c>
      <c r="Q1116">
        <f>ROUND(Table1[[#This Row],[dass21_raw_score]],0)</f>
        <v>12</v>
      </c>
      <c r="R1116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1116">
        <v>8.3904414999999996E-2</v>
      </c>
      <c r="T1116">
        <v>1.1788143</v>
      </c>
      <c r="U1116">
        <v>3750</v>
      </c>
      <c r="V1116" s="1">
        <f>ROUND(Table1[[#This Row],[fmpce]],0)</f>
        <v>3750</v>
      </c>
      <c r="W1116">
        <v>51.017493999999999</v>
      </c>
      <c r="X1116" s="4">
        <f>Table1[[#This Row],[mpce]]*89</f>
        <v>4540.5569660000001</v>
      </c>
      <c r="Y1116" s="2" t="s">
        <v>32</v>
      </c>
      <c r="Z1116" s="3">
        <f>VLOOKUP(Y1116, rmpce_reference!$B$1:$D$7,3,FALSE) * 89</f>
        <v>4450</v>
      </c>
      <c r="AA1116" s="1" t="str">
        <f>IF(Table1[rmpce_inr]&lt;=rmpce_reference!$F$2, "Low Income", IF(Table1[rmpce_inr]&lt;=rmpce_reference!$F$3, "Middle Income", "High Income"))</f>
        <v>Low Income</v>
      </c>
    </row>
    <row r="1117" spans="1:27" x14ac:dyDescent="0.25">
      <c r="A1117">
        <v>6053</v>
      </c>
      <c r="B1117" t="s">
        <v>44</v>
      </c>
      <c r="C1117" t="s">
        <v>33</v>
      </c>
      <c r="D1117">
        <v>25</v>
      </c>
      <c r="E1117" t="s">
        <v>25</v>
      </c>
      <c r="F1117" t="s">
        <v>30</v>
      </c>
      <c r="G1117">
        <v>4</v>
      </c>
      <c r="H1117" s="1" t="str">
        <f>IF(Table1[[#This Row],[anxiety_score]]&lt;=10, "Normal", IF(Table1[[#This Row],[anxiety_score]]&lt;=20, "Moderate", IF(Table1[[#This Row],[anxiety_score]]&lt;=30, "Severe", "Extremely Severe")))</f>
        <v>Normal</v>
      </c>
      <c r="I1117">
        <v>-0.61133329999999997</v>
      </c>
      <c r="J1117">
        <v>12</v>
      </c>
      <c r="K1117" s="1" t="str">
        <f>IF(Table1[[#This Row],[stress_score]]&lt;=10, "Normal", IF(Table1[[#This Row],[stress_score]]&lt;=20, "Moderate", IF(Table1[[#This Row],[stress_score]]&lt;=30, "Severe", "Extremely Severe")))</f>
        <v>Moderate</v>
      </c>
      <c r="L1117">
        <v>5.496318E-3</v>
      </c>
      <c r="M1117">
        <v>6</v>
      </c>
      <c r="N1117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117">
        <v>-0.53092379999999995</v>
      </c>
      <c r="P1117">
        <v>7.3333335000000002</v>
      </c>
      <c r="Q1117">
        <f>ROUND(Table1[[#This Row],[dass21_raw_score]],0)</f>
        <v>7</v>
      </c>
      <c r="R1117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117">
        <v>-0.37892026000000001</v>
      </c>
      <c r="T1117">
        <v>0.71598965000000003</v>
      </c>
      <c r="U1117">
        <v>4000</v>
      </c>
      <c r="V1117" s="1">
        <f>ROUND(Table1[[#This Row],[fmpce]],0)</f>
        <v>4000</v>
      </c>
      <c r="W1117">
        <v>54.418660000000003</v>
      </c>
      <c r="X1117" s="4">
        <f>Table1[[#This Row],[mpce]]*89</f>
        <v>4843.2607400000006</v>
      </c>
      <c r="Y1117" s="2" t="s">
        <v>32</v>
      </c>
      <c r="Z1117" s="3">
        <f>VLOOKUP(Y1117, rmpce_reference!$B$1:$D$7,3,FALSE) * 89</f>
        <v>4450</v>
      </c>
      <c r="AA1117" s="1" t="str">
        <f>IF(Table1[rmpce_inr]&lt;=rmpce_reference!$F$2, "Low Income", IF(Table1[rmpce_inr]&lt;=rmpce_reference!$F$3, "Middle Income", "High Income"))</f>
        <v>Low Income</v>
      </c>
    </row>
    <row r="1118" spans="1:27" x14ac:dyDescent="0.25">
      <c r="A1118">
        <v>6054</v>
      </c>
      <c r="B1118" t="s">
        <v>44</v>
      </c>
      <c r="C1118" t="s">
        <v>29</v>
      </c>
      <c r="D1118">
        <v>31</v>
      </c>
      <c r="E1118" t="s">
        <v>25</v>
      </c>
      <c r="F1118" t="s">
        <v>26</v>
      </c>
      <c r="G1118">
        <v>6</v>
      </c>
      <c r="H1118" s="1" t="str">
        <f>IF(Table1[[#This Row],[anxiety_score]]&lt;=10, "Normal", IF(Table1[[#This Row],[anxiety_score]]&lt;=20, "Moderate", IF(Table1[[#This Row],[anxiety_score]]&lt;=30, "Severe", "Extremely Severe")))</f>
        <v>Normal</v>
      </c>
      <c r="I1118">
        <v>-0.41028870000000001</v>
      </c>
      <c r="J1118">
        <v>10</v>
      </c>
      <c r="K1118" s="1" t="str">
        <f>IF(Table1[[#This Row],[stress_score]]&lt;=10, "Normal", IF(Table1[[#This Row],[stress_score]]&lt;=20, "Moderate", IF(Table1[[#This Row],[stress_score]]&lt;=30, "Severe", "Extremely Severe")))</f>
        <v>Normal</v>
      </c>
      <c r="L1118">
        <v>-0.18916494</v>
      </c>
      <c r="M1118">
        <v>8</v>
      </c>
      <c r="N1118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118">
        <v>-0.33828637</v>
      </c>
      <c r="P1118">
        <v>8</v>
      </c>
      <c r="Q1118">
        <f>ROUND(Table1[[#This Row],[dass21_raw_score]],0)</f>
        <v>8</v>
      </c>
      <c r="R1118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118">
        <v>-0.31258000000000002</v>
      </c>
      <c r="T1118">
        <v>0.78232990000000002</v>
      </c>
      <c r="U1118">
        <v>2000</v>
      </c>
      <c r="V1118" s="1">
        <f>ROUND(Table1[[#This Row],[fmpce]],0)</f>
        <v>2000</v>
      </c>
      <c r="W1118">
        <v>27.209330000000001</v>
      </c>
      <c r="X1118" s="4">
        <f>Table1[[#This Row],[mpce]]*89</f>
        <v>2421.6303700000003</v>
      </c>
      <c r="Y1118" s="2" t="s">
        <v>34</v>
      </c>
      <c r="Z1118" s="3">
        <f>VLOOKUP(Y1118, rmpce_reference!$B$1:$D$7,3,FALSE) * 89</f>
        <v>2848</v>
      </c>
      <c r="AA1118" s="1" t="str">
        <f>IF(Table1[rmpce_inr]&lt;=rmpce_reference!$F$2, "Low Income", IF(Table1[rmpce_inr]&lt;=rmpce_reference!$F$3, "Middle Income", "High Income"))</f>
        <v>Low Income</v>
      </c>
    </row>
    <row r="1119" spans="1:27" x14ac:dyDescent="0.25">
      <c r="A1119">
        <v>6055</v>
      </c>
      <c r="B1119" t="s">
        <v>44</v>
      </c>
      <c r="C1119" t="s">
        <v>29</v>
      </c>
      <c r="D1119">
        <v>31</v>
      </c>
      <c r="E1119" t="s">
        <v>25</v>
      </c>
      <c r="F1119" t="s">
        <v>26</v>
      </c>
      <c r="G1119">
        <v>4</v>
      </c>
      <c r="H1119" s="1" t="str">
        <f>IF(Table1[[#This Row],[anxiety_score]]&lt;=10, "Normal", IF(Table1[[#This Row],[anxiety_score]]&lt;=20, "Moderate", IF(Table1[[#This Row],[anxiety_score]]&lt;=30, "Severe", "Extremely Severe")))</f>
        <v>Normal</v>
      </c>
      <c r="I1119">
        <v>-0.61133329999999997</v>
      </c>
      <c r="J1119">
        <v>14</v>
      </c>
      <c r="K1119" s="1" t="str">
        <f>IF(Table1[[#This Row],[stress_score]]&lt;=10, "Normal", IF(Table1[[#This Row],[stress_score]]&lt;=20, "Moderate", IF(Table1[[#This Row],[stress_score]]&lt;=30, "Severe", "Extremely Severe")))</f>
        <v>Moderate</v>
      </c>
      <c r="L1119">
        <v>0.20015757000000001</v>
      </c>
      <c r="M1119">
        <v>8</v>
      </c>
      <c r="N1119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119">
        <v>-0.33828637</v>
      </c>
      <c r="P1119">
        <v>8.6666670000000003</v>
      </c>
      <c r="Q1119">
        <f>ROUND(Table1[[#This Row],[dass21_raw_score]],0)</f>
        <v>9</v>
      </c>
      <c r="R1119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119">
        <v>-0.24982071</v>
      </c>
      <c r="T1119">
        <v>0.84508919999999998</v>
      </c>
      <c r="U1119">
        <v>5000</v>
      </c>
      <c r="V1119" s="1">
        <f>ROUND(Table1[[#This Row],[fmpce]],0)</f>
        <v>5000</v>
      </c>
      <c r="W1119">
        <v>68.023319999999998</v>
      </c>
      <c r="X1119" s="4">
        <f>Table1[[#This Row],[mpce]]*89</f>
        <v>6054.0754799999995</v>
      </c>
      <c r="Y1119" s="2" t="s">
        <v>28</v>
      </c>
      <c r="Z1119" s="3">
        <f>VLOOKUP(Y1119, rmpce_reference!$B$1:$D$7,3,FALSE) * 89</f>
        <v>6230</v>
      </c>
      <c r="AA1119" s="1" t="str">
        <f>IF(Table1[rmpce_inr]&lt;=rmpce_reference!$F$2, "Low Income", IF(Table1[rmpce_inr]&lt;=rmpce_reference!$F$3, "Middle Income", "High Income"))</f>
        <v>Middle Income</v>
      </c>
    </row>
    <row r="1120" spans="1:27" x14ac:dyDescent="0.25">
      <c r="A1120">
        <v>6056</v>
      </c>
      <c r="B1120" t="s">
        <v>44</v>
      </c>
      <c r="C1120" t="s">
        <v>29</v>
      </c>
      <c r="D1120">
        <v>40</v>
      </c>
      <c r="E1120" t="s">
        <v>25</v>
      </c>
      <c r="F1120" t="s">
        <v>26</v>
      </c>
      <c r="G1120">
        <v>10</v>
      </c>
      <c r="H1120" s="1" t="str">
        <f>IF(Table1[[#This Row],[anxiety_score]]&lt;=10, "Normal", IF(Table1[[#This Row],[anxiety_score]]&lt;=20, "Moderate", IF(Table1[[#This Row],[anxiety_score]]&lt;=30, "Severe", "Extremely Severe")))</f>
        <v>Normal</v>
      </c>
      <c r="I1120">
        <v>-8.1994660000000007E-3</v>
      </c>
      <c r="J1120">
        <v>8</v>
      </c>
      <c r="K1120" s="1" t="str">
        <f>IF(Table1[[#This Row],[stress_score]]&lt;=10, "Normal", IF(Table1[[#This Row],[stress_score]]&lt;=20, "Moderate", IF(Table1[[#This Row],[stress_score]]&lt;=30, "Severe", "Extremely Severe")))</f>
        <v>Normal</v>
      </c>
      <c r="L1120">
        <v>-0.38382620000000001</v>
      </c>
      <c r="M1120">
        <v>4</v>
      </c>
      <c r="N1120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120">
        <v>-0.72356116999999998</v>
      </c>
      <c r="P1120">
        <v>7.3333335000000002</v>
      </c>
      <c r="Q1120">
        <f>ROUND(Table1[[#This Row],[dass21_raw_score]],0)</f>
        <v>7</v>
      </c>
      <c r="R1120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120">
        <v>-0.37186226</v>
      </c>
      <c r="T1120">
        <v>0.72304760000000001</v>
      </c>
      <c r="U1120">
        <v>2000</v>
      </c>
      <c r="V1120" s="1">
        <f>ROUND(Table1[[#This Row],[fmpce]],0)</f>
        <v>2000</v>
      </c>
      <c r="W1120">
        <v>27.209330000000001</v>
      </c>
      <c r="X1120" s="4">
        <f>Table1[[#This Row],[mpce]]*89</f>
        <v>2421.6303700000003</v>
      </c>
      <c r="Y1120" s="2" t="s">
        <v>34</v>
      </c>
      <c r="Z1120" s="3">
        <f>VLOOKUP(Y1120, rmpce_reference!$B$1:$D$7,3,FALSE) * 89</f>
        <v>2848</v>
      </c>
      <c r="AA1120" s="1" t="str">
        <f>IF(Table1[rmpce_inr]&lt;=rmpce_reference!$F$2, "Low Income", IF(Table1[rmpce_inr]&lt;=rmpce_reference!$F$3, "Middle Income", "High Income"))</f>
        <v>Low Income</v>
      </c>
    </row>
    <row r="1121" spans="1:27" x14ac:dyDescent="0.25">
      <c r="A1121">
        <v>6057</v>
      </c>
      <c r="B1121" t="s">
        <v>44</v>
      </c>
      <c r="C1121" t="s">
        <v>21</v>
      </c>
      <c r="D1121">
        <v>41</v>
      </c>
      <c r="E1121" t="s">
        <v>25</v>
      </c>
      <c r="F1121" t="s">
        <v>30</v>
      </c>
      <c r="G1121">
        <v>8</v>
      </c>
      <c r="H1121" s="1" t="str">
        <f>IF(Table1[[#This Row],[anxiety_score]]&lt;=10, "Normal", IF(Table1[[#This Row],[anxiety_score]]&lt;=20, "Moderate", IF(Table1[[#This Row],[anxiety_score]]&lt;=30, "Severe", "Extremely Severe")))</f>
        <v>Normal</v>
      </c>
      <c r="I1121">
        <v>-0.20924408999999999</v>
      </c>
      <c r="J1121">
        <v>10</v>
      </c>
      <c r="K1121" s="1" t="str">
        <f>IF(Table1[[#This Row],[stress_score]]&lt;=10, "Normal", IF(Table1[[#This Row],[stress_score]]&lt;=20, "Moderate", IF(Table1[[#This Row],[stress_score]]&lt;=30, "Severe", "Extremely Severe")))</f>
        <v>Normal</v>
      </c>
      <c r="L1121">
        <v>-0.18916494</v>
      </c>
      <c r="M1121">
        <v>6</v>
      </c>
      <c r="N1121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121">
        <v>-0.53092379999999995</v>
      </c>
      <c r="P1121">
        <v>8</v>
      </c>
      <c r="Q1121">
        <f>ROUND(Table1[[#This Row],[dass21_raw_score]],0)</f>
        <v>8</v>
      </c>
      <c r="R1121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121">
        <v>-0.30977761999999998</v>
      </c>
      <c r="T1121">
        <v>0.78513230000000001</v>
      </c>
      <c r="U1121">
        <v>2000</v>
      </c>
      <c r="V1121" s="1">
        <f>ROUND(Table1[[#This Row],[fmpce]],0)</f>
        <v>2000</v>
      </c>
      <c r="W1121">
        <v>27.209330000000001</v>
      </c>
      <c r="X1121" s="4">
        <f>Table1[[#This Row],[mpce]]*89</f>
        <v>2421.6303700000003</v>
      </c>
      <c r="Y1121" s="2" t="s">
        <v>34</v>
      </c>
      <c r="Z1121" s="3">
        <f>VLOOKUP(Y1121, rmpce_reference!$B$1:$D$7,3,FALSE) * 89</f>
        <v>2848</v>
      </c>
      <c r="AA1121" s="1" t="str">
        <f>IF(Table1[rmpce_inr]&lt;=rmpce_reference!$F$2, "Low Income", IF(Table1[rmpce_inr]&lt;=rmpce_reference!$F$3, "Middle Income", "High Income"))</f>
        <v>Low Income</v>
      </c>
    </row>
    <row r="1122" spans="1:27" x14ac:dyDescent="0.25">
      <c r="A1122">
        <v>6058</v>
      </c>
      <c r="B1122" t="s">
        <v>44</v>
      </c>
      <c r="C1122" t="s">
        <v>33</v>
      </c>
      <c r="D1122">
        <v>27</v>
      </c>
      <c r="E1122" t="s">
        <v>22</v>
      </c>
      <c r="F1122" t="s">
        <v>30</v>
      </c>
      <c r="G1122">
        <v>34</v>
      </c>
      <c r="H1122" s="1" t="str">
        <f>IF(Table1[[#This Row],[anxiety_score]]&lt;=10, "Normal", IF(Table1[[#This Row],[anxiety_score]]&lt;=20, "Moderate", IF(Table1[[#This Row],[anxiety_score]]&lt;=30, "Severe", "Extremely Severe")))</f>
        <v>Extremely Severe</v>
      </c>
      <c r="I1122">
        <v>2.4043359999999998</v>
      </c>
      <c r="J1122">
        <v>36</v>
      </c>
      <c r="K1122" s="1" t="str">
        <f>IF(Table1[[#This Row],[stress_score]]&lt;=10, "Normal", IF(Table1[[#This Row],[stress_score]]&lt;=20, "Moderate", IF(Table1[[#This Row],[stress_score]]&lt;=30, "Severe", "Extremely Severe")))</f>
        <v>Extremely Severe</v>
      </c>
      <c r="L1122">
        <v>2.3414313999999998</v>
      </c>
      <c r="M1122">
        <v>30</v>
      </c>
      <c r="N1122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1122">
        <v>1.7807249999999999</v>
      </c>
      <c r="P1122">
        <v>33.333331999999999</v>
      </c>
      <c r="Q1122">
        <f>ROUND(Table1[[#This Row],[dass21_raw_score]],0)</f>
        <v>33</v>
      </c>
      <c r="R1122" s="1" t="str">
        <f>IF(Table1[[#This Row],[round_dass21_raw_score]]&lt;=10, "Normal", IF(Table1[[#This Row],[round_dass21_raw_score]]&lt;=20, "Moderate", IF(Table1[[#This Row],[round_dass21_raw_score]]&lt;=30, "Severe", "Extremely Severe")))</f>
        <v>Extremely Severe</v>
      </c>
      <c r="S1122">
        <v>2.1754975000000001</v>
      </c>
      <c r="T1122">
        <v>3.2704073999999999</v>
      </c>
      <c r="U1122">
        <v>4000</v>
      </c>
      <c r="V1122" s="1">
        <f>ROUND(Table1[[#This Row],[fmpce]],0)</f>
        <v>4000</v>
      </c>
      <c r="W1122">
        <v>54.418660000000003</v>
      </c>
      <c r="X1122" s="4">
        <f>Table1[[#This Row],[mpce]]*89</f>
        <v>4843.2607400000006</v>
      </c>
      <c r="Y1122" s="2" t="s">
        <v>32</v>
      </c>
      <c r="Z1122" s="3">
        <f>VLOOKUP(Y1122, rmpce_reference!$B$1:$D$7,3,FALSE) * 89</f>
        <v>4450</v>
      </c>
      <c r="AA1122" s="1" t="str">
        <f>IF(Table1[rmpce_inr]&lt;=rmpce_reference!$F$2, "Low Income", IF(Table1[rmpce_inr]&lt;=rmpce_reference!$F$3, "Middle Income", "High Income"))</f>
        <v>Low Income</v>
      </c>
    </row>
    <row r="1123" spans="1:27" x14ac:dyDescent="0.25">
      <c r="A1123">
        <v>6059</v>
      </c>
      <c r="B1123" t="s">
        <v>44</v>
      </c>
      <c r="C1123" t="s">
        <v>33</v>
      </c>
      <c r="D1123">
        <v>29</v>
      </c>
      <c r="E1123" t="s">
        <v>25</v>
      </c>
      <c r="F1123" t="s">
        <v>30</v>
      </c>
      <c r="G1123">
        <v>4</v>
      </c>
      <c r="H1123" s="1" t="str">
        <f>IF(Table1[[#This Row],[anxiety_score]]&lt;=10, "Normal", IF(Table1[[#This Row],[anxiety_score]]&lt;=20, "Moderate", IF(Table1[[#This Row],[anxiety_score]]&lt;=30, "Severe", "Extremely Severe")))</f>
        <v>Normal</v>
      </c>
      <c r="I1123">
        <v>-0.61133329999999997</v>
      </c>
      <c r="J1123">
        <v>10</v>
      </c>
      <c r="K1123" s="1" t="str">
        <f>IF(Table1[[#This Row],[stress_score]]&lt;=10, "Normal", IF(Table1[[#This Row],[stress_score]]&lt;=20, "Moderate", IF(Table1[[#This Row],[stress_score]]&lt;=30, "Severe", "Extremely Severe")))</f>
        <v>Normal</v>
      </c>
      <c r="L1123">
        <v>-0.18916494</v>
      </c>
      <c r="M1123">
        <v>8</v>
      </c>
      <c r="N1123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123">
        <v>-0.33828637</v>
      </c>
      <c r="P1123">
        <v>7.3333335000000002</v>
      </c>
      <c r="Q1123">
        <f>ROUND(Table1[[#This Row],[dass21_raw_score]],0)</f>
        <v>7</v>
      </c>
      <c r="R1123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123">
        <v>-0.37959485999999998</v>
      </c>
      <c r="T1123">
        <v>0.71531504000000001</v>
      </c>
      <c r="U1123">
        <v>3750</v>
      </c>
      <c r="V1123" s="1">
        <f>ROUND(Table1[[#This Row],[fmpce]],0)</f>
        <v>3750</v>
      </c>
      <c r="W1123">
        <v>51.017493999999999</v>
      </c>
      <c r="X1123" s="4">
        <f>Table1[[#This Row],[mpce]]*89</f>
        <v>4540.5569660000001</v>
      </c>
      <c r="Y1123" s="2" t="s">
        <v>32</v>
      </c>
      <c r="Z1123" s="3">
        <f>VLOOKUP(Y1123, rmpce_reference!$B$1:$D$7,3,FALSE) * 89</f>
        <v>4450</v>
      </c>
      <c r="AA1123" s="1" t="str">
        <f>IF(Table1[rmpce_inr]&lt;=rmpce_reference!$F$2, "Low Income", IF(Table1[rmpce_inr]&lt;=rmpce_reference!$F$3, "Middle Income", "High Income"))</f>
        <v>Low Income</v>
      </c>
    </row>
    <row r="1124" spans="1:27" x14ac:dyDescent="0.25">
      <c r="A1124">
        <v>6060</v>
      </c>
      <c r="B1124" t="s">
        <v>44</v>
      </c>
      <c r="C1124" t="s">
        <v>33</v>
      </c>
      <c r="D1124">
        <v>27</v>
      </c>
      <c r="E1124" t="s">
        <v>25</v>
      </c>
      <c r="F1124" t="s">
        <v>30</v>
      </c>
      <c r="G1124">
        <v>0</v>
      </c>
      <c r="H1124" s="1" t="str">
        <f>IF(Table1[[#This Row],[anxiety_score]]&lt;=10, "Normal", IF(Table1[[#This Row],[anxiety_score]]&lt;=20, "Moderate", IF(Table1[[#This Row],[anxiety_score]]&lt;=30, "Severe", "Extremely Severe")))</f>
        <v>Normal</v>
      </c>
      <c r="I1124">
        <v>-1.0134224999999999</v>
      </c>
      <c r="J1124">
        <v>10</v>
      </c>
      <c r="K1124" s="1" t="str">
        <f>IF(Table1[[#This Row],[stress_score]]&lt;=10, "Normal", IF(Table1[[#This Row],[stress_score]]&lt;=20, "Moderate", IF(Table1[[#This Row],[stress_score]]&lt;=30, "Severe", "Extremely Severe")))</f>
        <v>Normal</v>
      </c>
      <c r="L1124">
        <v>-0.18916494</v>
      </c>
      <c r="M1124">
        <v>6</v>
      </c>
      <c r="N1124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124">
        <v>-0.53092379999999995</v>
      </c>
      <c r="P1124">
        <v>5.3333335000000002</v>
      </c>
      <c r="Q1124">
        <f>ROUND(Table1[[#This Row],[dass21_raw_score]],0)</f>
        <v>5</v>
      </c>
      <c r="R1124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124">
        <v>-0.57783704999999996</v>
      </c>
      <c r="T1124">
        <v>0.51707285999999997</v>
      </c>
      <c r="U1124">
        <v>2400</v>
      </c>
      <c r="V1124" s="1">
        <f>ROUND(Table1[[#This Row],[fmpce]],0)</f>
        <v>2400</v>
      </c>
      <c r="W1124">
        <v>32.651195999999999</v>
      </c>
      <c r="X1124" s="4">
        <f>Table1[[#This Row],[mpce]]*89</f>
        <v>2905.9564439999999</v>
      </c>
      <c r="Y1124" s="2" t="s">
        <v>34</v>
      </c>
      <c r="Z1124" s="3">
        <f>VLOOKUP(Y1124, rmpce_reference!$B$1:$D$7,3,FALSE) * 89</f>
        <v>2848</v>
      </c>
      <c r="AA1124" s="1" t="str">
        <f>IF(Table1[rmpce_inr]&lt;=rmpce_reference!$F$2, "Low Income", IF(Table1[rmpce_inr]&lt;=rmpce_reference!$F$3, "Middle Income", "High Income"))</f>
        <v>Low Income</v>
      </c>
    </row>
    <row r="1125" spans="1:27" x14ac:dyDescent="0.25">
      <c r="A1125">
        <v>6061</v>
      </c>
      <c r="B1125" t="s">
        <v>44</v>
      </c>
      <c r="C1125" t="s">
        <v>33</v>
      </c>
      <c r="D1125">
        <v>27</v>
      </c>
      <c r="E1125" t="s">
        <v>25</v>
      </c>
      <c r="F1125" t="s">
        <v>30</v>
      </c>
      <c r="G1125">
        <v>4</v>
      </c>
      <c r="H1125" s="1" t="str">
        <f>IF(Table1[[#This Row],[anxiety_score]]&lt;=10, "Normal", IF(Table1[[#This Row],[anxiety_score]]&lt;=20, "Moderate", IF(Table1[[#This Row],[anxiety_score]]&lt;=30, "Severe", "Extremely Severe")))</f>
        <v>Normal</v>
      </c>
      <c r="I1125">
        <v>-0.61133329999999997</v>
      </c>
      <c r="J1125">
        <v>8</v>
      </c>
      <c r="K1125" s="1" t="str">
        <f>IF(Table1[[#This Row],[stress_score]]&lt;=10, "Normal", IF(Table1[[#This Row],[stress_score]]&lt;=20, "Moderate", IF(Table1[[#This Row],[stress_score]]&lt;=30, "Severe", "Extremely Severe")))</f>
        <v>Normal</v>
      </c>
      <c r="L1125">
        <v>-0.38382620000000001</v>
      </c>
      <c r="M1125">
        <v>4</v>
      </c>
      <c r="N1125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125">
        <v>-0.72356116999999998</v>
      </c>
      <c r="P1125">
        <v>5.3333335000000002</v>
      </c>
      <c r="Q1125">
        <f>ROUND(Table1[[#This Row],[dass21_raw_score]],0)</f>
        <v>5</v>
      </c>
      <c r="R1125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125">
        <v>-0.5729069</v>
      </c>
      <c r="T1125">
        <v>0.52200299999999999</v>
      </c>
      <c r="U1125">
        <v>2400</v>
      </c>
      <c r="V1125" s="1">
        <f>ROUND(Table1[[#This Row],[fmpce]],0)</f>
        <v>2400</v>
      </c>
      <c r="W1125">
        <v>32.651195999999999</v>
      </c>
      <c r="X1125" s="4">
        <f>Table1[[#This Row],[mpce]]*89</f>
        <v>2905.9564439999999</v>
      </c>
      <c r="Y1125" s="2" t="s">
        <v>34</v>
      </c>
      <c r="Z1125" s="3">
        <f>VLOOKUP(Y1125, rmpce_reference!$B$1:$D$7,3,FALSE) * 89</f>
        <v>2848</v>
      </c>
      <c r="AA1125" s="1" t="str">
        <f>IF(Table1[rmpce_inr]&lt;=rmpce_reference!$F$2, "Low Income", IF(Table1[rmpce_inr]&lt;=rmpce_reference!$F$3, "Middle Income", "High Income"))</f>
        <v>Low Income</v>
      </c>
    </row>
    <row r="1126" spans="1:27" x14ac:dyDescent="0.25">
      <c r="A1126">
        <v>6062</v>
      </c>
      <c r="B1126" t="s">
        <v>44</v>
      </c>
      <c r="C1126" t="s">
        <v>29</v>
      </c>
      <c r="D1126">
        <v>32</v>
      </c>
      <c r="E1126" t="s">
        <v>25</v>
      </c>
      <c r="F1126" t="s">
        <v>37</v>
      </c>
      <c r="G1126">
        <v>8</v>
      </c>
      <c r="H1126" s="1" t="str">
        <f>IF(Table1[[#This Row],[anxiety_score]]&lt;=10, "Normal", IF(Table1[[#This Row],[anxiety_score]]&lt;=20, "Moderate", IF(Table1[[#This Row],[anxiety_score]]&lt;=30, "Severe", "Extremely Severe")))</f>
        <v>Normal</v>
      </c>
      <c r="I1126">
        <v>-0.20924408999999999</v>
      </c>
      <c r="J1126">
        <v>6</v>
      </c>
      <c r="K1126" s="1" t="str">
        <f>IF(Table1[[#This Row],[stress_score]]&lt;=10, "Normal", IF(Table1[[#This Row],[stress_score]]&lt;=20, "Moderate", IF(Table1[[#This Row],[stress_score]]&lt;=30, "Severe", "Extremely Severe")))</f>
        <v>Normal</v>
      </c>
      <c r="L1126">
        <v>-0.57848745999999995</v>
      </c>
      <c r="M1126">
        <v>6</v>
      </c>
      <c r="N1126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126">
        <v>-0.53092379999999995</v>
      </c>
      <c r="P1126">
        <v>6.6666664999999998</v>
      </c>
      <c r="Q1126">
        <f>ROUND(Table1[[#This Row],[dass21_raw_score]],0)</f>
        <v>7</v>
      </c>
      <c r="R1126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126">
        <v>-0.43955177000000001</v>
      </c>
      <c r="T1126">
        <v>0.65535814000000003</v>
      </c>
      <c r="U1126">
        <v>2500</v>
      </c>
      <c r="V1126" s="1">
        <f>ROUND(Table1[[#This Row],[fmpce]],0)</f>
        <v>2500</v>
      </c>
      <c r="W1126">
        <v>34.011659999999999</v>
      </c>
      <c r="X1126" s="4">
        <f>Table1[[#This Row],[mpce]]*89</f>
        <v>3027.0377399999998</v>
      </c>
      <c r="Y1126" s="2" t="s">
        <v>34</v>
      </c>
      <c r="Z1126" s="3">
        <f>VLOOKUP(Y1126, rmpce_reference!$B$1:$D$7,3,FALSE) * 89</f>
        <v>2848</v>
      </c>
      <c r="AA1126" s="1" t="str">
        <f>IF(Table1[rmpce_inr]&lt;=rmpce_reference!$F$2, "Low Income", IF(Table1[rmpce_inr]&lt;=rmpce_reference!$F$3, "Middle Income", "High Income"))</f>
        <v>Low Income</v>
      </c>
    </row>
    <row r="1127" spans="1:27" x14ac:dyDescent="0.25">
      <c r="A1127">
        <v>6063</v>
      </c>
      <c r="B1127" t="s">
        <v>44</v>
      </c>
      <c r="C1127" t="s">
        <v>33</v>
      </c>
      <c r="D1127">
        <v>28</v>
      </c>
      <c r="E1127" t="s">
        <v>25</v>
      </c>
      <c r="F1127" t="s">
        <v>30</v>
      </c>
      <c r="G1127">
        <v>32</v>
      </c>
      <c r="H1127" s="1" t="str">
        <f>IF(Table1[[#This Row],[anxiety_score]]&lt;=10, "Normal", IF(Table1[[#This Row],[anxiety_score]]&lt;=20, "Moderate", IF(Table1[[#This Row],[anxiety_score]]&lt;=30, "Severe", "Extremely Severe")))</f>
        <v>Extremely Severe</v>
      </c>
      <c r="I1127">
        <v>2.2032911999999998</v>
      </c>
      <c r="J1127">
        <v>34</v>
      </c>
      <c r="K1127" s="1" t="str">
        <f>IF(Table1[[#This Row],[stress_score]]&lt;=10, "Normal", IF(Table1[[#This Row],[stress_score]]&lt;=20, "Moderate", IF(Table1[[#This Row],[stress_score]]&lt;=30, "Severe", "Extremely Severe")))</f>
        <v>Extremely Severe</v>
      </c>
      <c r="L1127">
        <v>2.1467700000000001</v>
      </c>
      <c r="M1127">
        <v>32</v>
      </c>
      <c r="N1127" s="1" t="str">
        <f>IF(Table1[[#This Row],[depression_score]]&lt;=10, "Normal", IF(Table1[[#This Row],[depression_score]]&lt;=20, "Moderate", IF(Table1[[#This Row],[depression_score]]&lt;=30, "Severe", "Extremely Severe")))</f>
        <v>Extremely Severe</v>
      </c>
      <c r="O1127">
        <v>1.9733623</v>
      </c>
      <c r="P1127">
        <v>32.666668000000001</v>
      </c>
      <c r="Q1127">
        <f>ROUND(Table1[[#This Row],[dass21_raw_score]],0)</f>
        <v>33</v>
      </c>
      <c r="R1127" s="1" t="str">
        <f>IF(Table1[[#This Row],[round_dass21_raw_score]]&lt;=10, "Normal", IF(Table1[[#This Row],[round_dass21_raw_score]]&lt;=20, "Moderate", IF(Table1[[#This Row],[round_dass21_raw_score]]&lt;=30, "Severe", "Extremely Severe")))</f>
        <v>Extremely Severe</v>
      </c>
      <c r="S1127">
        <v>2.1078079000000001</v>
      </c>
      <c r="T1127">
        <v>3.2027177999999998</v>
      </c>
      <c r="U1127">
        <v>2500</v>
      </c>
      <c r="V1127" s="1">
        <f>ROUND(Table1[[#This Row],[fmpce]],0)</f>
        <v>2500</v>
      </c>
      <c r="W1127">
        <v>34.011659999999999</v>
      </c>
      <c r="X1127" s="4">
        <f>Table1[[#This Row],[mpce]]*89</f>
        <v>3027.0377399999998</v>
      </c>
      <c r="Y1127" s="2" t="s">
        <v>34</v>
      </c>
      <c r="Z1127" s="3">
        <f>VLOOKUP(Y1127, rmpce_reference!$B$1:$D$7,3,FALSE) * 89</f>
        <v>2848</v>
      </c>
      <c r="AA1127" s="1" t="str">
        <f>IF(Table1[rmpce_inr]&lt;=rmpce_reference!$F$2, "Low Income", IF(Table1[rmpce_inr]&lt;=rmpce_reference!$F$3, "Middle Income", "High Income"))</f>
        <v>Low Income</v>
      </c>
    </row>
    <row r="1128" spans="1:27" x14ac:dyDescent="0.25">
      <c r="A1128">
        <v>6064</v>
      </c>
      <c r="B1128" t="s">
        <v>44</v>
      </c>
      <c r="C1128" t="s">
        <v>29</v>
      </c>
      <c r="D1128">
        <v>31</v>
      </c>
      <c r="E1128" t="s">
        <v>25</v>
      </c>
      <c r="F1128" t="s">
        <v>26</v>
      </c>
      <c r="G1128">
        <v>30</v>
      </c>
      <c r="H1128" s="1" t="str">
        <f>IF(Table1[[#This Row],[anxiety_score]]&lt;=10, "Normal", IF(Table1[[#This Row],[anxiety_score]]&lt;=20, "Moderate", IF(Table1[[#This Row],[anxiety_score]]&lt;=30, "Severe", "Extremely Severe")))</f>
        <v>Severe</v>
      </c>
      <c r="I1128">
        <v>2.0022465999999999</v>
      </c>
      <c r="J1128">
        <v>18</v>
      </c>
      <c r="K1128" s="1" t="str">
        <f>IF(Table1[[#This Row],[stress_score]]&lt;=10, "Normal", IF(Table1[[#This Row],[stress_score]]&lt;=20, "Moderate", IF(Table1[[#This Row],[stress_score]]&lt;=30, "Severe", "Extremely Severe")))</f>
        <v>Moderate</v>
      </c>
      <c r="L1128">
        <v>0.58948003999999998</v>
      </c>
      <c r="M1128">
        <v>24</v>
      </c>
      <c r="N1128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1128">
        <v>1.2028128</v>
      </c>
      <c r="P1128">
        <v>24</v>
      </c>
      <c r="Q1128">
        <f>ROUND(Table1[[#This Row],[dass21_raw_score]],0)</f>
        <v>24</v>
      </c>
      <c r="R1128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128">
        <v>1.2648463999999999</v>
      </c>
      <c r="T1128">
        <v>2.3597565</v>
      </c>
      <c r="U1128">
        <v>2857.1428000000001</v>
      </c>
      <c r="V1128" s="1">
        <f>ROUND(Table1[[#This Row],[fmpce]],0)</f>
        <v>2857</v>
      </c>
      <c r="W1128">
        <v>38.870471999999999</v>
      </c>
      <c r="X1128" s="4">
        <f>Table1[[#This Row],[mpce]]*89</f>
        <v>3459.4720079999997</v>
      </c>
      <c r="Y1128" s="2" t="s">
        <v>34</v>
      </c>
      <c r="Z1128" s="3">
        <f>VLOOKUP(Y1128, rmpce_reference!$B$1:$D$7,3,FALSE) * 89</f>
        <v>2848</v>
      </c>
      <c r="AA1128" s="1" t="str">
        <f>IF(Table1[rmpce_inr]&lt;=rmpce_reference!$F$2, "Low Income", IF(Table1[rmpce_inr]&lt;=rmpce_reference!$F$3, "Middle Income", "High Income"))</f>
        <v>Low Income</v>
      </c>
    </row>
    <row r="1129" spans="1:27" x14ac:dyDescent="0.25">
      <c r="A1129">
        <v>6065</v>
      </c>
      <c r="B1129" t="s">
        <v>44</v>
      </c>
      <c r="C1129" t="s">
        <v>33</v>
      </c>
      <c r="D1129">
        <v>30</v>
      </c>
      <c r="E1129" t="s">
        <v>25</v>
      </c>
      <c r="F1129" t="s">
        <v>26</v>
      </c>
      <c r="G1129">
        <v>30</v>
      </c>
      <c r="H1129" s="1" t="str">
        <f>IF(Table1[[#This Row],[anxiety_score]]&lt;=10, "Normal", IF(Table1[[#This Row],[anxiety_score]]&lt;=20, "Moderate", IF(Table1[[#This Row],[anxiety_score]]&lt;=30, "Severe", "Extremely Severe")))</f>
        <v>Severe</v>
      </c>
      <c r="I1129">
        <v>2.0022465999999999</v>
      </c>
      <c r="J1129">
        <v>32</v>
      </c>
      <c r="K1129" s="1" t="str">
        <f>IF(Table1[[#This Row],[stress_score]]&lt;=10, "Normal", IF(Table1[[#This Row],[stress_score]]&lt;=20, "Moderate", IF(Table1[[#This Row],[stress_score]]&lt;=30, "Severe", "Extremely Severe")))</f>
        <v>Extremely Severe</v>
      </c>
      <c r="L1129">
        <v>1.9521089</v>
      </c>
      <c r="M1129">
        <v>34</v>
      </c>
      <c r="N1129" s="1" t="str">
        <f>IF(Table1[[#This Row],[depression_score]]&lt;=10, "Normal", IF(Table1[[#This Row],[depression_score]]&lt;=20, "Moderate", IF(Table1[[#This Row],[depression_score]]&lt;=30, "Severe", "Extremely Severe")))</f>
        <v>Extremely Severe</v>
      </c>
      <c r="O1129">
        <v>2.1659999999999999</v>
      </c>
      <c r="P1129">
        <v>32</v>
      </c>
      <c r="Q1129">
        <f>ROUND(Table1[[#This Row],[dass21_raw_score]],0)</f>
        <v>32</v>
      </c>
      <c r="R1129" s="1" t="str">
        <f>IF(Table1[[#This Row],[round_dass21_raw_score]]&lt;=10, "Normal", IF(Table1[[#This Row],[round_dass21_raw_score]]&lt;=20, "Moderate", IF(Table1[[#This Row],[round_dass21_raw_score]]&lt;=30, "Severe", "Extremely Severe")))</f>
        <v>Extremely Severe</v>
      </c>
      <c r="S1129">
        <v>2.0401185000000002</v>
      </c>
      <c r="T1129">
        <v>3.1350283999999999</v>
      </c>
      <c r="U1129">
        <v>1666.6666</v>
      </c>
      <c r="V1129" s="1">
        <f>ROUND(Table1[[#This Row],[fmpce]],0)</f>
        <v>1667</v>
      </c>
      <c r="W1129">
        <v>22.674440000000001</v>
      </c>
      <c r="X1129" s="4">
        <f>Table1[[#This Row],[mpce]]*89</f>
        <v>2018.0251600000001</v>
      </c>
      <c r="Y1129" s="2" t="s">
        <v>24</v>
      </c>
      <c r="Z1129" s="3">
        <f>VLOOKUP(Y1129, rmpce_reference!$B$1:$D$7,3,FALSE) * 89</f>
        <v>2225</v>
      </c>
      <c r="AA1129" s="1" t="str">
        <f>IF(Table1[rmpce_inr]&lt;=rmpce_reference!$F$2, "Low Income", IF(Table1[rmpce_inr]&lt;=rmpce_reference!$F$3, "Middle Income", "High Income"))</f>
        <v>Low Income</v>
      </c>
    </row>
    <row r="1130" spans="1:27" x14ac:dyDescent="0.25">
      <c r="A1130">
        <v>6066</v>
      </c>
      <c r="B1130" t="s">
        <v>44</v>
      </c>
      <c r="C1130" t="s">
        <v>33</v>
      </c>
      <c r="D1130">
        <v>25</v>
      </c>
      <c r="E1130" t="s">
        <v>25</v>
      </c>
      <c r="F1130" t="s">
        <v>26</v>
      </c>
      <c r="G1130">
        <v>38</v>
      </c>
      <c r="H1130" s="1" t="str">
        <f>IF(Table1[[#This Row],[anxiety_score]]&lt;=10, "Normal", IF(Table1[[#This Row],[anxiety_score]]&lt;=20, "Moderate", IF(Table1[[#This Row],[anxiety_score]]&lt;=30, "Severe", "Extremely Severe")))</f>
        <v>Extremely Severe</v>
      </c>
      <c r="I1130">
        <v>2.8064249999999999</v>
      </c>
      <c r="J1130">
        <v>32</v>
      </c>
      <c r="K1130" s="1" t="str">
        <f>IF(Table1[[#This Row],[stress_score]]&lt;=10, "Normal", IF(Table1[[#This Row],[stress_score]]&lt;=20, "Moderate", IF(Table1[[#This Row],[stress_score]]&lt;=30, "Severe", "Extremely Severe")))</f>
        <v>Extremely Severe</v>
      </c>
      <c r="L1130">
        <v>1.9521089</v>
      </c>
      <c r="M1130">
        <v>32</v>
      </c>
      <c r="N1130" s="1" t="str">
        <f>IF(Table1[[#This Row],[depression_score]]&lt;=10, "Normal", IF(Table1[[#This Row],[depression_score]]&lt;=20, "Moderate", IF(Table1[[#This Row],[depression_score]]&lt;=30, "Severe", "Extremely Severe")))</f>
        <v>Extremely Severe</v>
      </c>
      <c r="O1130">
        <v>1.9733623</v>
      </c>
      <c r="P1130">
        <v>34</v>
      </c>
      <c r="Q1130">
        <f>ROUND(Table1[[#This Row],[dass21_raw_score]],0)</f>
        <v>34</v>
      </c>
      <c r="R1130" s="1" t="str">
        <f>IF(Table1[[#This Row],[round_dass21_raw_score]]&lt;=10, "Normal", IF(Table1[[#This Row],[round_dass21_raw_score]]&lt;=20, "Moderate", IF(Table1[[#This Row],[round_dass21_raw_score]]&lt;=30, "Severe", "Extremely Severe")))</f>
        <v>Extremely Severe</v>
      </c>
      <c r="S1130">
        <v>2.2439654</v>
      </c>
      <c r="T1130">
        <v>3.3388753000000002</v>
      </c>
      <c r="U1130">
        <v>4000</v>
      </c>
      <c r="V1130" s="1">
        <f>ROUND(Table1[[#This Row],[fmpce]],0)</f>
        <v>4000</v>
      </c>
      <c r="W1130">
        <v>54.418660000000003</v>
      </c>
      <c r="X1130" s="4">
        <f>Table1[[#This Row],[mpce]]*89</f>
        <v>4843.2607400000006</v>
      </c>
      <c r="Y1130" s="2" t="s">
        <v>32</v>
      </c>
      <c r="Z1130" s="3">
        <f>VLOOKUP(Y1130, rmpce_reference!$B$1:$D$7,3,FALSE) * 89</f>
        <v>4450</v>
      </c>
      <c r="AA1130" s="1" t="str">
        <f>IF(Table1[rmpce_inr]&lt;=rmpce_reference!$F$2, "Low Income", IF(Table1[rmpce_inr]&lt;=rmpce_reference!$F$3, "Middle Income", "High Income"))</f>
        <v>Low Income</v>
      </c>
    </row>
    <row r="1131" spans="1:27" x14ac:dyDescent="0.25">
      <c r="A1131">
        <v>6067</v>
      </c>
      <c r="B1131" t="s">
        <v>44</v>
      </c>
      <c r="C1131" t="s">
        <v>21</v>
      </c>
      <c r="D1131">
        <v>46</v>
      </c>
      <c r="E1131" t="s">
        <v>25</v>
      </c>
      <c r="F1131" t="s">
        <v>23</v>
      </c>
      <c r="G1131">
        <v>16</v>
      </c>
      <c r="H1131" s="1" t="str">
        <f>IF(Table1[[#This Row],[anxiety_score]]&lt;=10, "Normal", IF(Table1[[#This Row],[anxiety_score]]&lt;=20, "Moderate", IF(Table1[[#This Row],[anxiety_score]]&lt;=30, "Severe", "Extremely Severe")))</f>
        <v>Moderate</v>
      </c>
      <c r="I1131">
        <v>0.59493434000000001</v>
      </c>
      <c r="J1131">
        <v>18</v>
      </c>
      <c r="K1131" s="1" t="str">
        <f>IF(Table1[[#This Row],[stress_score]]&lt;=10, "Normal", IF(Table1[[#This Row],[stress_score]]&lt;=20, "Moderate", IF(Table1[[#This Row],[stress_score]]&lt;=30, "Severe", "Extremely Severe")))</f>
        <v>Moderate</v>
      </c>
      <c r="L1131">
        <v>0.58948003999999998</v>
      </c>
      <c r="M1131">
        <v>22</v>
      </c>
      <c r="N1131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1131">
        <v>1.0101753</v>
      </c>
      <c r="P1131">
        <v>18.666665999999999</v>
      </c>
      <c r="Q1131">
        <f>ROUND(Table1[[#This Row],[dass21_raw_score]],0)</f>
        <v>19</v>
      </c>
      <c r="R1131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1131">
        <v>0.73152989999999996</v>
      </c>
      <c r="T1131">
        <v>1.8264399</v>
      </c>
      <c r="U1131">
        <v>2285.7143999999998</v>
      </c>
      <c r="V1131" s="1">
        <f>ROUND(Table1[[#This Row],[fmpce]],0)</f>
        <v>2286</v>
      </c>
      <c r="W1131">
        <v>31.096378000000001</v>
      </c>
      <c r="X1131" s="4">
        <f>Table1[[#This Row],[mpce]]*89</f>
        <v>2767.5776420000002</v>
      </c>
      <c r="Y1131" s="2" t="s">
        <v>34</v>
      </c>
      <c r="Z1131" s="3">
        <f>VLOOKUP(Y1131, rmpce_reference!$B$1:$D$7,3,FALSE) * 89</f>
        <v>2848</v>
      </c>
      <c r="AA1131" s="1" t="str">
        <f>IF(Table1[rmpce_inr]&lt;=rmpce_reference!$F$2, "Low Income", IF(Table1[rmpce_inr]&lt;=rmpce_reference!$F$3, "Middle Income", "High Income"))</f>
        <v>Low Income</v>
      </c>
    </row>
    <row r="1132" spans="1:27" x14ac:dyDescent="0.25">
      <c r="A1132">
        <v>6068</v>
      </c>
      <c r="B1132" t="s">
        <v>44</v>
      </c>
      <c r="C1132" t="s">
        <v>29</v>
      </c>
      <c r="D1132">
        <v>31</v>
      </c>
      <c r="E1132" t="s">
        <v>22</v>
      </c>
      <c r="F1132" t="s">
        <v>27</v>
      </c>
      <c r="G1132">
        <v>28</v>
      </c>
      <c r="H1132" s="1" t="str">
        <f>IF(Table1[[#This Row],[anxiety_score]]&lt;=10, "Normal", IF(Table1[[#This Row],[anxiety_score]]&lt;=20, "Moderate", IF(Table1[[#This Row],[anxiety_score]]&lt;=30, "Severe", "Extremely Severe")))</f>
        <v>Severe</v>
      </c>
      <c r="I1132">
        <v>1.801202</v>
      </c>
      <c r="J1132">
        <v>16</v>
      </c>
      <c r="K1132" s="1" t="str">
        <f>IF(Table1[[#This Row],[stress_score]]&lt;=10, "Normal", IF(Table1[[#This Row],[stress_score]]&lt;=20, "Moderate", IF(Table1[[#This Row],[stress_score]]&lt;=30, "Severe", "Extremely Severe")))</f>
        <v>Moderate</v>
      </c>
      <c r="L1132">
        <v>0.39481880000000003</v>
      </c>
      <c r="M1132">
        <v>24</v>
      </c>
      <c r="N1132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1132">
        <v>1.2028128</v>
      </c>
      <c r="P1132">
        <v>22.666665999999999</v>
      </c>
      <c r="Q1132">
        <f>ROUND(Table1[[#This Row],[dass21_raw_score]],0)</f>
        <v>23</v>
      </c>
      <c r="R1132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132">
        <v>1.1329446000000001</v>
      </c>
      <c r="T1132">
        <v>2.2278544999999998</v>
      </c>
      <c r="U1132">
        <v>2500</v>
      </c>
      <c r="V1132" s="1">
        <f>ROUND(Table1[[#This Row],[fmpce]],0)</f>
        <v>2500</v>
      </c>
      <c r="W1132">
        <v>34.011659999999999</v>
      </c>
      <c r="X1132" s="4">
        <f>Table1[[#This Row],[mpce]]*89</f>
        <v>3027.0377399999998</v>
      </c>
      <c r="Y1132" s="2" t="s">
        <v>34</v>
      </c>
      <c r="Z1132" s="3">
        <f>VLOOKUP(Y1132, rmpce_reference!$B$1:$D$7,3,FALSE) * 89</f>
        <v>2848</v>
      </c>
      <c r="AA1132" s="1" t="str">
        <f>IF(Table1[rmpce_inr]&lt;=rmpce_reference!$F$2, "Low Income", IF(Table1[rmpce_inr]&lt;=rmpce_reference!$F$3, "Middle Income", "High Income"))</f>
        <v>Low Income</v>
      </c>
    </row>
    <row r="1133" spans="1:27" x14ac:dyDescent="0.25">
      <c r="A1133">
        <v>6069</v>
      </c>
      <c r="B1133" t="s">
        <v>44</v>
      </c>
      <c r="C1133" t="s">
        <v>21</v>
      </c>
      <c r="D1133">
        <v>43</v>
      </c>
      <c r="E1133" t="s">
        <v>25</v>
      </c>
      <c r="F1133" t="s">
        <v>26</v>
      </c>
      <c r="G1133">
        <v>16</v>
      </c>
      <c r="H1133" s="1" t="str">
        <f>IF(Table1[[#This Row],[anxiety_score]]&lt;=10, "Normal", IF(Table1[[#This Row],[anxiety_score]]&lt;=20, "Moderate", IF(Table1[[#This Row],[anxiety_score]]&lt;=30, "Severe", "Extremely Severe")))</f>
        <v>Moderate</v>
      </c>
      <c r="I1133">
        <v>0.59493434000000001</v>
      </c>
      <c r="J1133">
        <v>14</v>
      </c>
      <c r="K1133" s="1" t="str">
        <f>IF(Table1[[#This Row],[stress_score]]&lt;=10, "Normal", IF(Table1[[#This Row],[stress_score]]&lt;=20, "Moderate", IF(Table1[[#This Row],[stress_score]]&lt;=30, "Severe", "Extremely Severe")))</f>
        <v>Moderate</v>
      </c>
      <c r="L1133">
        <v>0.20015757000000001</v>
      </c>
      <c r="M1133">
        <v>14</v>
      </c>
      <c r="N1133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1133">
        <v>0.23962580999999999</v>
      </c>
      <c r="P1133">
        <v>14.666667</v>
      </c>
      <c r="Q1133">
        <f>ROUND(Table1[[#This Row],[dass21_raw_score]],0)</f>
        <v>15</v>
      </c>
      <c r="R1133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1133">
        <v>0.34490589999999999</v>
      </c>
      <c r="T1133">
        <v>1.4398158000000001</v>
      </c>
      <c r="U1133">
        <v>3000</v>
      </c>
      <c r="V1133" s="1">
        <f>ROUND(Table1[[#This Row],[fmpce]],0)</f>
        <v>3000</v>
      </c>
      <c r="W1133">
        <v>40.813994999999998</v>
      </c>
      <c r="X1133" s="4">
        <f>Table1[[#This Row],[mpce]]*89</f>
        <v>3632.4455549999998</v>
      </c>
      <c r="Y1133" s="2" t="s">
        <v>32</v>
      </c>
      <c r="Z1133" s="3">
        <f>VLOOKUP(Y1133, rmpce_reference!$B$1:$D$7,3,FALSE) * 89</f>
        <v>4450</v>
      </c>
      <c r="AA1133" s="1" t="str">
        <f>IF(Table1[rmpce_inr]&lt;=rmpce_reference!$F$2, "Low Income", IF(Table1[rmpce_inr]&lt;=rmpce_reference!$F$3, "Middle Income", "High Income"))</f>
        <v>Low Income</v>
      </c>
    </row>
    <row r="1134" spans="1:27" x14ac:dyDescent="0.25">
      <c r="A1134">
        <v>6070</v>
      </c>
      <c r="B1134" t="s">
        <v>44</v>
      </c>
      <c r="C1134" t="s">
        <v>29</v>
      </c>
      <c r="D1134">
        <v>32</v>
      </c>
      <c r="E1134" t="s">
        <v>25</v>
      </c>
      <c r="F1134" t="s">
        <v>26</v>
      </c>
      <c r="G1134">
        <v>18</v>
      </c>
      <c r="H1134" s="1" t="str">
        <f>IF(Table1[[#This Row],[anxiety_score]]&lt;=10, "Normal", IF(Table1[[#This Row],[anxiety_score]]&lt;=20, "Moderate", IF(Table1[[#This Row],[anxiety_score]]&lt;=30, "Severe", "Extremely Severe")))</f>
        <v>Moderate</v>
      </c>
      <c r="I1134">
        <v>0.79597896000000001</v>
      </c>
      <c r="J1134">
        <v>28</v>
      </c>
      <c r="K1134" s="1" t="str">
        <f>IF(Table1[[#This Row],[stress_score]]&lt;=10, "Normal", IF(Table1[[#This Row],[stress_score]]&lt;=20, "Moderate", IF(Table1[[#This Row],[stress_score]]&lt;=30, "Severe", "Extremely Severe")))</f>
        <v>Severe</v>
      </c>
      <c r="L1134">
        <v>1.5627863</v>
      </c>
      <c r="M1134">
        <v>26</v>
      </c>
      <c r="N1134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1134">
        <v>1.3954502</v>
      </c>
      <c r="P1134">
        <v>24</v>
      </c>
      <c r="Q1134">
        <f>ROUND(Table1[[#This Row],[dass21_raw_score]],0)</f>
        <v>24</v>
      </c>
      <c r="R1134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134">
        <v>1.2514052</v>
      </c>
      <c r="T1134">
        <v>2.3463151</v>
      </c>
      <c r="U1134">
        <v>2000</v>
      </c>
      <c r="V1134" s="1">
        <f>ROUND(Table1[[#This Row],[fmpce]],0)</f>
        <v>2000</v>
      </c>
      <c r="W1134">
        <v>27.209330000000001</v>
      </c>
      <c r="X1134" s="4">
        <f>Table1[[#This Row],[mpce]]*89</f>
        <v>2421.6303700000003</v>
      </c>
      <c r="Y1134" s="2" t="s">
        <v>34</v>
      </c>
      <c r="Z1134" s="3">
        <f>VLOOKUP(Y1134, rmpce_reference!$B$1:$D$7,3,FALSE) * 89</f>
        <v>2848</v>
      </c>
      <c r="AA1134" s="1" t="str">
        <f>IF(Table1[rmpce_inr]&lt;=rmpce_reference!$F$2, "Low Income", IF(Table1[rmpce_inr]&lt;=rmpce_reference!$F$3, "Middle Income", "High Income"))</f>
        <v>Low Income</v>
      </c>
    </row>
    <row r="1135" spans="1:27" x14ac:dyDescent="0.25">
      <c r="A1135">
        <v>6071</v>
      </c>
      <c r="B1135" t="s">
        <v>44</v>
      </c>
      <c r="C1135" t="s">
        <v>29</v>
      </c>
      <c r="D1135">
        <v>35</v>
      </c>
      <c r="E1135" t="s">
        <v>25</v>
      </c>
      <c r="F1135" t="s">
        <v>26</v>
      </c>
      <c r="G1135">
        <v>22</v>
      </c>
      <c r="H1135" s="1" t="str">
        <f>IF(Table1[[#This Row],[anxiety_score]]&lt;=10, "Normal", IF(Table1[[#This Row],[anxiety_score]]&lt;=20, "Moderate", IF(Table1[[#This Row],[anxiety_score]]&lt;=30, "Severe", "Extremely Severe")))</f>
        <v>Severe</v>
      </c>
      <c r="I1135">
        <v>1.1980683000000001</v>
      </c>
      <c r="J1135">
        <v>18</v>
      </c>
      <c r="K1135" s="1" t="str">
        <f>IF(Table1[[#This Row],[stress_score]]&lt;=10, "Normal", IF(Table1[[#This Row],[stress_score]]&lt;=20, "Moderate", IF(Table1[[#This Row],[stress_score]]&lt;=30, "Severe", "Extremely Severe")))</f>
        <v>Moderate</v>
      </c>
      <c r="L1135">
        <v>0.58948003999999998</v>
      </c>
      <c r="M1135">
        <v>24</v>
      </c>
      <c r="N1135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1135">
        <v>1.2028128</v>
      </c>
      <c r="P1135">
        <v>21.333334000000001</v>
      </c>
      <c r="Q1135">
        <f>ROUND(Table1[[#This Row],[dass21_raw_score]],0)</f>
        <v>21</v>
      </c>
      <c r="R1135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135">
        <v>0.99678699999999998</v>
      </c>
      <c r="T1135">
        <v>2.0916969999999999</v>
      </c>
      <c r="U1135">
        <v>3000</v>
      </c>
      <c r="V1135" s="1">
        <f>ROUND(Table1[[#This Row],[fmpce]],0)</f>
        <v>3000</v>
      </c>
      <c r="W1135">
        <v>40.813994999999998</v>
      </c>
      <c r="X1135" s="4">
        <f>Table1[[#This Row],[mpce]]*89</f>
        <v>3632.4455549999998</v>
      </c>
      <c r="Y1135" s="2" t="s">
        <v>32</v>
      </c>
      <c r="Z1135" s="3">
        <f>VLOOKUP(Y1135, rmpce_reference!$B$1:$D$7,3,FALSE) * 89</f>
        <v>4450</v>
      </c>
      <c r="AA1135" s="1" t="str">
        <f>IF(Table1[rmpce_inr]&lt;=rmpce_reference!$F$2, "Low Income", IF(Table1[rmpce_inr]&lt;=rmpce_reference!$F$3, "Middle Income", "High Income"))</f>
        <v>Low Income</v>
      </c>
    </row>
    <row r="1136" spans="1:27" x14ac:dyDescent="0.25">
      <c r="A1136">
        <v>6072</v>
      </c>
      <c r="B1136" t="s">
        <v>44</v>
      </c>
      <c r="C1136" t="s">
        <v>29</v>
      </c>
      <c r="D1136">
        <v>40</v>
      </c>
      <c r="E1136" t="s">
        <v>25</v>
      </c>
      <c r="F1136" t="s">
        <v>26</v>
      </c>
      <c r="G1136">
        <v>22</v>
      </c>
      <c r="H1136" s="1" t="str">
        <f>IF(Table1[[#This Row],[anxiety_score]]&lt;=10, "Normal", IF(Table1[[#This Row],[anxiety_score]]&lt;=20, "Moderate", IF(Table1[[#This Row],[anxiety_score]]&lt;=30, "Severe", "Extremely Severe")))</f>
        <v>Severe</v>
      </c>
      <c r="I1136">
        <v>1.1980683000000001</v>
      </c>
      <c r="J1136">
        <v>30</v>
      </c>
      <c r="K1136" s="1" t="str">
        <f>IF(Table1[[#This Row],[stress_score]]&lt;=10, "Normal", IF(Table1[[#This Row],[stress_score]]&lt;=20, "Moderate", IF(Table1[[#This Row],[stress_score]]&lt;=30, "Severe", "Extremely Severe")))</f>
        <v>Severe</v>
      </c>
      <c r="L1136">
        <v>1.7574476000000001</v>
      </c>
      <c r="M1136">
        <v>18</v>
      </c>
      <c r="N1136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1136">
        <v>0.62490060000000003</v>
      </c>
      <c r="P1136">
        <v>23.333334000000001</v>
      </c>
      <c r="Q1136">
        <f>ROUND(Table1[[#This Row],[dass21_raw_score]],0)</f>
        <v>23</v>
      </c>
      <c r="R1136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136">
        <v>1.1934720999999999</v>
      </c>
      <c r="T1136">
        <v>2.2883819999999999</v>
      </c>
      <c r="U1136">
        <v>2500</v>
      </c>
      <c r="V1136" s="1">
        <f>ROUND(Table1[[#This Row],[fmpce]],0)</f>
        <v>2500</v>
      </c>
      <c r="W1136">
        <v>34.011659999999999</v>
      </c>
      <c r="X1136" s="4">
        <f>Table1[[#This Row],[mpce]]*89</f>
        <v>3027.0377399999998</v>
      </c>
      <c r="Y1136" s="2" t="s">
        <v>34</v>
      </c>
      <c r="Z1136" s="3">
        <f>VLOOKUP(Y1136, rmpce_reference!$B$1:$D$7,3,FALSE) * 89</f>
        <v>2848</v>
      </c>
      <c r="AA1136" s="1" t="str">
        <f>IF(Table1[rmpce_inr]&lt;=rmpce_reference!$F$2, "Low Income", IF(Table1[rmpce_inr]&lt;=rmpce_reference!$F$3, "Middle Income", "High Income"))</f>
        <v>Low Income</v>
      </c>
    </row>
    <row r="1137" spans="1:27" x14ac:dyDescent="0.25">
      <c r="A1137">
        <v>6073</v>
      </c>
      <c r="B1137" t="s">
        <v>44</v>
      </c>
      <c r="C1137" t="s">
        <v>33</v>
      </c>
      <c r="D1137">
        <v>28</v>
      </c>
      <c r="E1137" t="s">
        <v>25</v>
      </c>
      <c r="F1137" t="s">
        <v>30</v>
      </c>
      <c r="G1137">
        <v>20</v>
      </c>
      <c r="H1137" s="1" t="str">
        <f>IF(Table1[[#This Row],[anxiety_score]]&lt;=10, "Normal", IF(Table1[[#This Row],[anxiety_score]]&lt;=20, "Moderate", IF(Table1[[#This Row],[anxiety_score]]&lt;=30, "Severe", "Extremely Severe")))</f>
        <v>Moderate</v>
      </c>
      <c r="I1137">
        <v>0.99702360000000001</v>
      </c>
      <c r="J1137">
        <v>18</v>
      </c>
      <c r="K1137" s="1" t="str">
        <f>IF(Table1[[#This Row],[stress_score]]&lt;=10, "Normal", IF(Table1[[#This Row],[stress_score]]&lt;=20, "Moderate", IF(Table1[[#This Row],[stress_score]]&lt;=30, "Severe", "Extremely Severe")))</f>
        <v>Moderate</v>
      </c>
      <c r="L1137">
        <v>0.58948003999999998</v>
      </c>
      <c r="M1137">
        <v>18</v>
      </c>
      <c r="N1137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1137">
        <v>0.62490060000000003</v>
      </c>
      <c r="P1137">
        <v>18.666665999999999</v>
      </c>
      <c r="Q1137">
        <f>ROUND(Table1[[#This Row],[dass21_raw_score]],0)</f>
        <v>19</v>
      </c>
      <c r="R1137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1137">
        <v>0.73713474999999995</v>
      </c>
      <c r="T1137">
        <v>1.8320445999999999</v>
      </c>
      <c r="U1137">
        <v>2500</v>
      </c>
      <c r="V1137" s="1">
        <f>ROUND(Table1[[#This Row],[fmpce]],0)</f>
        <v>2500</v>
      </c>
      <c r="W1137">
        <v>34.011659999999999</v>
      </c>
      <c r="X1137" s="4">
        <f>Table1[[#This Row],[mpce]]*89</f>
        <v>3027.0377399999998</v>
      </c>
      <c r="Y1137" s="2" t="s">
        <v>34</v>
      </c>
      <c r="Z1137" s="3">
        <f>VLOOKUP(Y1137, rmpce_reference!$B$1:$D$7,3,FALSE) * 89</f>
        <v>2848</v>
      </c>
      <c r="AA1137" s="1" t="str">
        <f>IF(Table1[rmpce_inr]&lt;=rmpce_reference!$F$2, "Low Income", IF(Table1[rmpce_inr]&lt;=rmpce_reference!$F$3, "Middle Income", "High Income"))</f>
        <v>Low Income</v>
      </c>
    </row>
    <row r="1138" spans="1:27" x14ac:dyDescent="0.25">
      <c r="A1138">
        <v>6074</v>
      </c>
      <c r="B1138" t="s">
        <v>44</v>
      </c>
      <c r="C1138" t="s">
        <v>33</v>
      </c>
      <c r="D1138">
        <v>29</v>
      </c>
      <c r="E1138" t="s">
        <v>25</v>
      </c>
      <c r="F1138" t="s">
        <v>26</v>
      </c>
      <c r="G1138">
        <v>22</v>
      </c>
      <c r="H1138" s="1" t="str">
        <f>IF(Table1[[#This Row],[anxiety_score]]&lt;=10, "Normal", IF(Table1[[#This Row],[anxiety_score]]&lt;=20, "Moderate", IF(Table1[[#This Row],[anxiety_score]]&lt;=30, "Severe", "Extremely Severe")))</f>
        <v>Severe</v>
      </c>
      <c r="I1138">
        <v>1.1980683000000001</v>
      </c>
      <c r="J1138">
        <v>16</v>
      </c>
      <c r="K1138" s="1" t="str">
        <f>IF(Table1[[#This Row],[stress_score]]&lt;=10, "Normal", IF(Table1[[#This Row],[stress_score]]&lt;=20, "Moderate", IF(Table1[[#This Row],[stress_score]]&lt;=30, "Severe", "Extremely Severe")))</f>
        <v>Moderate</v>
      </c>
      <c r="L1138">
        <v>0.39481880000000003</v>
      </c>
      <c r="M1138">
        <v>22</v>
      </c>
      <c r="N1138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1138">
        <v>1.0101753</v>
      </c>
      <c r="P1138">
        <v>20</v>
      </c>
      <c r="Q1138">
        <f>ROUND(Table1[[#This Row],[dass21_raw_score]],0)</f>
        <v>20</v>
      </c>
      <c r="R1138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1138">
        <v>0.86768745999999997</v>
      </c>
      <c r="T1138">
        <v>1.9625973999999999</v>
      </c>
      <c r="U1138">
        <v>5000</v>
      </c>
      <c r="V1138" s="1">
        <f>ROUND(Table1[[#This Row],[fmpce]],0)</f>
        <v>5000</v>
      </c>
      <c r="W1138">
        <v>68.023319999999998</v>
      </c>
      <c r="X1138" s="4">
        <f>Table1[[#This Row],[mpce]]*89</f>
        <v>6054.0754799999995</v>
      </c>
      <c r="Y1138" s="2" t="s">
        <v>28</v>
      </c>
      <c r="Z1138" s="3">
        <f>VLOOKUP(Y1138, rmpce_reference!$B$1:$D$7,3,FALSE) * 89</f>
        <v>6230</v>
      </c>
      <c r="AA1138" s="1" t="str">
        <f>IF(Table1[rmpce_inr]&lt;=rmpce_reference!$F$2, "Low Income", IF(Table1[rmpce_inr]&lt;=rmpce_reference!$F$3, "Middle Income", "High Income"))</f>
        <v>Middle Income</v>
      </c>
    </row>
    <row r="1139" spans="1:27" x14ac:dyDescent="0.25">
      <c r="A1139">
        <v>6075</v>
      </c>
      <c r="B1139" t="s">
        <v>44</v>
      </c>
      <c r="C1139" t="s">
        <v>33</v>
      </c>
      <c r="D1139">
        <v>25</v>
      </c>
      <c r="E1139" t="s">
        <v>25</v>
      </c>
      <c r="F1139" t="s">
        <v>27</v>
      </c>
      <c r="G1139">
        <v>30</v>
      </c>
      <c r="H1139" s="1" t="str">
        <f>IF(Table1[[#This Row],[anxiety_score]]&lt;=10, "Normal", IF(Table1[[#This Row],[anxiety_score]]&lt;=20, "Moderate", IF(Table1[[#This Row],[anxiety_score]]&lt;=30, "Severe", "Extremely Severe")))</f>
        <v>Severe</v>
      </c>
      <c r="I1139">
        <v>2.0022465999999999</v>
      </c>
      <c r="J1139">
        <v>16</v>
      </c>
      <c r="K1139" s="1" t="str">
        <f>IF(Table1[[#This Row],[stress_score]]&lt;=10, "Normal", IF(Table1[[#This Row],[stress_score]]&lt;=20, "Moderate", IF(Table1[[#This Row],[stress_score]]&lt;=30, "Severe", "Extremely Severe")))</f>
        <v>Moderate</v>
      </c>
      <c r="L1139">
        <v>0.39481880000000003</v>
      </c>
      <c r="M1139">
        <v>28</v>
      </c>
      <c r="N1139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1139">
        <v>1.5880875999999999</v>
      </c>
      <c r="P1139">
        <v>24.666665999999999</v>
      </c>
      <c r="Q1139">
        <f>ROUND(Table1[[#This Row],[dass21_raw_score]],0)</f>
        <v>25</v>
      </c>
      <c r="R1139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139">
        <v>1.3283843</v>
      </c>
      <c r="T1139">
        <v>2.4232939999999998</v>
      </c>
      <c r="U1139">
        <v>5000</v>
      </c>
      <c r="V1139" s="1">
        <f>ROUND(Table1[[#This Row],[fmpce]],0)</f>
        <v>5000</v>
      </c>
      <c r="W1139">
        <v>68.023319999999998</v>
      </c>
      <c r="X1139" s="4">
        <f>Table1[[#This Row],[mpce]]*89</f>
        <v>6054.0754799999995</v>
      </c>
      <c r="Y1139" s="2" t="s">
        <v>28</v>
      </c>
      <c r="Z1139" s="3">
        <f>VLOOKUP(Y1139, rmpce_reference!$B$1:$D$7,3,FALSE) * 89</f>
        <v>6230</v>
      </c>
      <c r="AA1139" s="1" t="str">
        <f>IF(Table1[rmpce_inr]&lt;=rmpce_reference!$F$2, "Low Income", IF(Table1[rmpce_inr]&lt;=rmpce_reference!$F$3, "Middle Income", "High Income"))</f>
        <v>Middle Income</v>
      </c>
    </row>
    <row r="1140" spans="1:27" x14ac:dyDescent="0.25">
      <c r="A1140">
        <v>6076</v>
      </c>
      <c r="B1140" t="s">
        <v>44</v>
      </c>
      <c r="C1140" t="s">
        <v>33</v>
      </c>
      <c r="D1140">
        <v>26</v>
      </c>
      <c r="E1140" t="s">
        <v>25</v>
      </c>
      <c r="F1140" t="s">
        <v>27</v>
      </c>
      <c r="G1140">
        <v>16</v>
      </c>
      <c r="H1140" s="1" t="str">
        <f>IF(Table1[[#This Row],[anxiety_score]]&lt;=10, "Normal", IF(Table1[[#This Row],[anxiety_score]]&lt;=20, "Moderate", IF(Table1[[#This Row],[anxiety_score]]&lt;=30, "Severe", "Extremely Severe")))</f>
        <v>Moderate</v>
      </c>
      <c r="I1140">
        <v>0.59493434000000001</v>
      </c>
      <c r="J1140">
        <v>18</v>
      </c>
      <c r="K1140" s="1" t="str">
        <f>IF(Table1[[#This Row],[stress_score]]&lt;=10, "Normal", IF(Table1[[#This Row],[stress_score]]&lt;=20, "Moderate", IF(Table1[[#This Row],[stress_score]]&lt;=30, "Severe", "Extremely Severe")))</f>
        <v>Moderate</v>
      </c>
      <c r="L1140">
        <v>0.58948003999999998</v>
      </c>
      <c r="M1140">
        <v>18</v>
      </c>
      <c r="N1140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1140">
        <v>0.62490060000000003</v>
      </c>
      <c r="P1140">
        <v>17.333334000000001</v>
      </c>
      <c r="Q1140">
        <f>ROUND(Table1[[#This Row],[dass21_raw_score]],0)</f>
        <v>17</v>
      </c>
      <c r="R1140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1140">
        <v>0.603105</v>
      </c>
      <c r="T1140">
        <v>1.6980150000000001</v>
      </c>
      <c r="U1140">
        <v>2500</v>
      </c>
      <c r="V1140" s="1">
        <f>ROUND(Table1[[#This Row],[fmpce]],0)</f>
        <v>2500</v>
      </c>
      <c r="W1140">
        <v>34.011659999999999</v>
      </c>
      <c r="X1140" s="4">
        <f>Table1[[#This Row],[mpce]]*89</f>
        <v>3027.0377399999998</v>
      </c>
      <c r="Y1140" s="2" t="s">
        <v>34</v>
      </c>
      <c r="Z1140" s="3">
        <f>VLOOKUP(Y1140, rmpce_reference!$B$1:$D$7,3,FALSE) * 89</f>
        <v>2848</v>
      </c>
      <c r="AA1140" s="1" t="str">
        <f>IF(Table1[rmpce_inr]&lt;=rmpce_reference!$F$2, "Low Income", IF(Table1[rmpce_inr]&lt;=rmpce_reference!$F$3, "Middle Income", "High Income"))</f>
        <v>Low Income</v>
      </c>
    </row>
    <row r="1141" spans="1:27" x14ac:dyDescent="0.25">
      <c r="A1141">
        <v>6077</v>
      </c>
      <c r="B1141" t="s">
        <v>44</v>
      </c>
      <c r="C1141" t="s">
        <v>29</v>
      </c>
      <c r="D1141">
        <v>38</v>
      </c>
      <c r="E1141" t="s">
        <v>25</v>
      </c>
      <c r="F1141" t="s">
        <v>26</v>
      </c>
      <c r="G1141">
        <v>22</v>
      </c>
      <c r="H1141" s="1" t="str">
        <f>IF(Table1[[#This Row],[anxiety_score]]&lt;=10, "Normal", IF(Table1[[#This Row],[anxiety_score]]&lt;=20, "Moderate", IF(Table1[[#This Row],[anxiety_score]]&lt;=30, "Severe", "Extremely Severe")))</f>
        <v>Severe</v>
      </c>
      <c r="I1141">
        <v>1.1980683000000001</v>
      </c>
      <c r="J1141">
        <v>16</v>
      </c>
      <c r="K1141" s="1" t="str">
        <f>IF(Table1[[#This Row],[stress_score]]&lt;=10, "Normal", IF(Table1[[#This Row],[stress_score]]&lt;=20, "Moderate", IF(Table1[[#This Row],[stress_score]]&lt;=30, "Severe", "Extremely Severe")))</f>
        <v>Moderate</v>
      </c>
      <c r="L1141">
        <v>0.39481880000000003</v>
      </c>
      <c r="M1141">
        <v>22</v>
      </c>
      <c r="N1141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1141">
        <v>1.0101753</v>
      </c>
      <c r="P1141">
        <v>20</v>
      </c>
      <c r="Q1141">
        <f>ROUND(Table1[[#This Row],[dass21_raw_score]],0)</f>
        <v>20</v>
      </c>
      <c r="R1141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1141">
        <v>0.86768745999999997</v>
      </c>
      <c r="T1141">
        <v>1.9625973999999999</v>
      </c>
      <c r="U1141">
        <v>5000</v>
      </c>
      <c r="V1141" s="1">
        <f>ROUND(Table1[[#This Row],[fmpce]],0)</f>
        <v>5000</v>
      </c>
      <c r="W1141">
        <v>68.023319999999998</v>
      </c>
      <c r="X1141" s="4">
        <f>Table1[[#This Row],[mpce]]*89</f>
        <v>6054.0754799999995</v>
      </c>
      <c r="Y1141" s="2" t="s">
        <v>28</v>
      </c>
      <c r="Z1141" s="3">
        <f>VLOOKUP(Y1141, rmpce_reference!$B$1:$D$7,3,FALSE) * 89</f>
        <v>6230</v>
      </c>
      <c r="AA1141" s="1" t="str">
        <f>IF(Table1[rmpce_inr]&lt;=rmpce_reference!$F$2, "Low Income", IF(Table1[rmpce_inr]&lt;=rmpce_reference!$F$3, "Middle Income", "High Income"))</f>
        <v>Middle Income</v>
      </c>
    </row>
    <row r="1142" spans="1:27" x14ac:dyDescent="0.25">
      <c r="A1142">
        <v>6078</v>
      </c>
      <c r="B1142" t="s">
        <v>44</v>
      </c>
      <c r="C1142" t="s">
        <v>33</v>
      </c>
      <c r="D1142">
        <v>27</v>
      </c>
      <c r="E1142" t="s">
        <v>25</v>
      </c>
      <c r="F1142" t="s">
        <v>30</v>
      </c>
      <c r="G1142">
        <v>30</v>
      </c>
      <c r="H1142" s="1" t="str">
        <f>IF(Table1[[#This Row],[anxiety_score]]&lt;=10, "Normal", IF(Table1[[#This Row],[anxiety_score]]&lt;=20, "Moderate", IF(Table1[[#This Row],[anxiety_score]]&lt;=30, "Severe", "Extremely Severe")))</f>
        <v>Severe</v>
      </c>
      <c r="I1142">
        <v>2.0022465999999999</v>
      </c>
      <c r="J1142">
        <v>18</v>
      </c>
      <c r="K1142" s="1" t="str">
        <f>IF(Table1[[#This Row],[stress_score]]&lt;=10, "Normal", IF(Table1[[#This Row],[stress_score]]&lt;=20, "Moderate", IF(Table1[[#This Row],[stress_score]]&lt;=30, "Severe", "Extremely Severe")))</f>
        <v>Moderate</v>
      </c>
      <c r="L1142">
        <v>0.58948003999999998</v>
      </c>
      <c r="M1142">
        <v>26</v>
      </c>
      <c r="N1142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1142">
        <v>1.3954502</v>
      </c>
      <c r="P1142">
        <v>24.666665999999999</v>
      </c>
      <c r="Q1142">
        <f>ROUND(Table1[[#This Row],[dass21_raw_score]],0)</f>
        <v>25</v>
      </c>
      <c r="R1142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142">
        <v>1.329059</v>
      </c>
      <c r="T1142">
        <v>2.4239687999999999</v>
      </c>
      <c r="U1142">
        <v>8333.3330000000005</v>
      </c>
      <c r="V1142" s="1">
        <f>ROUND(Table1[[#This Row],[fmpce]],0)</f>
        <v>8333</v>
      </c>
      <c r="W1142">
        <v>113.37220000000001</v>
      </c>
      <c r="X1142" s="4">
        <f>Table1[[#This Row],[mpce]]*89</f>
        <v>10090.1258</v>
      </c>
      <c r="Y1142" s="2" t="s">
        <v>35</v>
      </c>
      <c r="Z1142" s="3">
        <f>VLOOKUP(Y1142, rmpce_reference!$B$1:$D$7,3,FALSE) * 89</f>
        <v>9790</v>
      </c>
      <c r="AA1142" s="1" t="str">
        <f>IF(Table1[rmpce_inr]&lt;=rmpce_reference!$F$2, "Low Income", IF(Table1[rmpce_inr]&lt;=rmpce_reference!$F$3, "Middle Income", "High Income"))</f>
        <v>High Income</v>
      </c>
    </row>
    <row r="1143" spans="1:27" x14ac:dyDescent="0.25">
      <c r="A1143">
        <v>6079</v>
      </c>
      <c r="B1143" t="s">
        <v>44</v>
      </c>
      <c r="C1143" t="s">
        <v>29</v>
      </c>
      <c r="D1143">
        <v>40</v>
      </c>
      <c r="E1143" t="s">
        <v>25</v>
      </c>
      <c r="F1143" t="s">
        <v>26</v>
      </c>
      <c r="G1143">
        <v>26</v>
      </c>
      <c r="H1143" s="1" t="str">
        <f>IF(Table1[[#This Row],[anxiety_score]]&lt;=10, "Normal", IF(Table1[[#This Row],[anxiety_score]]&lt;=20, "Moderate", IF(Table1[[#This Row],[anxiety_score]]&lt;=30, "Severe", "Extremely Severe")))</f>
        <v>Severe</v>
      </c>
      <c r="I1143">
        <v>1.6001574999999999</v>
      </c>
      <c r="J1143">
        <v>20</v>
      </c>
      <c r="K1143" s="1" t="str">
        <f>IF(Table1[[#This Row],[stress_score]]&lt;=10, "Normal", IF(Table1[[#This Row],[stress_score]]&lt;=20, "Moderate", IF(Table1[[#This Row],[stress_score]]&lt;=30, "Severe", "Extremely Severe")))</f>
        <v>Moderate</v>
      </c>
      <c r="L1143">
        <v>0.78414130000000004</v>
      </c>
      <c r="M1143">
        <v>28</v>
      </c>
      <c r="N1143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1143">
        <v>1.5880875999999999</v>
      </c>
      <c r="P1143">
        <v>24.666665999999999</v>
      </c>
      <c r="Q1143">
        <f>ROUND(Table1[[#This Row],[dass21_raw_score]],0)</f>
        <v>25</v>
      </c>
      <c r="R1143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143">
        <v>1.3241286999999999</v>
      </c>
      <c r="T1143">
        <v>2.4190388</v>
      </c>
      <c r="U1143">
        <v>3000</v>
      </c>
      <c r="V1143" s="1">
        <f>ROUND(Table1[[#This Row],[fmpce]],0)</f>
        <v>3000</v>
      </c>
      <c r="W1143">
        <v>40.813994999999998</v>
      </c>
      <c r="X1143" s="4">
        <f>Table1[[#This Row],[mpce]]*89</f>
        <v>3632.4455549999998</v>
      </c>
      <c r="Y1143" s="2" t="s">
        <v>32</v>
      </c>
      <c r="Z1143" s="3">
        <f>VLOOKUP(Y1143, rmpce_reference!$B$1:$D$7,3,FALSE) * 89</f>
        <v>4450</v>
      </c>
      <c r="AA1143" s="1" t="str">
        <f>IF(Table1[rmpce_inr]&lt;=rmpce_reference!$F$2, "Low Income", IF(Table1[rmpce_inr]&lt;=rmpce_reference!$F$3, "Middle Income", "High Income"))</f>
        <v>Low Income</v>
      </c>
    </row>
    <row r="1144" spans="1:27" x14ac:dyDescent="0.25">
      <c r="A1144">
        <v>6080</v>
      </c>
      <c r="B1144" t="s">
        <v>44</v>
      </c>
      <c r="C1144" t="s">
        <v>33</v>
      </c>
      <c r="D1144">
        <v>27</v>
      </c>
      <c r="E1144" t="s">
        <v>25</v>
      </c>
      <c r="F1144" t="s">
        <v>30</v>
      </c>
      <c r="G1144">
        <v>24</v>
      </c>
      <c r="H1144" s="1" t="str">
        <f>IF(Table1[[#This Row],[anxiety_score]]&lt;=10, "Normal", IF(Table1[[#This Row],[anxiety_score]]&lt;=20, "Moderate", IF(Table1[[#This Row],[anxiety_score]]&lt;=30, "Severe", "Extremely Severe")))</f>
        <v>Severe</v>
      </c>
      <c r="I1144">
        <v>1.3991127999999999</v>
      </c>
      <c r="J1144">
        <v>16</v>
      </c>
      <c r="K1144" s="1" t="str">
        <f>IF(Table1[[#This Row],[stress_score]]&lt;=10, "Normal", IF(Table1[[#This Row],[stress_score]]&lt;=20, "Moderate", IF(Table1[[#This Row],[stress_score]]&lt;=30, "Severe", "Extremely Severe")))</f>
        <v>Moderate</v>
      </c>
      <c r="L1144">
        <v>0.39481880000000003</v>
      </c>
      <c r="M1144">
        <v>22</v>
      </c>
      <c r="N1144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1144">
        <v>1.0101753</v>
      </c>
      <c r="P1144">
        <v>20.666665999999999</v>
      </c>
      <c r="Q1144">
        <f>ROUND(Table1[[#This Row],[dass21_raw_score]],0)</f>
        <v>21</v>
      </c>
      <c r="R1144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144">
        <v>0.93470233999999996</v>
      </c>
      <c r="T1144">
        <v>2.0296123000000001</v>
      </c>
      <c r="U1144">
        <v>2500</v>
      </c>
      <c r="V1144" s="1">
        <f>ROUND(Table1[[#This Row],[fmpce]],0)</f>
        <v>2500</v>
      </c>
      <c r="W1144">
        <v>34.011659999999999</v>
      </c>
      <c r="X1144" s="4">
        <f>Table1[[#This Row],[mpce]]*89</f>
        <v>3027.0377399999998</v>
      </c>
      <c r="Y1144" s="2" t="s">
        <v>34</v>
      </c>
      <c r="Z1144" s="3">
        <f>VLOOKUP(Y1144, rmpce_reference!$B$1:$D$7,3,FALSE) * 89</f>
        <v>2848</v>
      </c>
      <c r="AA1144" s="1" t="str">
        <f>IF(Table1[rmpce_inr]&lt;=rmpce_reference!$F$2, "Low Income", IF(Table1[rmpce_inr]&lt;=rmpce_reference!$F$3, "Middle Income", "High Income"))</f>
        <v>Low Income</v>
      </c>
    </row>
    <row r="1145" spans="1:27" x14ac:dyDescent="0.25">
      <c r="A1145">
        <v>6081</v>
      </c>
      <c r="B1145" t="s">
        <v>44</v>
      </c>
      <c r="C1145" t="s">
        <v>29</v>
      </c>
      <c r="D1145">
        <v>34</v>
      </c>
      <c r="E1145" t="s">
        <v>25</v>
      </c>
      <c r="F1145" t="s">
        <v>30</v>
      </c>
      <c r="G1145">
        <v>18</v>
      </c>
      <c r="H1145" s="1" t="str">
        <f>IF(Table1[[#This Row],[anxiety_score]]&lt;=10, "Normal", IF(Table1[[#This Row],[anxiety_score]]&lt;=20, "Moderate", IF(Table1[[#This Row],[anxiety_score]]&lt;=30, "Severe", "Extremely Severe")))</f>
        <v>Moderate</v>
      </c>
      <c r="I1145">
        <v>0.79597896000000001</v>
      </c>
      <c r="J1145">
        <v>16</v>
      </c>
      <c r="K1145" s="1" t="str">
        <f>IF(Table1[[#This Row],[stress_score]]&lt;=10, "Normal", IF(Table1[[#This Row],[stress_score]]&lt;=20, "Moderate", IF(Table1[[#This Row],[stress_score]]&lt;=30, "Severe", "Extremely Severe")))</f>
        <v>Moderate</v>
      </c>
      <c r="L1145">
        <v>0.39481880000000003</v>
      </c>
      <c r="M1145">
        <v>20</v>
      </c>
      <c r="N1145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1145">
        <v>0.81753799999999999</v>
      </c>
      <c r="P1145">
        <v>18</v>
      </c>
      <c r="Q1145">
        <f>ROUND(Table1[[#This Row],[dass21_raw_score]],0)</f>
        <v>18</v>
      </c>
      <c r="R1145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1145">
        <v>0.66944530000000002</v>
      </c>
      <c r="T1145">
        <v>1.7643552</v>
      </c>
      <c r="U1145">
        <v>6250</v>
      </c>
      <c r="V1145" s="1">
        <f>ROUND(Table1[[#This Row],[fmpce]],0)</f>
        <v>6250</v>
      </c>
      <c r="W1145">
        <v>85.029150000000001</v>
      </c>
      <c r="X1145" s="4">
        <f>Table1[[#This Row],[mpce]]*89</f>
        <v>7567.5943500000003</v>
      </c>
      <c r="Y1145" s="2" t="s">
        <v>31</v>
      </c>
      <c r="Z1145" s="3">
        <f>VLOOKUP(Y1145, rmpce_reference!$B$1:$D$7,3,FALSE) * 89</f>
        <v>8010</v>
      </c>
      <c r="AA1145" s="1" t="str">
        <f>IF(Table1[rmpce_inr]&lt;=rmpce_reference!$F$2, "Low Income", IF(Table1[rmpce_inr]&lt;=rmpce_reference!$F$3, "Middle Income", "High Income"))</f>
        <v>High Income</v>
      </c>
    </row>
    <row r="1146" spans="1:27" x14ac:dyDescent="0.25">
      <c r="A1146">
        <v>6082</v>
      </c>
      <c r="B1146" t="s">
        <v>44</v>
      </c>
      <c r="C1146" t="s">
        <v>33</v>
      </c>
      <c r="D1146">
        <v>27</v>
      </c>
      <c r="E1146" t="s">
        <v>25</v>
      </c>
      <c r="F1146" t="s">
        <v>30</v>
      </c>
      <c r="G1146">
        <v>8</v>
      </c>
      <c r="H1146" s="1" t="str">
        <f>IF(Table1[[#This Row],[anxiety_score]]&lt;=10, "Normal", IF(Table1[[#This Row],[anxiety_score]]&lt;=20, "Moderate", IF(Table1[[#This Row],[anxiety_score]]&lt;=30, "Severe", "Extremely Severe")))</f>
        <v>Normal</v>
      </c>
      <c r="I1146">
        <v>-0.20924408999999999</v>
      </c>
      <c r="J1146">
        <v>12</v>
      </c>
      <c r="K1146" s="1" t="str">
        <f>IF(Table1[[#This Row],[stress_score]]&lt;=10, "Normal", IF(Table1[[#This Row],[stress_score]]&lt;=20, "Moderate", IF(Table1[[#This Row],[stress_score]]&lt;=30, "Severe", "Extremely Severe")))</f>
        <v>Moderate</v>
      </c>
      <c r="L1146">
        <v>5.496318E-3</v>
      </c>
      <c r="M1146">
        <v>10</v>
      </c>
      <c r="N1146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146">
        <v>-0.14564899000000001</v>
      </c>
      <c r="P1146">
        <v>10</v>
      </c>
      <c r="Q1146">
        <f>ROUND(Table1[[#This Row],[dass21_raw_score]],0)</f>
        <v>10</v>
      </c>
      <c r="R1146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146">
        <v>-0.11646558</v>
      </c>
      <c r="T1146">
        <v>0.97844434000000002</v>
      </c>
      <c r="U1146">
        <v>2500</v>
      </c>
      <c r="V1146" s="1">
        <f>ROUND(Table1[[#This Row],[fmpce]],0)</f>
        <v>2500</v>
      </c>
      <c r="W1146">
        <v>34.011659999999999</v>
      </c>
      <c r="X1146" s="4">
        <f>Table1[[#This Row],[mpce]]*89</f>
        <v>3027.0377399999998</v>
      </c>
      <c r="Y1146" s="2" t="s">
        <v>34</v>
      </c>
      <c r="Z1146" s="3">
        <f>VLOOKUP(Y1146, rmpce_reference!$B$1:$D$7,3,FALSE) * 89</f>
        <v>2848</v>
      </c>
      <c r="AA1146" s="1" t="str">
        <f>IF(Table1[rmpce_inr]&lt;=rmpce_reference!$F$2, "Low Income", IF(Table1[rmpce_inr]&lt;=rmpce_reference!$F$3, "Middle Income", "High Income"))</f>
        <v>Low Income</v>
      </c>
    </row>
    <row r="1147" spans="1:27" x14ac:dyDescent="0.25">
      <c r="A1147">
        <v>6083</v>
      </c>
      <c r="B1147" t="s">
        <v>44</v>
      </c>
      <c r="C1147" t="s">
        <v>29</v>
      </c>
      <c r="D1147">
        <v>32</v>
      </c>
      <c r="E1147" t="s">
        <v>25</v>
      </c>
      <c r="F1147" t="s">
        <v>26</v>
      </c>
      <c r="G1147">
        <v>12</v>
      </c>
      <c r="H1147" s="1" t="str">
        <f>IF(Table1[[#This Row],[anxiety_score]]&lt;=10, "Normal", IF(Table1[[#This Row],[anxiety_score]]&lt;=20, "Moderate", IF(Table1[[#This Row],[anxiety_score]]&lt;=30, "Severe", "Extremely Severe")))</f>
        <v>Moderate</v>
      </c>
      <c r="I1147">
        <v>0.19284514999999999</v>
      </c>
      <c r="J1147">
        <v>8</v>
      </c>
      <c r="K1147" s="1" t="str">
        <f>IF(Table1[[#This Row],[stress_score]]&lt;=10, "Normal", IF(Table1[[#This Row],[stress_score]]&lt;=20, "Moderate", IF(Table1[[#This Row],[stress_score]]&lt;=30, "Severe", "Extremely Severe")))</f>
        <v>Normal</v>
      </c>
      <c r="L1147">
        <v>-0.38382620000000001</v>
      </c>
      <c r="M1147">
        <v>14</v>
      </c>
      <c r="N1147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1147">
        <v>0.23962580999999999</v>
      </c>
      <c r="P1147">
        <v>11.333333</v>
      </c>
      <c r="Q1147">
        <f>ROUND(Table1[[#This Row],[dass21_raw_score]],0)</f>
        <v>11</v>
      </c>
      <c r="R1147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1147">
        <v>1.6214922E-2</v>
      </c>
      <c r="T1147">
        <v>1.1111249000000001</v>
      </c>
      <c r="U1147">
        <v>3333.3332999999998</v>
      </c>
      <c r="V1147" s="1">
        <f>ROUND(Table1[[#This Row],[fmpce]],0)</f>
        <v>3333</v>
      </c>
      <c r="W1147">
        <v>45.348880000000001</v>
      </c>
      <c r="X1147" s="4">
        <f>Table1[[#This Row],[mpce]]*89</f>
        <v>4036.0503200000003</v>
      </c>
      <c r="Y1147" s="2" t="s">
        <v>32</v>
      </c>
      <c r="Z1147" s="3">
        <f>VLOOKUP(Y1147, rmpce_reference!$B$1:$D$7,3,FALSE) * 89</f>
        <v>4450</v>
      </c>
      <c r="AA1147" s="1" t="str">
        <f>IF(Table1[rmpce_inr]&lt;=rmpce_reference!$F$2, "Low Income", IF(Table1[rmpce_inr]&lt;=rmpce_reference!$F$3, "Middle Income", "High Income"))</f>
        <v>Low Income</v>
      </c>
    </row>
    <row r="1148" spans="1:27" x14ac:dyDescent="0.25">
      <c r="A1148">
        <v>6084</v>
      </c>
      <c r="B1148" t="s">
        <v>44</v>
      </c>
      <c r="C1148" t="s">
        <v>33</v>
      </c>
      <c r="D1148">
        <v>26</v>
      </c>
      <c r="E1148" t="s">
        <v>25</v>
      </c>
      <c r="F1148" t="s">
        <v>26</v>
      </c>
      <c r="G1148">
        <v>14</v>
      </c>
      <c r="H1148" s="1" t="str">
        <f>IF(Table1[[#This Row],[anxiety_score]]&lt;=10, "Normal", IF(Table1[[#This Row],[anxiety_score]]&lt;=20, "Moderate", IF(Table1[[#This Row],[anxiety_score]]&lt;=30, "Severe", "Extremely Severe")))</f>
        <v>Moderate</v>
      </c>
      <c r="I1148">
        <v>0.39388975999999998</v>
      </c>
      <c r="J1148">
        <v>6</v>
      </c>
      <c r="K1148" s="1" t="str">
        <f>IF(Table1[[#This Row],[stress_score]]&lt;=10, "Normal", IF(Table1[[#This Row],[stress_score]]&lt;=20, "Moderate", IF(Table1[[#This Row],[stress_score]]&lt;=30, "Severe", "Extremely Severe")))</f>
        <v>Normal</v>
      </c>
      <c r="L1148">
        <v>-0.57848745999999995</v>
      </c>
      <c r="M1148">
        <v>12</v>
      </c>
      <c r="N1148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1148">
        <v>4.6988415999999998E-2</v>
      </c>
      <c r="P1148">
        <v>10.666667</v>
      </c>
      <c r="Q1148">
        <f>ROUND(Table1[[#This Row],[dass21_raw_score]],0)</f>
        <v>11</v>
      </c>
      <c r="R1148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1148">
        <v>-4.5869760000000002E-2</v>
      </c>
      <c r="T1148">
        <v>1.0490402000000001</v>
      </c>
      <c r="U1148">
        <v>5000</v>
      </c>
      <c r="V1148" s="1">
        <f>ROUND(Table1[[#This Row],[fmpce]],0)</f>
        <v>5000</v>
      </c>
      <c r="W1148">
        <v>68.023319999999998</v>
      </c>
      <c r="X1148" s="4">
        <f>Table1[[#This Row],[mpce]]*89</f>
        <v>6054.0754799999995</v>
      </c>
      <c r="Y1148" s="2" t="s">
        <v>28</v>
      </c>
      <c r="Z1148" s="3">
        <f>VLOOKUP(Y1148, rmpce_reference!$B$1:$D$7,3,FALSE) * 89</f>
        <v>6230</v>
      </c>
      <c r="AA1148" s="1" t="str">
        <f>IF(Table1[rmpce_inr]&lt;=rmpce_reference!$F$2, "Low Income", IF(Table1[rmpce_inr]&lt;=rmpce_reference!$F$3, "Middle Income", "High Income"))</f>
        <v>Middle Income</v>
      </c>
    </row>
    <row r="1149" spans="1:27" x14ac:dyDescent="0.25">
      <c r="A1149">
        <v>6085</v>
      </c>
      <c r="B1149" t="s">
        <v>44</v>
      </c>
      <c r="C1149" t="s">
        <v>33</v>
      </c>
      <c r="D1149">
        <v>29</v>
      </c>
      <c r="E1149" t="s">
        <v>25</v>
      </c>
      <c r="F1149" t="s">
        <v>30</v>
      </c>
      <c r="G1149">
        <v>10</v>
      </c>
      <c r="H1149" s="1" t="str">
        <f>IF(Table1[[#This Row],[anxiety_score]]&lt;=10, "Normal", IF(Table1[[#This Row],[anxiety_score]]&lt;=20, "Moderate", IF(Table1[[#This Row],[anxiety_score]]&lt;=30, "Severe", "Extremely Severe")))</f>
        <v>Normal</v>
      </c>
      <c r="I1149">
        <v>-8.1994660000000007E-3</v>
      </c>
      <c r="J1149">
        <v>6</v>
      </c>
      <c r="K1149" s="1" t="str">
        <f>IF(Table1[[#This Row],[stress_score]]&lt;=10, "Normal", IF(Table1[[#This Row],[stress_score]]&lt;=20, "Moderate", IF(Table1[[#This Row],[stress_score]]&lt;=30, "Severe", "Extremely Severe")))</f>
        <v>Normal</v>
      </c>
      <c r="L1149">
        <v>-0.57848745999999995</v>
      </c>
      <c r="M1149">
        <v>4</v>
      </c>
      <c r="N1149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149">
        <v>-0.72356116999999998</v>
      </c>
      <c r="P1149">
        <v>6.6666664999999998</v>
      </c>
      <c r="Q1149">
        <f>ROUND(Table1[[#This Row],[dass21_raw_score]],0)</f>
        <v>7</v>
      </c>
      <c r="R1149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149">
        <v>-0.43674937000000003</v>
      </c>
      <c r="T1149">
        <v>0.65816056999999994</v>
      </c>
      <c r="U1149">
        <v>3000</v>
      </c>
      <c r="V1149" s="1">
        <f>ROUND(Table1[[#This Row],[fmpce]],0)</f>
        <v>3000</v>
      </c>
      <c r="W1149">
        <v>40.813994999999998</v>
      </c>
      <c r="X1149" s="4">
        <f>Table1[[#This Row],[mpce]]*89</f>
        <v>3632.4455549999998</v>
      </c>
      <c r="Y1149" s="2" t="s">
        <v>32</v>
      </c>
      <c r="Z1149" s="3">
        <f>VLOOKUP(Y1149, rmpce_reference!$B$1:$D$7,3,FALSE) * 89</f>
        <v>4450</v>
      </c>
      <c r="AA1149" s="1" t="str">
        <f>IF(Table1[rmpce_inr]&lt;=rmpce_reference!$F$2, "Low Income", IF(Table1[rmpce_inr]&lt;=rmpce_reference!$F$3, "Middle Income", "High Income"))</f>
        <v>Low Income</v>
      </c>
    </row>
    <row r="1150" spans="1:27" x14ac:dyDescent="0.25">
      <c r="A1150">
        <v>6086</v>
      </c>
      <c r="B1150" t="s">
        <v>44</v>
      </c>
      <c r="C1150" t="s">
        <v>33</v>
      </c>
      <c r="D1150">
        <v>27</v>
      </c>
      <c r="E1150" t="s">
        <v>22</v>
      </c>
      <c r="F1150" t="s">
        <v>23</v>
      </c>
      <c r="G1150">
        <v>6</v>
      </c>
      <c r="H1150" s="1" t="str">
        <f>IF(Table1[[#This Row],[anxiety_score]]&lt;=10, "Normal", IF(Table1[[#This Row],[anxiety_score]]&lt;=20, "Moderate", IF(Table1[[#This Row],[anxiety_score]]&lt;=30, "Severe", "Extremely Severe")))</f>
        <v>Normal</v>
      </c>
      <c r="I1150">
        <v>-0.41028870000000001</v>
      </c>
      <c r="J1150">
        <v>8</v>
      </c>
      <c r="K1150" s="1" t="str">
        <f>IF(Table1[[#This Row],[stress_score]]&lt;=10, "Normal", IF(Table1[[#This Row],[stress_score]]&lt;=20, "Moderate", IF(Table1[[#This Row],[stress_score]]&lt;=30, "Severe", "Extremely Severe")))</f>
        <v>Normal</v>
      </c>
      <c r="L1150">
        <v>-0.38382620000000001</v>
      </c>
      <c r="M1150">
        <v>10</v>
      </c>
      <c r="N1150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150">
        <v>-0.14564899000000001</v>
      </c>
      <c r="P1150">
        <v>8</v>
      </c>
      <c r="Q1150">
        <f>ROUND(Table1[[#This Row],[dass21_raw_score]],0)</f>
        <v>8</v>
      </c>
      <c r="R1150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150">
        <v>-0.31325461999999998</v>
      </c>
      <c r="T1150">
        <v>0.78165530000000005</v>
      </c>
      <c r="U1150">
        <v>6250</v>
      </c>
      <c r="V1150" s="1">
        <f>ROUND(Table1[[#This Row],[fmpce]],0)</f>
        <v>6250</v>
      </c>
      <c r="W1150">
        <v>85.029150000000001</v>
      </c>
      <c r="X1150" s="4">
        <f>Table1[[#This Row],[mpce]]*89</f>
        <v>7567.5943500000003</v>
      </c>
      <c r="Y1150" s="2" t="s">
        <v>31</v>
      </c>
      <c r="Z1150" s="3">
        <f>VLOOKUP(Y1150, rmpce_reference!$B$1:$D$7,3,FALSE) * 89</f>
        <v>8010</v>
      </c>
      <c r="AA1150" s="1" t="str">
        <f>IF(Table1[rmpce_inr]&lt;=rmpce_reference!$F$2, "Low Income", IF(Table1[rmpce_inr]&lt;=rmpce_reference!$F$3, "Middle Income", "High Income"))</f>
        <v>High Income</v>
      </c>
    </row>
    <row r="1151" spans="1:27" x14ac:dyDescent="0.25">
      <c r="A1151">
        <v>6087</v>
      </c>
      <c r="B1151" t="s">
        <v>44</v>
      </c>
      <c r="C1151" t="s">
        <v>33</v>
      </c>
      <c r="D1151">
        <v>27</v>
      </c>
      <c r="E1151" t="s">
        <v>22</v>
      </c>
      <c r="F1151" t="s">
        <v>23</v>
      </c>
      <c r="G1151">
        <v>16</v>
      </c>
      <c r="H1151" s="1" t="str">
        <f>IF(Table1[[#This Row],[anxiety_score]]&lt;=10, "Normal", IF(Table1[[#This Row],[anxiety_score]]&lt;=20, "Moderate", IF(Table1[[#This Row],[anxiety_score]]&lt;=30, "Severe", "Extremely Severe")))</f>
        <v>Moderate</v>
      </c>
      <c r="I1151">
        <v>0.59493434000000001</v>
      </c>
      <c r="J1151">
        <v>16</v>
      </c>
      <c r="K1151" s="1" t="str">
        <f>IF(Table1[[#This Row],[stress_score]]&lt;=10, "Normal", IF(Table1[[#This Row],[stress_score]]&lt;=20, "Moderate", IF(Table1[[#This Row],[stress_score]]&lt;=30, "Severe", "Extremely Severe")))</f>
        <v>Moderate</v>
      </c>
      <c r="L1151">
        <v>0.39481880000000003</v>
      </c>
      <c r="M1151">
        <v>18</v>
      </c>
      <c r="N1151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1151">
        <v>0.62490060000000003</v>
      </c>
      <c r="P1151">
        <v>16.666665999999999</v>
      </c>
      <c r="Q1151">
        <f>ROUND(Table1[[#This Row],[dass21_raw_score]],0)</f>
        <v>17</v>
      </c>
      <c r="R1151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1151">
        <v>0.53821790000000003</v>
      </c>
      <c r="T1151">
        <v>1.6331278</v>
      </c>
      <c r="U1151">
        <v>3000</v>
      </c>
      <c r="V1151" s="1">
        <f>ROUND(Table1[[#This Row],[fmpce]],0)</f>
        <v>3000</v>
      </c>
      <c r="W1151">
        <v>40.813994999999998</v>
      </c>
      <c r="X1151" s="4">
        <f>Table1[[#This Row],[mpce]]*89</f>
        <v>3632.4455549999998</v>
      </c>
      <c r="Y1151" s="2" t="s">
        <v>32</v>
      </c>
      <c r="Z1151" s="3">
        <f>VLOOKUP(Y1151, rmpce_reference!$B$1:$D$7,3,FALSE) * 89</f>
        <v>4450</v>
      </c>
      <c r="AA1151" s="1" t="str">
        <f>IF(Table1[rmpce_inr]&lt;=rmpce_reference!$F$2, "Low Income", IF(Table1[rmpce_inr]&lt;=rmpce_reference!$F$3, "Middle Income", "High Income"))</f>
        <v>Low Income</v>
      </c>
    </row>
    <row r="1152" spans="1:27" x14ac:dyDescent="0.25">
      <c r="A1152">
        <v>6088</v>
      </c>
      <c r="B1152" t="s">
        <v>44</v>
      </c>
      <c r="C1152" t="s">
        <v>33</v>
      </c>
      <c r="D1152">
        <v>27</v>
      </c>
      <c r="E1152" t="s">
        <v>22</v>
      </c>
      <c r="F1152" t="s">
        <v>30</v>
      </c>
      <c r="G1152">
        <v>8</v>
      </c>
      <c r="H1152" s="1" t="str">
        <f>IF(Table1[[#This Row],[anxiety_score]]&lt;=10, "Normal", IF(Table1[[#This Row],[anxiety_score]]&lt;=20, "Moderate", IF(Table1[[#This Row],[anxiety_score]]&lt;=30, "Severe", "Extremely Severe")))</f>
        <v>Normal</v>
      </c>
      <c r="I1152">
        <v>-0.20924408999999999</v>
      </c>
      <c r="J1152">
        <v>12</v>
      </c>
      <c r="K1152" s="1" t="str">
        <f>IF(Table1[[#This Row],[stress_score]]&lt;=10, "Normal", IF(Table1[[#This Row],[stress_score]]&lt;=20, "Moderate", IF(Table1[[#This Row],[stress_score]]&lt;=30, "Severe", "Extremely Severe")))</f>
        <v>Moderate</v>
      </c>
      <c r="L1152">
        <v>5.496318E-3</v>
      </c>
      <c r="M1152">
        <v>8</v>
      </c>
      <c r="N1152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152">
        <v>-0.33828637</v>
      </c>
      <c r="P1152">
        <v>9.3333329999999997</v>
      </c>
      <c r="Q1152">
        <f>ROUND(Table1[[#This Row],[dass21_raw_score]],0)</f>
        <v>9</v>
      </c>
      <c r="R1152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152">
        <v>-0.18067804000000001</v>
      </c>
      <c r="T1152">
        <v>0.91423189999999999</v>
      </c>
      <c r="U1152">
        <v>3750</v>
      </c>
      <c r="V1152" s="1">
        <f>ROUND(Table1[[#This Row],[fmpce]],0)</f>
        <v>3750</v>
      </c>
      <c r="W1152">
        <v>51.017493999999999</v>
      </c>
      <c r="X1152" s="4">
        <f>Table1[[#This Row],[mpce]]*89</f>
        <v>4540.5569660000001</v>
      </c>
      <c r="Y1152" s="2" t="s">
        <v>32</v>
      </c>
      <c r="Z1152" s="3">
        <f>VLOOKUP(Y1152, rmpce_reference!$B$1:$D$7,3,FALSE) * 89</f>
        <v>4450</v>
      </c>
      <c r="AA1152" s="1" t="str">
        <f>IF(Table1[rmpce_inr]&lt;=rmpce_reference!$F$2, "Low Income", IF(Table1[rmpce_inr]&lt;=rmpce_reference!$F$3, "Middle Income", "High Income"))</f>
        <v>Low Income</v>
      </c>
    </row>
    <row r="1153" spans="1:27" x14ac:dyDescent="0.25">
      <c r="A1153">
        <v>6089</v>
      </c>
      <c r="B1153" t="s">
        <v>44</v>
      </c>
      <c r="C1153" t="s">
        <v>33</v>
      </c>
      <c r="D1153">
        <v>27</v>
      </c>
      <c r="E1153" t="s">
        <v>22</v>
      </c>
      <c r="F1153" t="s">
        <v>30</v>
      </c>
      <c r="G1153">
        <v>6</v>
      </c>
      <c r="H1153" s="1" t="str">
        <f>IF(Table1[[#This Row],[anxiety_score]]&lt;=10, "Normal", IF(Table1[[#This Row],[anxiety_score]]&lt;=20, "Moderate", IF(Table1[[#This Row],[anxiety_score]]&lt;=30, "Severe", "Extremely Severe")))</f>
        <v>Normal</v>
      </c>
      <c r="I1153">
        <v>-0.41028870000000001</v>
      </c>
      <c r="J1153">
        <v>10</v>
      </c>
      <c r="K1153" s="1" t="str">
        <f>IF(Table1[[#This Row],[stress_score]]&lt;=10, "Normal", IF(Table1[[#This Row],[stress_score]]&lt;=20, "Moderate", IF(Table1[[#This Row],[stress_score]]&lt;=30, "Severe", "Extremely Severe")))</f>
        <v>Normal</v>
      </c>
      <c r="L1153">
        <v>-0.18916494</v>
      </c>
      <c r="M1153">
        <v>10</v>
      </c>
      <c r="N1153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153">
        <v>-0.14564899000000001</v>
      </c>
      <c r="P1153">
        <v>8.6666670000000003</v>
      </c>
      <c r="Q1153">
        <f>ROUND(Table1[[#This Row],[dass21_raw_score]],0)</f>
        <v>9</v>
      </c>
      <c r="R1153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153">
        <v>-0.24836753</v>
      </c>
      <c r="T1153">
        <v>0.84654236000000005</v>
      </c>
      <c r="U1153">
        <v>5000</v>
      </c>
      <c r="V1153" s="1">
        <f>ROUND(Table1[[#This Row],[fmpce]],0)</f>
        <v>5000</v>
      </c>
      <c r="W1153">
        <v>68.023319999999998</v>
      </c>
      <c r="X1153" s="4">
        <f>Table1[[#This Row],[mpce]]*89</f>
        <v>6054.0754799999995</v>
      </c>
      <c r="Y1153" s="2" t="s">
        <v>28</v>
      </c>
      <c r="Z1153" s="3">
        <f>VLOOKUP(Y1153, rmpce_reference!$B$1:$D$7,3,FALSE) * 89</f>
        <v>6230</v>
      </c>
      <c r="AA1153" s="1" t="str">
        <f>IF(Table1[rmpce_inr]&lt;=rmpce_reference!$F$2, "Low Income", IF(Table1[rmpce_inr]&lt;=rmpce_reference!$F$3, "Middle Income", "High Income"))</f>
        <v>Middle Income</v>
      </c>
    </row>
    <row r="1154" spans="1:27" x14ac:dyDescent="0.25">
      <c r="A1154">
        <v>6090</v>
      </c>
      <c r="B1154" t="s">
        <v>44</v>
      </c>
      <c r="C1154" t="s">
        <v>33</v>
      </c>
      <c r="D1154">
        <v>25</v>
      </c>
      <c r="E1154" t="s">
        <v>22</v>
      </c>
      <c r="F1154" t="s">
        <v>30</v>
      </c>
      <c r="G1154">
        <v>8</v>
      </c>
      <c r="H1154" s="1" t="str">
        <f>IF(Table1[[#This Row],[anxiety_score]]&lt;=10, "Normal", IF(Table1[[#This Row],[anxiety_score]]&lt;=20, "Moderate", IF(Table1[[#This Row],[anxiety_score]]&lt;=30, "Severe", "Extremely Severe")))</f>
        <v>Normal</v>
      </c>
      <c r="I1154">
        <v>-0.20924408999999999</v>
      </c>
      <c r="J1154">
        <v>8</v>
      </c>
      <c r="K1154" s="1" t="str">
        <f>IF(Table1[[#This Row],[stress_score]]&lt;=10, "Normal", IF(Table1[[#This Row],[stress_score]]&lt;=20, "Moderate", IF(Table1[[#This Row],[stress_score]]&lt;=30, "Severe", "Extremely Severe")))</f>
        <v>Normal</v>
      </c>
      <c r="L1154">
        <v>-0.38382620000000001</v>
      </c>
      <c r="M1154">
        <v>8</v>
      </c>
      <c r="N1154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154">
        <v>-0.33828637</v>
      </c>
      <c r="P1154">
        <v>8</v>
      </c>
      <c r="Q1154">
        <f>ROUND(Table1[[#This Row],[dass21_raw_score]],0)</f>
        <v>8</v>
      </c>
      <c r="R1154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154">
        <v>-0.31045222</v>
      </c>
      <c r="T1154">
        <v>0.78445770000000004</v>
      </c>
      <c r="U1154">
        <v>3600</v>
      </c>
      <c r="V1154" s="1">
        <f>ROUND(Table1[[#This Row],[fmpce]],0)</f>
        <v>3600</v>
      </c>
      <c r="W1154">
        <v>48.976790000000001</v>
      </c>
      <c r="X1154" s="4">
        <f>Table1[[#This Row],[mpce]]*89</f>
        <v>4358.9343100000006</v>
      </c>
      <c r="Y1154" s="2" t="s">
        <v>32</v>
      </c>
      <c r="Z1154" s="3">
        <f>VLOOKUP(Y1154, rmpce_reference!$B$1:$D$7,3,FALSE) * 89</f>
        <v>4450</v>
      </c>
      <c r="AA1154" s="1" t="str">
        <f>IF(Table1[rmpce_inr]&lt;=rmpce_reference!$F$2, "Low Income", IF(Table1[rmpce_inr]&lt;=rmpce_reference!$F$3, "Middle Income", "High Income"))</f>
        <v>Low Income</v>
      </c>
    </row>
    <row r="1155" spans="1:27" x14ac:dyDescent="0.25">
      <c r="A1155">
        <v>6091</v>
      </c>
      <c r="B1155" t="s">
        <v>44</v>
      </c>
      <c r="C1155" t="s">
        <v>29</v>
      </c>
      <c r="D1155">
        <v>33</v>
      </c>
      <c r="E1155" t="s">
        <v>22</v>
      </c>
      <c r="F1155" t="s">
        <v>23</v>
      </c>
      <c r="G1155">
        <v>18</v>
      </c>
      <c r="H1155" s="1" t="str">
        <f>IF(Table1[[#This Row],[anxiety_score]]&lt;=10, "Normal", IF(Table1[[#This Row],[anxiety_score]]&lt;=20, "Moderate", IF(Table1[[#This Row],[anxiety_score]]&lt;=30, "Severe", "Extremely Severe")))</f>
        <v>Moderate</v>
      </c>
      <c r="I1155">
        <v>0.79597896000000001</v>
      </c>
      <c r="J1155">
        <v>4</v>
      </c>
      <c r="K1155" s="1" t="str">
        <f>IF(Table1[[#This Row],[stress_score]]&lt;=10, "Normal", IF(Table1[[#This Row],[stress_score]]&lt;=20, "Moderate", IF(Table1[[#This Row],[stress_score]]&lt;=30, "Severe", "Extremely Severe")))</f>
        <v>Normal</v>
      </c>
      <c r="L1155">
        <v>-0.77314866000000004</v>
      </c>
      <c r="M1155">
        <v>14</v>
      </c>
      <c r="N1155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1155">
        <v>0.23962580999999999</v>
      </c>
      <c r="P1155">
        <v>12</v>
      </c>
      <c r="Q1155">
        <f>ROUND(Table1[[#This Row],[dass21_raw_score]],0)</f>
        <v>12</v>
      </c>
      <c r="R1155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1155">
        <v>8.7485370000000007E-2</v>
      </c>
      <c r="T1155">
        <v>1.1823952</v>
      </c>
      <c r="U1155">
        <v>4166.6665000000003</v>
      </c>
      <c r="V1155" s="1">
        <f>ROUND(Table1[[#This Row],[fmpce]],0)</f>
        <v>4167</v>
      </c>
      <c r="W1155">
        <v>56.686100000000003</v>
      </c>
      <c r="X1155" s="4">
        <f>Table1[[#This Row],[mpce]]*89</f>
        <v>5045.0628999999999</v>
      </c>
      <c r="Y1155" s="2" t="s">
        <v>32</v>
      </c>
      <c r="Z1155" s="3">
        <f>VLOOKUP(Y1155, rmpce_reference!$B$1:$D$7,3,FALSE) * 89</f>
        <v>4450</v>
      </c>
      <c r="AA1155" s="1" t="str">
        <f>IF(Table1[rmpce_inr]&lt;=rmpce_reference!$F$2, "Low Income", IF(Table1[rmpce_inr]&lt;=rmpce_reference!$F$3, "Middle Income", "High Income"))</f>
        <v>Low Income</v>
      </c>
    </row>
    <row r="1156" spans="1:27" x14ac:dyDescent="0.25">
      <c r="A1156">
        <v>6092</v>
      </c>
      <c r="B1156" t="s">
        <v>44</v>
      </c>
      <c r="C1156" t="s">
        <v>33</v>
      </c>
      <c r="D1156">
        <v>27</v>
      </c>
      <c r="E1156" t="s">
        <v>22</v>
      </c>
      <c r="F1156" t="s">
        <v>23</v>
      </c>
      <c r="G1156">
        <v>4</v>
      </c>
      <c r="H1156" s="1" t="str">
        <f>IF(Table1[[#This Row],[anxiety_score]]&lt;=10, "Normal", IF(Table1[[#This Row],[anxiety_score]]&lt;=20, "Moderate", IF(Table1[[#This Row],[anxiety_score]]&lt;=30, "Severe", "Extremely Severe")))</f>
        <v>Normal</v>
      </c>
      <c r="I1156">
        <v>-0.61133329999999997</v>
      </c>
      <c r="J1156">
        <v>10</v>
      </c>
      <c r="K1156" s="1" t="str">
        <f>IF(Table1[[#This Row],[stress_score]]&lt;=10, "Normal", IF(Table1[[#This Row],[stress_score]]&lt;=20, "Moderate", IF(Table1[[#This Row],[stress_score]]&lt;=30, "Severe", "Extremely Severe")))</f>
        <v>Normal</v>
      </c>
      <c r="L1156">
        <v>-0.18916494</v>
      </c>
      <c r="M1156">
        <v>12</v>
      </c>
      <c r="N1156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1156">
        <v>4.6988415999999998E-2</v>
      </c>
      <c r="P1156">
        <v>8.6666670000000003</v>
      </c>
      <c r="Q1156">
        <f>ROUND(Table1[[#This Row],[dass21_raw_score]],0)</f>
        <v>9</v>
      </c>
      <c r="R1156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156">
        <v>-0.25116994999999998</v>
      </c>
      <c r="T1156">
        <v>0.84374000000000005</v>
      </c>
      <c r="U1156">
        <v>5000</v>
      </c>
      <c r="V1156" s="1">
        <f>ROUND(Table1[[#This Row],[fmpce]],0)</f>
        <v>5000</v>
      </c>
      <c r="W1156">
        <v>68.023319999999998</v>
      </c>
      <c r="X1156" s="4">
        <f>Table1[[#This Row],[mpce]]*89</f>
        <v>6054.0754799999995</v>
      </c>
      <c r="Y1156" s="2" t="s">
        <v>28</v>
      </c>
      <c r="Z1156" s="3">
        <f>VLOOKUP(Y1156, rmpce_reference!$B$1:$D$7,3,FALSE) * 89</f>
        <v>6230</v>
      </c>
      <c r="AA1156" s="1" t="str">
        <f>IF(Table1[rmpce_inr]&lt;=rmpce_reference!$F$2, "Low Income", IF(Table1[rmpce_inr]&lt;=rmpce_reference!$F$3, "Middle Income", "High Income"))</f>
        <v>Middle Income</v>
      </c>
    </row>
    <row r="1157" spans="1:27" x14ac:dyDescent="0.25">
      <c r="A1157">
        <v>6093</v>
      </c>
      <c r="B1157" t="s">
        <v>44</v>
      </c>
      <c r="C1157" t="s">
        <v>29</v>
      </c>
      <c r="D1157">
        <v>36</v>
      </c>
      <c r="E1157" t="s">
        <v>22</v>
      </c>
      <c r="F1157" t="s">
        <v>23</v>
      </c>
      <c r="G1157">
        <v>12</v>
      </c>
      <c r="H1157" s="1" t="str">
        <f>IF(Table1[[#This Row],[anxiety_score]]&lt;=10, "Normal", IF(Table1[[#This Row],[anxiety_score]]&lt;=20, "Moderate", IF(Table1[[#This Row],[anxiety_score]]&lt;=30, "Severe", "Extremely Severe")))</f>
        <v>Moderate</v>
      </c>
      <c r="I1157">
        <v>0.19284514999999999</v>
      </c>
      <c r="J1157">
        <v>12</v>
      </c>
      <c r="K1157" s="1" t="str">
        <f>IF(Table1[[#This Row],[stress_score]]&lt;=10, "Normal", IF(Table1[[#This Row],[stress_score]]&lt;=20, "Moderate", IF(Table1[[#This Row],[stress_score]]&lt;=30, "Severe", "Extremely Severe")))</f>
        <v>Moderate</v>
      </c>
      <c r="L1157">
        <v>5.496318E-3</v>
      </c>
      <c r="M1157">
        <v>22</v>
      </c>
      <c r="N1157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1157">
        <v>1.0101753</v>
      </c>
      <c r="P1157">
        <v>15.333333</v>
      </c>
      <c r="Q1157">
        <f>ROUND(Table1[[#This Row],[dass21_raw_score]],0)</f>
        <v>15</v>
      </c>
      <c r="R1157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1157">
        <v>0.40283894999999997</v>
      </c>
      <c r="T1157">
        <v>1.4977488999999999</v>
      </c>
      <c r="U1157">
        <v>3000</v>
      </c>
      <c r="V1157" s="1">
        <f>ROUND(Table1[[#This Row],[fmpce]],0)</f>
        <v>3000</v>
      </c>
      <c r="W1157">
        <v>40.813994999999998</v>
      </c>
      <c r="X1157" s="4">
        <f>Table1[[#This Row],[mpce]]*89</f>
        <v>3632.4455549999998</v>
      </c>
      <c r="Y1157" s="2" t="s">
        <v>32</v>
      </c>
      <c r="Z1157" s="3">
        <f>VLOOKUP(Y1157, rmpce_reference!$B$1:$D$7,3,FALSE) * 89</f>
        <v>4450</v>
      </c>
      <c r="AA1157" s="1" t="str">
        <f>IF(Table1[rmpce_inr]&lt;=rmpce_reference!$F$2, "Low Income", IF(Table1[rmpce_inr]&lt;=rmpce_reference!$F$3, "Middle Income", "High Income"))</f>
        <v>Low Income</v>
      </c>
    </row>
    <row r="1158" spans="1:27" x14ac:dyDescent="0.25">
      <c r="A1158">
        <v>6094</v>
      </c>
      <c r="B1158" t="s">
        <v>44</v>
      </c>
      <c r="C1158" t="s">
        <v>36</v>
      </c>
      <c r="D1158">
        <v>52</v>
      </c>
      <c r="E1158" t="s">
        <v>22</v>
      </c>
      <c r="F1158" t="s">
        <v>41</v>
      </c>
      <c r="G1158">
        <v>32</v>
      </c>
      <c r="H1158" s="1" t="str">
        <f>IF(Table1[[#This Row],[anxiety_score]]&lt;=10, "Normal", IF(Table1[[#This Row],[anxiety_score]]&lt;=20, "Moderate", IF(Table1[[#This Row],[anxiety_score]]&lt;=30, "Severe", "Extremely Severe")))</f>
        <v>Extremely Severe</v>
      </c>
      <c r="I1158">
        <v>2.2032911999999998</v>
      </c>
      <c r="J1158">
        <v>34</v>
      </c>
      <c r="K1158" s="1" t="str">
        <f>IF(Table1[[#This Row],[stress_score]]&lt;=10, "Normal", IF(Table1[[#This Row],[stress_score]]&lt;=20, "Moderate", IF(Table1[[#This Row],[stress_score]]&lt;=30, "Severe", "Extremely Severe")))</f>
        <v>Extremely Severe</v>
      </c>
      <c r="L1158">
        <v>2.1467700000000001</v>
      </c>
      <c r="M1158">
        <v>36</v>
      </c>
      <c r="N1158" s="1" t="str">
        <f>IF(Table1[[#This Row],[depression_score]]&lt;=10, "Normal", IF(Table1[[#This Row],[depression_score]]&lt;=20, "Moderate", IF(Table1[[#This Row],[depression_score]]&lt;=30, "Severe", "Extremely Severe")))</f>
        <v>Extremely Severe</v>
      </c>
      <c r="O1158">
        <v>2.3586369999999999</v>
      </c>
      <c r="P1158">
        <v>34</v>
      </c>
      <c r="Q1158">
        <f>ROUND(Table1[[#This Row],[dass21_raw_score]],0)</f>
        <v>34</v>
      </c>
      <c r="R1158" s="1" t="str">
        <f>IF(Table1[[#This Row],[round_dass21_raw_score]]&lt;=10, "Normal", IF(Table1[[#This Row],[round_dass21_raw_score]]&lt;=20, "Moderate", IF(Table1[[#This Row],[round_dass21_raw_score]]&lt;=30, "Severe", "Extremely Severe")))</f>
        <v>Extremely Severe</v>
      </c>
      <c r="S1158">
        <v>2.2362327999999998</v>
      </c>
      <c r="T1158">
        <v>3.3311427</v>
      </c>
      <c r="U1158">
        <v>1500</v>
      </c>
      <c r="V1158" s="1">
        <f>ROUND(Table1[[#This Row],[fmpce]],0)</f>
        <v>1500</v>
      </c>
      <c r="W1158">
        <v>20.406998000000002</v>
      </c>
      <c r="X1158" s="4">
        <f>Table1[[#This Row],[mpce]]*89</f>
        <v>1816.2228220000002</v>
      </c>
      <c r="Y1158" s="2" t="s">
        <v>24</v>
      </c>
      <c r="Z1158" s="3">
        <f>VLOOKUP(Y1158, rmpce_reference!$B$1:$D$7,3,FALSE) * 89</f>
        <v>2225</v>
      </c>
      <c r="AA1158" s="1" t="str">
        <f>IF(Table1[rmpce_inr]&lt;=rmpce_reference!$F$2, "Low Income", IF(Table1[rmpce_inr]&lt;=rmpce_reference!$F$3, "Middle Income", "High Income"))</f>
        <v>Low Income</v>
      </c>
    </row>
    <row r="1159" spans="1:27" x14ac:dyDescent="0.25">
      <c r="A1159">
        <v>6095</v>
      </c>
      <c r="B1159" t="s">
        <v>44</v>
      </c>
      <c r="C1159" t="s">
        <v>33</v>
      </c>
      <c r="D1159">
        <v>28</v>
      </c>
      <c r="E1159" t="s">
        <v>22</v>
      </c>
      <c r="F1159" t="s">
        <v>23</v>
      </c>
      <c r="G1159">
        <v>20</v>
      </c>
      <c r="H1159" s="1" t="str">
        <f>IF(Table1[[#This Row],[anxiety_score]]&lt;=10, "Normal", IF(Table1[[#This Row],[anxiety_score]]&lt;=20, "Moderate", IF(Table1[[#This Row],[anxiety_score]]&lt;=30, "Severe", "Extremely Severe")))</f>
        <v>Moderate</v>
      </c>
      <c r="I1159">
        <v>0.99702360000000001</v>
      </c>
      <c r="J1159">
        <v>28</v>
      </c>
      <c r="K1159" s="1" t="str">
        <f>IF(Table1[[#This Row],[stress_score]]&lt;=10, "Normal", IF(Table1[[#This Row],[stress_score]]&lt;=20, "Moderate", IF(Table1[[#This Row],[stress_score]]&lt;=30, "Severe", "Extremely Severe")))</f>
        <v>Severe</v>
      </c>
      <c r="L1159">
        <v>1.5627863</v>
      </c>
      <c r="M1159">
        <v>32</v>
      </c>
      <c r="N1159" s="1" t="str">
        <f>IF(Table1[[#This Row],[depression_score]]&lt;=10, "Normal", IF(Table1[[#This Row],[depression_score]]&lt;=20, "Moderate", IF(Table1[[#This Row],[depression_score]]&lt;=30, "Severe", "Extremely Severe")))</f>
        <v>Extremely Severe</v>
      </c>
      <c r="O1159">
        <v>1.9733623</v>
      </c>
      <c r="P1159">
        <v>26.666665999999999</v>
      </c>
      <c r="Q1159">
        <f>ROUND(Table1[[#This Row],[dass21_raw_score]],0)</f>
        <v>27</v>
      </c>
      <c r="R1159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159">
        <v>1.5110574000000001</v>
      </c>
      <c r="T1159">
        <v>2.6059673000000001</v>
      </c>
      <c r="U1159">
        <v>4000</v>
      </c>
      <c r="V1159" s="1">
        <f>ROUND(Table1[[#This Row],[fmpce]],0)</f>
        <v>4000</v>
      </c>
      <c r="W1159">
        <v>54.418660000000003</v>
      </c>
      <c r="X1159" s="4">
        <f>Table1[[#This Row],[mpce]]*89</f>
        <v>4843.2607400000006</v>
      </c>
      <c r="Y1159" s="2" t="s">
        <v>32</v>
      </c>
      <c r="Z1159" s="3">
        <f>VLOOKUP(Y1159, rmpce_reference!$B$1:$D$7,3,FALSE) * 89</f>
        <v>4450</v>
      </c>
      <c r="AA1159" s="1" t="str">
        <f>IF(Table1[rmpce_inr]&lt;=rmpce_reference!$F$2, "Low Income", IF(Table1[rmpce_inr]&lt;=rmpce_reference!$F$3, "Middle Income", "High Income"))</f>
        <v>Low Income</v>
      </c>
    </row>
    <row r="1160" spans="1:27" x14ac:dyDescent="0.25">
      <c r="A1160">
        <v>6096</v>
      </c>
      <c r="B1160" t="s">
        <v>44</v>
      </c>
      <c r="C1160" t="s">
        <v>33</v>
      </c>
      <c r="D1160">
        <v>25</v>
      </c>
      <c r="E1160" t="s">
        <v>22</v>
      </c>
      <c r="F1160" t="s">
        <v>37</v>
      </c>
      <c r="G1160">
        <v>32</v>
      </c>
      <c r="H1160" s="1" t="str">
        <f>IF(Table1[[#This Row],[anxiety_score]]&lt;=10, "Normal", IF(Table1[[#This Row],[anxiety_score]]&lt;=20, "Moderate", IF(Table1[[#This Row],[anxiety_score]]&lt;=30, "Severe", "Extremely Severe")))</f>
        <v>Extremely Severe</v>
      </c>
      <c r="I1160">
        <v>2.2032911999999998</v>
      </c>
      <c r="J1160">
        <v>32</v>
      </c>
      <c r="K1160" s="1" t="str">
        <f>IF(Table1[[#This Row],[stress_score]]&lt;=10, "Normal", IF(Table1[[#This Row],[stress_score]]&lt;=20, "Moderate", IF(Table1[[#This Row],[stress_score]]&lt;=30, "Severe", "Extremely Severe")))</f>
        <v>Extremely Severe</v>
      </c>
      <c r="L1160">
        <v>1.9521089</v>
      </c>
      <c r="M1160">
        <v>28</v>
      </c>
      <c r="N1160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1160">
        <v>1.5880875999999999</v>
      </c>
      <c r="P1160">
        <v>30.666665999999999</v>
      </c>
      <c r="Q1160">
        <f>ROUND(Table1[[#This Row],[dass21_raw_score]],0)</f>
        <v>31</v>
      </c>
      <c r="R1160" s="1" t="str">
        <f>IF(Table1[[#This Row],[round_dass21_raw_score]]&lt;=10, "Normal", IF(Table1[[#This Row],[round_dass21_raw_score]]&lt;=20, "Moderate", IF(Table1[[#This Row],[round_dass21_raw_score]]&lt;=30, "Severe", "Extremely Severe")))</f>
        <v>Extremely Severe</v>
      </c>
      <c r="S1160">
        <v>1.9144958000000001</v>
      </c>
      <c r="T1160">
        <v>3.0094056</v>
      </c>
      <c r="U1160">
        <v>5000</v>
      </c>
      <c r="V1160" s="1">
        <f>ROUND(Table1[[#This Row],[fmpce]],0)</f>
        <v>5000</v>
      </c>
      <c r="W1160">
        <v>68.023319999999998</v>
      </c>
      <c r="X1160" s="4">
        <f>Table1[[#This Row],[mpce]]*89</f>
        <v>6054.0754799999995</v>
      </c>
      <c r="Y1160" s="2" t="s">
        <v>28</v>
      </c>
      <c r="Z1160" s="3">
        <f>VLOOKUP(Y1160, rmpce_reference!$B$1:$D$7,3,FALSE) * 89</f>
        <v>6230</v>
      </c>
      <c r="AA1160" s="1" t="str">
        <f>IF(Table1[rmpce_inr]&lt;=rmpce_reference!$F$2, "Low Income", IF(Table1[rmpce_inr]&lt;=rmpce_reference!$F$3, "Middle Income", "High Income"))</f>
        <v>Middle Income</v>
      </c>
    </row>
    <row r="1161" spans="1:27" x14ac:dyDescent="0.25">
      <c r="A1161">
        <v>6097</v>
      </c>
      <c r="B1161" t="s">
        <v>44</v>
      </c>
      <c r="C1161" t="s">
        <v>29</v>
      </c>
      <c r="D1161">
        <v>34</v>
      </c>
      <c r="E1161" t="s">
        <v>25</v>
      </c>
      <c r="F1161" t="s">
        <v>37</v>
      </c>
      <c r="G1161">
        <v>2</v>
      </c>
      <c r="H1161" s="1" t="str">
        <f>IF(Table1[[#This Row],[anxiety_score]]&lt;=10, "Normal", IF(Table1[[#This Row],[anxiety_score]]&lt;=20, "Moderate", IF(Table1[[#This Row],[anxiety_score]]&lt;=30, "Severe", "Extremely Severe")))</f>
        <v>Normal</v>
      </c>
      <c r="I1161">
        <v>-0.81237789999999999</v>
      </c>
      <c r="J1161">
        <v>4</v>
      </c>
      <c r="K1161" s="1" t="str">
        <f>IF(Table1[[#This Row],[stress_score]]&lt;=10, "Normal", IF(Table1[[#This Row],[stress_score]]&lt;=20, "Moderate", IF(Table1[[#This Row],[stress_score]]&lt;=30, "Severe", "Extremely Severe")))</f>
        <v>Normal</v>
      </c>
      <c r="L1161">
        <v>-0.77314866000000004</v>
      </c>
      <c r="M1161">
        <v>0</v>
      </c>
      <c r="N1161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161">
        <v>-1.1088359000000001</v>
      </c>
      <c r="P1161">
        <v>2</v>
      </c>
      <c r="Q1161">
        <f>ROUND(Table1[[#This Row],[dass21_raw_score]],0)</f>
        <v>2</v>
      </c>
      <c r="R1161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161">
        <v>-0.89812080000000005</v>
      </c>
      <c r="T1161">
        <v>0.19678909</v>
      </c>
      <c r="U1161">
        <v>2142.8571999999999</v>
      </c>
      <c r="V1161" s="1">
        <f>ROUND(Table1[[#This Row],[fmpce]],0)</f>
        <v>2143</v>
      </c>
      <c r="W1161">
        <v>29.152853</v>
      </c>
      <c r="X1161" s="4">
        <f>Table1[[#This Row],[mpce]]*89</f>
        <v>2594.6039169999999</v>
      </c>
      <c r="Y1161" s="2" t="s">
        <v>34</v>
      </c>
      <c r="Z1161" s="3">
        <f>VLOOKUP(Y1161, rmpce_reference!$B$1:$D$7,3,FALSE) * 89</f>
        <v>2848</v>
      </c>
      <c r="AA1161" s="1" t="str">
        <f>IF(Table1[rmpce_inr]&lt;=rmpce_reference!$F$2, "Low Income", IF(Table1[rmpce_inr]&lt;=rmpce_reference!$F$3, "Middle Income", "High Income"))</f>
        <v>Low Income</v>
      </c>
    </row>
    <row r="1162" spans="1:27" x14ac:dyDescent="0.25">
      <c r="A1162">
        <v>6098</v>
      </c>
      <c r="B1162" t="s">
        <v>44</v>
      </c>
      <c r="C1162" t="s">
        <v>33</v>
      </c>
      <c r="D1162">
        <v>28</v>
      </c>
      <c r="E1162" t="s">
        <v>22</v>
      </c>
      <c r="F1162" t="s">
        <v>30</v>
      </c>
      <c r="G1162">
        <v>18</v>
      </c>
      <c r="H1162" s="1" t="str">
        <f>IF(Table1[[#This Row],[anxiety_score]]&lt;=10, "Normal", IF(Table1[[#This Row],[anxiety_score]]&lt;=20, "Moderate", IF(Table1[[#This Row],[anxiety_score]]&lt;=30, "Severe", "Extremely Severe")))</f>
        <v>Moderate</v>
      </c>
      <c r="I1162">
        <v>0.79597896000000001</v>
      </c>
      <c r="J1162">
        <v>28</v>
      </c>
      <c r="K1162" s="1" t="str">
        <f>IF(Table1[[#This Row],[stress_score]]&lt;=10, "Normal", IF(Table1[[#This Row],[stress_score]]&lt;=20, "Moderate", IF(Table1[[#This Row],[stress_score]]&lt;=30, "Severe", "Extremely Severe")))</f>
        <v>Severe</v>
      </c>
      <c r="L1162">
        <v>1.5627863</v>
      </c>
      <c r="M1162">
        <v>22</v>
      </c>
      <c r="N1162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1162">
        <v>1.0101753</v>
      </c>
      <c r="P1162">
        <v>22.666665999999999</v>
      </c>
      <c r="Q1162">
        <f>ROUND(Table1[[#This Row],[dass21_raw_score]],0)</f>
        <v>23</v>
      </c>
      <c r="R1162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162">
        <v>1.1229802</v>
      </c>
      <c r="T1162">
        <v>2.2178903000000001</v>
      </c>
      <c r="U1162">
        <v>4000</v>
      </c>
      <c r="V1162" s="1">
        <f>ROUND(Table1[[#This Row],[fmpce]],0)</f>
        <v>4000</v>
      </c>
      <c r="W1162">
        <v>54.418660000000003</v>
      </c>
      <c r="X1162" s="4">
        <f>Table1[[#This Row],[mpce]]*89</f>
        <v>4843.2607400000006</v>
      </c>
      <c r="Y1162" s="2" t="s">
        <v>32</v>
      </c>
      <c r="Z1162" s="3">
        <f>VLOOKUP(Y1162, rmpce_reference!$B$1:$D$7,3,FALSE) * 89</f>
        <v>4450</v>
      </c>
      <c r="AA1162" s="1" t="str">
        <f>IF(Table1[rmpce_inr]&lt;=rmpce_reference!$F$2, "Low Income", IF(Table1[rmpce_inr]&lt;=rmpce_reference!$F$3, "Middle Income", "High Income"))</f>
        <v>Low Income</v>
      </c>
    </row>
    <row r="1163" spans="1:27" x14ac:dyDescent="0.25">
      <c r="A1163">
        <v>6099</v>
      </c>
      <c r="B1163" t="s">
        <v>44</v>
      </c>
      <c r="C1163" t="s">
        <v>29</v>
      </c>
      <c r="D1163">
        <v>32</v>
      </c>
      <c r="E1163" t="s">
        <v>22</v>
      </c>
      <c r="F1163" t="s">
        <v>30</v>
      </c>
      <c r="G1163">
        <v>20</v>
      </c>
      <c r="H1163" s="1" t="str">
        <f>IF(Table1[[#This Row],[anxiety_score]]&lt;=10, "Normal", IF(Table1[[#This Row],[anxiety_score]]&lt;=20, "Moderate", IF(Table1[[#This Row],[anxiety_score]]&lt;=30, "Severe", "Extremely Severe")))</f>
        <v>Moderate</v>
      </c>
      <c r="I1163">
        <v>0.99702360000000001</v>
      </c>
      <c r="J1163">
        <v>26</v>
      </c>
      <c r="K1163" s="1" t="str">
        <f>IF(Table1[[#This Row],[stress_score]]&lt;=10, "Normal", IF(Table1[[#This Row],[stress_score]]&lt;=20, "Moderate", IF(Table1[[#This Row],[stress_score]]&lt;=30, "Severe", "Extremely Severe")))</f>
        <v>Severe</v>
      </c>
      <c r="L1163">
        <v>1.3681251000000001</v>
      </c>
      <c r="M1163">
        <v>14</v>
      </c>
      <c r="N1163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1163">
        <v>0.23962580999999999</v>
      </c>
      <c r="P1163">
        <v>20</v>
      </c>
      <c r="Q1163">
        <f>ROUND(Table1[[#This Row],[dass21_raw_score]],0)</f>
        <v>20</v>
      </c>
      <c r="R1163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1163">
        <v>0.86825819999999998</v>
      </c>
      <c r="T1163">
        <v>1.9631681000000001</v>
      </c>
      <c r="U1163">
        <v>1857.1428000000001</v>
      </c>
      <c r="V1163" s="1">
        <f>ROUND(Table1[[#This Row],[fmpce]],0)</f>
        <v>1857</v>
      </c>
      <c r="W1163">
        <v>25.265806000000001</v>
      </c>
      <c r="X1163" s="4">
        <f>Table1[[#This Row],[mpce]]*89</f>
        <v>2248.6567340000001</v>
      </c>
      <c r="Y1163" s="2" t="s">
        <v>34</v>
      </c>
      <c r="Z1163" s="3">
        <f>VLOOKUP(Y1163, rmpce_reference!$B$1:$D$7,3,FALSE) * 89</f>
        <v>2848</v>
      </c>
      <c r="AA1163" s="1" t="str">
        <f>IF(Table1[rmpce_inr]&lt;=rmpce_reference!$F$2, "Low Income", IF(Table1[rmpce_inr]&lt;=rmpce_reference!$F$3, "Middle Income", "High Income"))</f>
        <v>Low Income</v>
      </c>
    </row>
    <row r="1164" spans="1:27" x14ac:dyDescent="0.25">
      <c r="A1164">
        <v>6100</v>
      </c>
      <c r="B1164" t="s">
        <v>44</v>
      </c>
      <c r="C1164" t="s">
        <v>33</v>
      </c>
      <c r="D1164">
        <v>26</v>
      </c>
      <c r="E1164" t="s">
        <v>22</v>
      </c>
      <c r="F1164" t="s">
        <v>30</v>
      </c>
      <c r="G1164">
        <v>0</v>
      </c>
      <c r="H1164" s="1" t="str">
        <f>IF(Table1[[#This Row],[anxiety_score]]&lt;=10, "Normal", IF(Table1[[#This Row],[anxiety_score]]&lt;=20, "Moderate", IF(Table1[[#This Row],[anxiety_score]]&lt;=30, "Severe", "Extremely Severe")))</f>
        <v>Normal</v>
      </c>
      <c r="I1164">
        <v>-1.0134224999999999</v>
      </c>
      <c r="J1164">
        <v>8</v>
      </c>
      <c r="K1164" s="1" t="str">
        <f>IF(Table1[[#This Row],[stress_score]]&lt;=10, "Normal", IF(Table1[[#This Row],[stress_score]]&lt;=20, "Moderate", IF(Table1[[#This Row],[stress_score]]&lt;=30, "Severe", "Extremely Severe")))</f>
        <v>Normal</v>
      </c>
      <c r="L1164">
        <v>-0.38382620000000001</v>
      </c>
      <c r="M1164">
        <v>8</v>
      </c>
      <c r="N1164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164">
        <v>-0.33828637</v>
      </c>
      <c r="P1164">
        <v>5.3333335000000002</v>
      </c>
      <c r="Q1164">
        <f>ROUND(Table1[[#This Row],[dass21_raw_score]],0)</f>
        <v>5</v>
      </c>
      <c r="R1164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164">
        <v>-0.57851169999999996</v>
      </c>
      <c r="T1164">
        <v>0.51639820000000003</v>
      </c>
      <c r="U1164">
        <v>6666.6665000000003</v>
      </c>
      <c r="V1164" s="1">
        <f>ROUND(Table1[[#This Row],[fmpce]],0)</f>
        <v>6667</v>
      </c>
      <c r="W1164">
        <v>90.697760000000002</v>
      </c>
      <c r="X1164" s="4">
        <f>Table1[[#This Row],[mpce]]*89</f>
        <v>8072.1006400000006</v>
      </c>
      <c r="Y1164" s="2" t="s">
        <v>31</v>
      </c>
      <c r="Z1164" s="3">
        <f>VLOOKUP(Y1164, rmpce_reference!$B$1:$D$7,3,FALSE) * 89</f>
        <v>8010</v>
      </c>
      <c r="AA1164" s="1" t="str">
        <f>IF(Table1[rmpce_inr]&lt;=rmpce_reference!$F$2, "Low Income", IF(Table1[rmpce_inr]&lt;=rmpce_reference!$F$3, "Middle Income", "High Income"))</f>
        <v>High Income</v>
      </c>
    </row>
    <row r="1165" spans="1:27" x14ac:dyDescent="0.25">
      <c r="A1165">
        <v>6101</v>
      </c>
      <c r="B1165" t="s">
        <v>44</v>
      </c>
      <c r="C1165" t="s">
        <v>33</v>
      </c>
      <c r="D1165">
        <v>27</v>
      </c>
      <c r="E1165" t="s">
        <v>22</v>
      </c>
      <c r="F1165" t="s">
        <v>30</v>
      </c>
      <c r="G1165">
        <v>10</v>
      </c>
      <c r="H1165" s="1" t="str">
        <f>IF(Table1[[#This Row],[anxiety_score]]&lt;=10, "Normal", IF(Table1[[#This Row],[anxiety_score]]&lt;=20, "Moderate", IF(Table1[[#This Row],[anxiety_score]]&lt;=30, "Severe", "Extremely Severe")))</f>
        <v>Normal</v>
      </c>
      <c r="I1165">
        <v>-8.1994660000000007E-3</v>
      </c>
      <c r="J1165">
        <v>12</v>
      </c>
      <c r="K1165" s="1" t="str">
        <f>IF(Table1[[#This Row],[stress_score]]&lt;=10, "Normal", IF(Table1[[#This Row],[stress_score]]&lt;=20, "Moderate", IF(Table1[[#This Row],[stress_score]]&lt;=30, "Severe", "Extremely Severe")))</f>
        <v>Moderate</v>
      </c>
      <c r="L1165">
        <v>5.496318E-3</v>
      </c>
      <c r="M1165">
        <v>20</v>
      </c>
      <c r="N1165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1165">
        <v>0.81753799999999999</v>
      </c>
      <c r="P1165">
        <v>14</v>
      </c>
      <c r="Q1165">
        <f>ROUND(Table1[[#This Row],[dass21_raw_score]],0)</f>
        <v>14</v>
      </c>
      <c r="R1165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1165">
        <v>0.27161162999999999</v>
      </c>
      <c r="T1165">
        <v>1.3665216</v>
      </c>
      <c r="U1165">
        <v>5000</v>
      </c>
      <c r="V1165" s="1">
        <f>ROUND(Table1[[#This Row],[fmpce]],0)</f>
        <v>5000</v>
      </c>
      <c r="W1165">
        <v>68.023319999999998</v>
      </c>
      <c r="X1165" s="4">
        <f>Table1[[#This Row],[mpce]]*89</f>
        <v>6054.0754799999995</v>
      </c>
      <c r="Y1165" s="2" t="s">
        <v>28</v>
      </c>
      <c r="Z1165" s="3">
        <f>VLOOKUP(Y1165, rmpce_reference!$B$1:$D$7,3,FALSE) * 89</f>
        <v>6230</v>
      </c>
      <c r="AA1165" s="1" t="str">
        <f>IF(Table1[rmpce_inr]&lt;=rmpce_reference!$F$2, "Low Income", IF(Table1[rmpce_inr]&lt;=rmpce_reference!$F$3, "Middle Income", "High Income"))</f>
        <v>Middle Income</v>
      </c>
    </row>
    <row r="1166" spans="1:27" x14ac:dyDescent="0.25">
      <c r="A1166">
        <v>6102</v>
      </c>
      <c r="B1166" t="s">
        <v>44</v>
      </c>
      <c r="C1166" t="s">
        <v>29</v>
      </c>
      <c r="D1166">
        <v>39</v>
      </c>
      <c r="E1166" t="s">
        <v>22</v>
      </c>
      <c r="F1166" t="s">
        <v>30</v>
      </c>
      <c r="G1166">
        <v>10</v>
      </c>
      <c r="H1166" s="1" t="str">
        <f>IF(Table1[[#This Row],[anxiety_score]]&lt;=10, "Normal", IF(Table1[[#This Row],[anxiety_score]]&lt;=20, "Moderate", IF(Table1[[#This Row],[anxiety_score]]&lt;=30, "Severe", "Extremely Severe")))</f>
        <v>Normal</v>
      </c>
      <c r="I1166">
        <v>-8.1994660000000007E-3</v>
      </c>
      <c r="J1166">
        <v>16</v>
      </c>
      <c r="K1166" s="1" t="str">
        <f>IF(Table1[[#This Row],[stress_score]]&lt;=10, "Normal", IF(Table1[[#This Row],[stress_score]]&lt;=20, "Moderate", IF(Table1[[#This Row],[stress_score]]&lt;=30, "Severe", "Extremely Severe")))</f>
        <v>Moderate</v>
      </c>
      <c r="L1166">
        <v>0.39481880000000003</v>
      </c>
      <c r="M1166">
        <v>6</v>
      </c>
      <c r="N1166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166">
        <v>-0.53092379999999995</v>
      </c>
      <c r="P1166">
        <v>10.666667</v>
      </c>
      <c r="Q1166">
        <f>ROUND(Table1[[#This Row],[dass21_raw_score]],0)</f>
        <v>11</v>
      </c>
      <c r="R1166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1166">
        <v>-4.8101476999999997E-2</v>
      </c>
      <c r="T1166">
        <v>1.0468085</v>
      </c>
      <c r="U1166">
        <v>6666.6665000000003</v>
      </c>
      <c r="V1166" s="1">
        <f>ROUND(Table1[[#This Row],[fmpce]],0)</f>
        <v>6667</v>
      </c>
      <c r="W1166">
        <v>90.697760000000002</v>
      </c>
      <c r="X1166" s="4">
        <f>Table1[[#This Row],[mpce]]*89</f>
        <v>8072.1006400000006</v>
      </c>
      <c r="Y1166" s="2" t="s">
        <v>31</v>
      </c>
      <c r="Z1166" s="3">
        <f>VLOOKUP(Y1166, rmpce_reference!$B$1:$D$7,3,FALSE) * 89</f>
        <v>8010</v>
      </c>
      <c r="AA1166" s="1" t="str">
        <f>IF(Table1[rmpce_inr]&lt;=rmpce_reference!$F$2, "Low Income", IF(Table1[rmpce_inr]&lt;=rmpce_reference!$F$3, "Middle Income", "High Income"))</f>
        <v>High Income</v>
      </c>
    </row>
    <row r="1167" spans="1:27" x14ac:dyDescent="0.25">
      <c r="A1167">
        <v>6103</v>
      </c>
      <c r="B1167" t="s">
        <v>44</v>
      </c>
      <c r="C1167" t="s">
        <v>33</v>
      </c>
      <c r="D1167">
        <v>25</v>
      </c>
      <c r="E1167" t="s">
        <v>22</v>
      </c>
      <c r="F1167" t="s">
        <v>38</v>
      </c>
      <c r="G1167">
        <v>10</v>
      </c>
      <c r="H1167" s="1" t="str">
        <f>IF(Table1[[#This Row],[anxiety_score]]&lt;=10, "Normal", IF(Table1[[#This Row],[anxiety_score]]&lt;=20, "Moderate", IF(Table1[[#This Row],[anxiety_score]]&lt;=30, "Severe", "Extremely Severe")))</f>
        <v>Normal</v>
      </c>
      <c r="I1167">
        <v>-8.1994660000000007E-3</v>
      </c>
      <c r="J1167">
        <v>16</v>
      </c>
      <c r="K1167" s="1" t="str">
        <f>IF(Table1[[#This Row],[stress_score]]&lt;=10, "Normal", IF(Table1[[#This Row],[stress_score]]&lt;=20, "Moderate", IF(Table1[[#This Row],[stress_score]]&lt;=30, "Severe", "Extremely Severe")))</f>
        <v>Moderate</v>
      </c>
      <c r="L1167">
        <v>0.39481880000000003</v>
      </c>
      <c r="M1167">
        <v>18</v>
      </c>
      <c r="N1167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1167">
        <v>0.62490060000000003</v>
      </c>
      <c r="P1167">
        <v>14.666667</v>
      </c>
      <c r="Q1167">
        <f>ROUND(Table1[[#This Row],[dass21_raw_score]],0)</f>
        <v>15</v>
      </c>
      <c r="R1167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1167">
        <v>0.33717330000000001</v>
      </c>
      <c r="T1167">
        <v>1.4320831999999999</v>
      </c>
      <c r="U1167">
        <v>5000</v>
      </c>
      <c r="V1167" s="1">
        <f>ROUND(Table1[[#This Row],[fmpce]],0)</f>
        <v>5000</v>
      </c>
      <c r="W1167">
        <v>68.023319999999998</v>
      </c>
      <c r="X1167" s="4">
        <f>Table1[[#This Row],[mpce]]*89</f>
        <v>6054.0754799999995</v>
      </c>
      <c r="Y1167" s="2" t="s">
        <v>28</v>
      </c>
      <c r="Z1167" s="3">
        <f>VLOOKUP(Y1167, rmpce_reference!$B$1:$D$7,3,FALSE) * 89</f>
        <v>6230</v>
      </c>
      <c r="AA1167" s="1" t="str">
        <f>IF(Table1[rmpce_inr]&lt;=rmpce_reference!$F$2, "Low Income", IF(Table1[rmpce_inr]&lt;=rmpce_reference!$F$3, "Middle Income", "High Income"))</f>
        <v>Middle Income</v>
      </c>
    </row>
    <row r="1168" spans="1:27" x14ac:dyDescent="0.25">
      <c r="A1168">
        <v>6104</v>
      </c>
      <c r="B1168" t="s">
        <v>44</v>
      </c>
      <c r="C1168" t="s">
        <v>29</v>
      </c>
      <c r="D1168">
        <v>32</v>
      </c>
      <c r="E1168" t="s">
        <v>22</v>
      </c>
      <c r="F1168" t="s">
        <v>30</v>
      </c>
      <c r="G1168">
        <v>16</v>
      </c>
      <c r="H1168" s="1" t="str">
        <f>IF(Table1[[#This Row],[anxiety_score]]&lt;=10, "Normal", IF(Table1[[#This Row],[anxiety_score]]&lt;=20, "Moderate", IF(Table1[[#This Row],[anxiety_score]]&lt;=30, "Severe", "Extremely Severe")))</f>
        <v>Moderate</v>
      </c>
      <c r="I1168">
        <v>0.59493434000000001</v>
      </c>
      <c r="J1168">
        <v>24</v>
      </c>
      <c r="K1168" s="1" t="str">
        <f>IF(Table1[[#This Row],[stress_score]]&lt;=10, "Normal", IF(Table1[[#This Row],[stress_score]]&lt;=20, "Moderate", IF(Table1[[#This Row],[stress_score]]&lt;=30, "Severe", "Extremely Severe")))</f>
        <v>Severe</v>
      </c>
      <c r="L1168">
        <v>1.1734637999999999</v>
      </c>
      <c r="M1168">
        <v>16</v>
      </c>
      <c r="N1168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1168">
        <v>0.43226320000000001</v>
      </c>
      <c r="P1168">
        <v>18.666665999999999</v>
      </c>
      <c r="Q1168">
        <f>ROUND(Table1[[#This Row],[dass21_raw_score]],0)</f>
        <v>19</v>
      </c>
      <c r="R1168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1168">
        <v>0.73355376999999999</v>
      </c>
      <c r="T1168">
        <v>1.8284636999999999</v>
      </c>
      <c r="U1168">
        <v>5000</v>
      </c>
      <c r="V1168" s="1">
        <f>ROUND(Table1[[#This Row],[fmpce]],0)</f>
        <v>5000</v>
      </c>
      <c r="W1168">
        <v>68.023319999999998</v>
      </c>
      <c r="X1168" s="4">
        <f>Table1[[#This Row],[mpce]]*89</f>
        <v>6054.0754799999995</v>
      </c>
      <c r="Y1168" s="2" t="s">
        <v>28</v>
      </c>
      <c r="Z1168" s="3">
        <f>VLOOKUP(Y1168, rmpce_reference!$B$1:$D$7,3,FALSE) * 89</f>
        <v>6230</v>
      </c>
      <c r="AA1168" s="1" t="str">
        <f>IF(Table1[rmpce_inr]&lt;=rmpce_reference!$F$2, "Low Income", IF(Table1[rmpce_inr]&lt;=rmpce_reference!$F$3, "Middle Income", "High Income"))</f>
        <v>Middle Income</v>
      </c>
    </row>
    <row r="1169" spans="1:27" x14ac:dyDescent="0.25">
      <c r="A1169">
        <v>6105</v>
      </c>
      <c r="B1169" t="s">
        <v>44</v>
      </c>
      <c r="C1169" t="s">
        <v>33</v>
      </c>
      <c r="D1169">
        <v>29</v>
      </c>
      <c r="E1169" t="s">
        <v>22</v>
      </c>
      <c r="F1169" t="s">
        <v>23</v>
      </c>
      <c r="G1169">
        <v>34</v>
      </c>
      <c r="H1169" s="1" t="str">
        <f>IF(Table1[[#This Row],[anxiety_score]]&lt;=10, "Normal", IF(Table1[[#This Row],[anxiety_score]]&lt;=20, "Moderate", IF(Table1[[#This Row],[anxiety_score]]&lt;=30, "Severe", "Extremely Severe")))</f>
        <v>Extremely Severe</v>
      </c>
      <c r="I1169">
        <v>2.4043359999999998</v>
      </c>
      <c r="J1169">
        <v>36</v>
      </c>
      <c r="K1169" s="1" t="str">
        <f>IF(Table1[[#This Row],[stress_score]]&lt;=10, "Normal", IF(Table1[[#This Row],[stress_score]]&lt;=20, "Moderate", IF(Table1[[#This Row],[stress_score]]&lt;=30, "Severe", "Extremely Severe")))</f>
        <v>Extremely Severe</v>
      </c>
      <c r="L1169">
        <v>2.3414313999999998</v>
      </c>
      <c r="M1169">
        <v>34</v>
      </c>
      <c r="N1169" s="1" t="str">
        <f>IF(Table1[[#This Row],[depression_score]]&lt;=10, "Normal", IF(Table1[[#This Row],[depression_score]]&lt;=20, "Moderate", IF(Table1[[#This Row],[depression_score]]&lt;=30, "Severe", "Extremely Severe")))</f>
        <v>Extremely Severe</v>
      </c>
      <c r="O1169">
        <v>2.1659999999999999</v>
      </c>
      <c r="P1169">
        <v>34.666668000000001</v>
      </c>
      <c r="Q1169">
        <f>ROUND(Table1[[#This Row],[dass21_raw_score]],0)</f>
        <v>35</v>
      </c>
      <c r="R1169" s="1" t="str">
        <f>IF(Table1[[#This Row],[round_dass21_raw_score]]&lt;=10, "Normal", IF(Table1[[#This Row],[round_dass21_raw_score]]&lt;=20, "Moderate", IF(Table1[[#This Row],[round_dass21_raw_score]]&lt;=30, "Severe", "Extremely Severe")))</f>
        <v>Extremely Severe</v>
      </c>
      <c r="S1169">
        <v>2.3039223999999998</v>
      </c>
      <c r="T1169">
        <v>3.3988323</v>
      </c>
      <c r="U1169">
        <v>3750</v>
      </c>
      <c r="V1169" s="1">
        <f>ROUND(Table1[[#This Row],[fmpce]],0)</f>
        <v>3750</v>
      </c>
      <c r="W1169">
        <v>51.017493999999999</v>
      </c>
      <c r="X1169" s="4">
        <f>Table1[[#This Row],[mpce]]*89</f>
        <v>4540.5569660000001</v>
      </c>
      <c r="Y1169" s="2" t="s">
        <v>32</v>
      </c>
      <c r="Z1169" s="3">
        <f>VLOOKUP(Y1169, rmpce_reference!$B$1:$D$7,3,FALSE) * 89</f>
        <v>4450</v>
      </c>
      <c r="AA1169" s="1" t="str">
        <f>IF(Table1[rmpce_inr]&lt;=rmpce_reference!$F$2, "Low Income", IF(Table1[rmpce_inr]&lt;=rmpce_reference!$F$3, "Middle Income", "High Income"))</f>
        <v>Low Income</v>
      </c>
    </row>
    <row r="1170" spans="1:27" x14ac:dyDescent="0.25">
      <c r="A1170">
        <v>6106</v>
      </c>
      <c r="B1170" t="s">
        <v>44</v>
      </c>
      <c r="C1170" t="s">
        <v>29</v>
      </c>
      <c r="D1170">
        <v>31</v>
      </c>
      <c r="E1170" t="s">
        <v>22</v>
      </c>
      <c r="F1170" t="s">
        <v>30</v>
      </c>
      <c r="G1170">
        <v>24</v>
      </c>
      <c r="H1170" s="1" t="str">
        <f>IF(Table1[[#This Row],[anxiety_score]]&lt;=10, "Normal", IF(Table1[[#This Row],[anxiety_score]]&lt;=20, "Moderate", IF(Table1[[#This Row],[anxiety_score]]&lt;=30, "Severe", "Extremely Severe")))</f>
        <v>Severe</v>
      </c>
      <c r="I1170">
        <v>1.3991127999999999</v>
      </c>
      <c r="J1170">
        <v>28</v>
      </c>
      <c r="K1170" s="1" t="str">
        <f>IF(Table1[[#This Row],[stress_score]]&lt;=10, "Normal", IF(Table1[[#This Row],[stress_score]]&lt;=20, "Moderate", IF(Table1[[#This Row],[stress_score]]&lt;=30, "Severe", "Extremely Severe")))</f>
        <v>Severe</v>
      </c>
      <c r="L1170">
        <v>1.5627863</v>
      </c>
      <c r="M1170">
        <v>18</v>
      </c>
      <c r="N1170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1170">
        <v>0.62490060000000003</v>
      </c>
      <c r="P1170">
        <v>23.333334000000001</v>
      </c>
      <c r="Q1170">
        <f>ROUND(Table1[[#This Row],[dass21_raw_score]],0)</f>
        <v>23</v>
      </c>
      <c r="R1170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170">
        <v>1.1955998999999999</v>
      </c>
      <c r="T1170">
        <v>2.2905096999999999</v>
      </c>
      <c r="U1170">
        <v>2500</v>
      </c>
      <c r="V1170" s="1">
        <f>ROUND(Table1[[#This Row],[fmpce]],0)</f>
        <v>2500</v>
      </c>
      <c r="W1170">
        <v>34.011659999999999</v>
      </c>
      <c r="X1170" s="4">
        <f>Table1[[#This Row],[mpce]]*89</f>
        <v>3027.0377399999998</v>
      </c>
      <c r="Y1170" s="2" t="s">
        <v>34</v>
      </c>
      <c r="Z1170" s="3">
        <f>VLOOKUP(Y1170, rmpce_reference!$B$1:$D$7,3,FALSE) * 89</f>
        <v>2848</v>
      </c>
      <c r="AA1170" s="1" t="str">
        <f>IF(Table1[rmpce_inr]&lt;=rmpce_reference!$F$2, "Low Income", IF(Table1[rmpce_inr]&lt;=rmpce_reference!$F$3, "Middle Income", "High Income"))</f>
        <v>Low Income</v>
      </c>
    </row>
    <row r="1171" spans="1:27" x14ac:dyDescent="0.25">
      <c r="A1171">
        <v>6107</v>
      </c>
      <c r="B1171" t="s">
        <v>44</v>
      </c>
      <c r="C1171" t="s">
        <v>33</v>
      </c>
      <c r="D1171">
        <v>30</v>
      </c>
      <c r="E1171" t="s">
        <v>22</v>
      </c>
      <c r="F1171" t="s">
        <v>30</v>
      </c>
      <c r="G1171">
        <v>10</v>
      </c>
      <c r="H1171" s="1" t="str">
        <f>IF(Table1[[#This Row],[anxiety_score]]&lt;=10, "Normal", IF(Table1[[#This Row],[anxiety_score]]&lt;=20, "Moderate", IF(Table1[[#This Row],[anxiety_score]]&lt;=30, "Severe", "Extremely Severe")))</f>
        <v>Normal</v>
      </c>
      <c r="I1171">
        <v>-8.1994660000000007E-3</v>
      </c>
      <c r="J1171">
        <v>18</v>
      </c>
      <c r="K1171" s="1" t="str">
        <f>IF(Table1[[#This Row],[stress_score]]&lt;=10, "Normal", IF(Table1[[#This Row],[stress_score]]&lt;=20, "Moderate", IF(Table1[[#This Row],[stress_score]]&lt;=30, "Severe", "Extremely Severe")))</f>
        <v>Moderate</v>
      </c>
      <c r="L1171">
        <v>0.58948003999999998</v>
      </c>
      <c r="M1171">
        <v>14</v>
      </c>
      <c r="N1171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1171">
        <v>0.23962580999999999</v>
      </c>
      <c r="P1171">
        <v>14</v>
      </c>
      <c r="Q1171">
        <f>ROUND(Table1[[#This Row],[dass21_raw_score]],0)</f>
        <v>14</v>
      </c>
      <c r="R1171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1171">
        <v>0.27363547999999999</v>
      </c>
      <c r="T1171">
        <v>1.3685453999999999</v>
      </c>
      <c r="U1171">
        <v>4000</v>
      </c>
      <c r="V1171" s="1">
        <f>ROUND(Table1[[#This Row],[fmpce]],0)</f>
        <v>4000</v>
      </c>
      <c r="W1171">
        <v>54.418660000000003</v>
      </c>
      <c r="X1171" s="4">
        <f>Table1[[#This Row],[mpce]]*89</f>
        <v>4843.2607400000006</v>
      </c>
      <c r="Y1171" s="2" t="s">
        <v>32</v>
      </c>
      <c r="Z1171" s="3">
        <f>VLOOKUP(Y1171, rmpce_reference!$B$1:$D$7,3,FALSE) * 89</f>
        <v>4450</v>
      </c>
      <c r="AA1171" s="1" t="str">
        <f>IF(Table1[rmpce_inr]&lt;=rmpce_reference!$F$2, "Low Income", IF(Table1[rmpce_inr]&lt;=rmpce_reference!$F$3, "Middle Income", "High Income"))</f>
        <v>Low Income</v>
      </c>
    </row>
    <row r="1172" spans="1:27" x14ac:dyDescent="0.25">
      <c r="A1172">
        <v>6108</v>
      </c>
      <c r="B1172" t="s">
        <v>44</v>
      </c>
      <c r="C1172" t="s">
        <v>29</v>
      </c>
      <c r="D1172">
        <v>32</v>
      </c>
      <c r="E1172" t="s">
        <v>22</v>
      </c>
      <c r="F1172" t="s">
        <v>30</v>
      </c>
      <c r="G1172">
        <v>6</v>
      </c>
      <c r="H1172" s="1" t="str">
        <f>IF(Table1[[#This Row],[anxiety_score]]&lt;=10, "Normal", IF(Table1[[#This Row],[anxiety_score]]&lt;=20, "Moderate", IF(Table1[[#This Row],[anxiety_score]]&lt;=30, "Severe", "Extremely Severe")))</f>
        <v>Normal</v>
      </c>
      <c r="I1172">
        <v>-0.41028870000000001</v>
      </c>
      <c r="J1172">
        <v>20</v>
      </c>
      <c r="K1172" s="1" t="str">
        <f>IF(Table1[[#This Row],[stress_score]]&lt;=10, "Normal", IF(Table1[[#This Row],[stress_score]]&lt;=20, "Moderate", IF(Table1[[#This Row],[stress_score]]&lt;=30, "Severe", "Extremely Severe")))</f>
        <v>Moderate</v>
      </c>
      <c r="L1172">
        <v>0.78414130000000004</v>
      </c>
      <c r="M1172">
        <v>18</v>
      </c>
      <c r="N1172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1172">
        <v>0.62490060000000003</v>
      </c>
      <c r="P1172">
        <v>14.666667</v>
      </c>
      <c r="Q1172">
        <f>ROUND(Table1[[#This Row],[dass21_raw_score]],0)</f>
        <v>15</v>
      </c>
      <c r="R1172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1172">
        <v>0.33291771999999997</v>
      </c>
      <c r="T1172">
        <v>1.4278276000000001</v>
      </c>
      <c r="U1172">
        <v>3333.3332999999998</v>
      </c>
      <c r="V1172" s="1">
        <f>ROUND(Table1[[#This Row],[fmpce]],0)</f>
        <v>3333</v>
      </c>
      <c r="W1172">
        <v>45.348880000000001</v>
      </c>
      <c r="X1172" s="4">
        <f>Table1[[#This Row],[mpce]]*89</f>
        <v>4036.0503200000003</v>
      </c>
      <c r="Y1172" s="2" t="s">
        <v>32</v>
      </c>
      <c r="Z1172" s="3">
        <f>VLOOKUP(Y1172, rmpce_reference!$B$1:$D$7,3,FALSE) * 89</f>
        <v>4450</v>
      </c>
      <c r="AA1172" s="1" t="str">
        <f>IF(Table1[rmpce_inr]&lt;=rmpce_reference!$F$2, "Low Income", IF(Table1[rmpce_inr]&lt;=rmpce_reference!$F$3, "Middle Income", "High Income"))</f>
        <v>Low Income</v>
      </c>
    </row>
    <row r="1173" spans="1:27" x14ac:dyDescent="0.25">
      <c r="A1173">
        <v>6109</v>
      </c>
      <c r="B1173" t="s">
        <v>44</v>
      </c>
      <c r="C1173" t="s">
        <v>33</v>
      </c>
      <c r="D1173">
        <v>26</v>
      </c>
      <c r="E1173" t="s">
        <v>22</v>
      </c>
      <c r="F1173" t="s">
        <v>30</v>
      </c>
      <c r="G1173">
        <v>8</v>
      </c>
      <c r="H1173" s="1" t="str">
        <f>IF(Table1[[#This Row],[anxiety_score]]&lt;=10, "Normal", IF(Table1[[#This Row],[anxiety_score]]&lt;=20, "Moderate", IF(Table1[[#This Row],[anxiety_score]]&lt;=30, "Severe", "Extremely Severe")))</f>
        <v>Normal</v>
      </c>
      <c r="I1173">
        <v>-0.20924408999999999</v>
      </c>
      <c r="J1173">
        <v>18</v>
      </c>
      <c r="K1173" s="1" t="str">
        <f>IF(Table1[[#This Row],[stress_score]]&lt;=10, "Normal", IF(Table1[[#This Row],[stress_score]]&lt;=20, "Moderate", IF(Table1[[#This Row],[stress_score]]&lt;=30, "Severe", "Extremely Severe")))</f>
        <v>Moderate</v>
      </c>
      <c r="L1173">
        <v>0.58948003999999998</v>
      </c>
      <c r="M1173">
        <v>14</v>
      </c>
      <c r="N1173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1173">
        <v>0.23962580999999999</v>
      </c>
      <c r="P1173">
        <v>13.333333</v>
      </c>
      <c r="Q1173">
        <f>ROUND(Table1[[#This Row],[dass21_raw_score]],0)</f>
        <v>13</v>
      </c>
      <c r="R1173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1173">
        <v>0.20662058999999999</v>
      </c>
      <c r="T1173">
        <v>1.3015304999999999</v>
      </c>
      <c r="U1173">
        <v>3571.4285</v>
      </c>
      <c r="V1173" s="1">
        <f>ROUND(Table1[[#This Row],[fmpce]],0)</f>
        <v>3571</v>
      </c>
      <c r="W1173">
        <v>48.588085</v>
      </c>
      <c r="X1173" s="4">
        <f>Table1[[#This Row],[mpce]]*89</f>
        <v>4324.3395650000002</v>
      </c>
      <c r="Y1173" s="2" t="s">
        <v>32</v>
      </c>
      <c r="Z1173" s="3">
        <f>VLOOKUP(Y1173, rmpce_reference!$B$1:$D$7,3,FALSE) * 89</f>
        <v>4450</v>
      </c>
      <c r="AA1173" s="1" t="str">
        <f>IF(Table1[rmpce_inr]&lt;=rmpce_reference!$F$2, "Low Income", IF(Table1[rmpce_inr]&lt;=rmpce_reference!$F$3, "Middle Income", "High Income"))</f>
        <v>Low Income</v>
      </c>
    </row>
    <row r="1174" spans="1:27" x14ac:dyDescent="0.25">
      <c r="A1174">
        <v>6111</v>
      </c>
      <c r="B1174" t="s">
        <v>44</v>
      </c>
      <c r="C1174" t="s">
        <v>21</v>
      </c>
      <c r="D1174">
        <v>45</v>
      </c>
      <c r="E1174" t="s">
        <v>22</v>
      </c>
      <c r="F1174" t="s">
        <v>23</v>
      </c>
      <c r="G1174">
        <v>24</v>
      </c>
      <c r="H1174" s="1" t="str">
        <f>IF(Table1[[#This Row],[anxiety_score]]&lt;=10, "Normal", IF(Table1[[#This Row],[anxiety_score]]&lt;=20, "Moderate", IF(Table1[[#This Row],[anxiety_score]]&lt;=30, "Severe", "Extremely Severe")))</f>
        <v>Severe</v>
      </c>
      <c r="I1174">
        <v>1.3991127999999999</v>
      </c>
      <c r="J1174">
        <v>16</v>
      </c>
      <c r="K1174" s="1" t="str">
        <f>IF(Table1[[#This Row],[stress_score]]&lt;=10, "Normal", IF(Table1[[#This Row],[stress_score]]&lt;=20, "Moderate", IF(Table1[[#This Row],[stress_score]]&lt;=30, "Severe", "Extremely Severe")))</f>
        <v>Moderate</v>
      </c>
      <c r="L1174">
        <v>0.39481880000000003</v>
      </c>
      <c r="M1174">
        <v>18</v>
      </c>
      <c r="N1174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1174">
        <v>0.62490060000000003</v>
      </c>
      <c r="P1174">
        <v>19.333334000000001</v>
      </c>
      <c r="Q1174">
        <f>ROUND(Table1[[#This Row],[dass21_raw_score]],0)</f>
        <v>19</v>
      </c>
      <c r="R1174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1174">
        <v>0.80627740000000003</v>
      </c>
      <c r="T1174">
        <v>1.9011872999999999</v>
      </c>
      <c r="U1174">
        <v>2400</v>
      </c>
      <c r="V1174" s="1">
        <f>ROUND(Table1[[#This Row],[fmpce]],0)</f>
        <v>2400</v>
      </c>
      <c r="W1174">
        <v>32.651195999999999</v>
      </c>
      <c r="X1174" s="4">
        <f>Table1[[#This Row],[mpce]]*89</f>
        <v>2905.9564439999999</v>
      </c>
      <c r="Y1174" s="2" t="s">
        <v>34</v>
      </c>
      <c r="Z1174" s="3">
        <f>VLOOKUP(Y1174, rmpce_reference!$B$1:$D$7,3,FALSE) * 89</f>
        <v>2848</v>
      </c>
      <c r="AA1174" s="1" t="str">
        <f>IF(Table1[rmpce_inr]&lt;=rmpce_reference!$F$2, "Low Income", IF(Table1[rmpce_inr]&lt;=rmpce_reference!$F$3, "Middle Income", "High Income"))</f>
        <v>Low Income</v>
      </c>
    </row>
    <row r="1175" spans="1:27" x14ac:dyDescent="0.25">
      <c r="A1175">
        <v>6112</v>
      </c>
      <c r="B1175" t="s">
        <v>44</v>
      </c>
      <c r="C1175" t="s">
        <v>33</v>
      </c>
      <c r="D1175">
        <v>26</v>
      </c>
      <c r="E1175" t="s">
        <v>22</v>
      </c>
      <c r="F1175" t="s">
        <v>23</v>
      </c>
      <c r="G1175">
        <v>14</v>
      </c>
      <c r="H1175" s="1" t="str">
        <f>IF(Table1[[#This Row],[anxiety_score]]&lt;=10, "Normal", IF(Table1[[#This Row],[anxiety_score]]&lt;=20, "Moderate", IF(Table1[[#This Row],[anxiety_score]]&lt;=30, "Severe", "Extremely Severe")))</f>
        <v>Moderate</v>
      </c>
      <c r="I1175">
        <v>0.39388975999999998</v>
      </c>
      <c r="J1175">
        <v>6</v>
      </c>
      <c r="K1175" s="1" t="str">
        <f>IF(Table1[[#This Row],[stress_score]]&lt;=10, "Normal", IF(Table1[[#This Row],[stress_score]]&lt;=20, "Moderate", IF(Table1[[#This Row],[stress_score]]&lt;=30, "Severe", "Extremely Severe")))</f>
        <v>Normal</v>
      </c>
      <c r="L1175">
        <v>-0.57848745999999995</v>
      </c>
      <c r="M1175">
        <v>18</v>
      </c>
      <c r="N1175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1175">
        <v>0.62490060000000003</v>
      </c>
      <c r="P1175">
        <v>12.666667</v>
      </c>
      <c r="Q1175">
        <f>ROUND(Table1[[#This Row],[dass21_raw_score]],0)</f>
        <v>13</v>
      </c>
      <c r="R1175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1175">
        <v>0.14676763000000001</v>
      </c>
      <c r="T1175">
        <v>1.2416775</v>
      </c>
      <c r="U1175">
        <v>3750</v>
      </c>
      <c r="V1175" s="1">
        <f>ROUND(Table1[[#This Row],[fmpce]],0)</f>
        <v>3750</v>
      </c>
      <c r="W1175">
        <v>51.017493999999999</v>
      </c>
      <c r="X1175" s="4">
        <f>Table1[[#This Row],[mpce]]*89</f>
        <v>4540.5569660000001</v>
      </c>
      <c r="Y1175" s="2" t="s">
        <v>32</v>
      </c>
      <c r="Z1175" s="3">
        <f>VLOOKUP(Y1175, rmpce_reference!$B$1:$D$7,3,FALSE) * 89</f>
        <v>4450</v>
      </c>
      <c r="AA1175" s="1" t="str">
        <f>IF(Table1[rmpce_inr]&lt;=rmpce_reference!$F$2, "Low Income", IF(Table1[rmpce_inr]&lt;=rmpce_reference!$F$3, "Middle Income", "High Income"))</f>
        <v>Low Income</v>
      </c>
    </row>
    <row r="1176" spans="1:27" x14ac:dyDescent="0.25">
      <c r="A1176">
        <v>6113</v>
      </c>
      <c r="B1176" t="s">
        <v>44</v>
      </c>
      <c r="C1176" t="s">
        <v>29</v>
      </c>
      <c r="D1176">
        <v>40</v>
      </c>
      <c r="E1176" t="s">
        <v>22</v>
      </c>
      <c r="F1176" t="s">
        <v>37</v>
      </c>
      <c r="G1176">
        <v>18</v>
      </c>
      <c r="H1176" s="1" t="str">
        <f>IF(Table1[[#This Row],[anxiety_score]]&lt;=10, "Normal", IF(Table1[[#This Row],[anxiety_score]]&lt;=20, "Moderate", IF(Table1[[#This Row],[anxiety_score]]&lt;=30, "Severe", "Extremely Severe")))</f>
        <v>Moderate</v>
      </c>
      <c r="I1176">
        <v>0.79597896000000001</v>
      </c>
      <c r="J1176">
        <v>16</v>
      </c>
      <c r="K1176" s="1" t="str">
        <f>IF(Table1[[#This Row],[stress_score]]&lt;=10, "Normal", IF(Table1[[#This Row],[stress_score]]&lt;=20, "Moderate", IF(Table1[[#This Row],[stress_score]]&lt;=30, "Severe", "Extremely Severe")))</f>
        <v>Moderate</v>
      </c>
      <c r="L1176">
        <v>0.39481880000000003</v>
      </c>
      <c r="M1176">
        <v>16</v>
      </c>
      <c r="N1176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1176">
        <v>0.43226320000000001</v>
      </c>
      <c r="P1176">
        <v>16.666665999999999</v>
      </c>
      <c r="Q1176">
        <f>ROUND(Table1[[#This Row],[dass21_raw_score]],0)</f>
        <v>17</v>
      </c>
      <c r="R1176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1176">
        <v>0.54102033000000005</v>
      </c>
      <c r="T1176">
        <v>1.6359303000000001</v>
      </c>
      <c r="U1176">
        <v>3750</v>
      </c>
      <c r="V1176" s="1">
        <f>ROUND(Table1[[#This Row],[fmpce]],0)</f>
        <v>3750</v>
      </c>
      <c r="W1176">
        <v>51.017493999999999</v>
      </c>
      <c r="X1176" s="4">
        <f>Table1[[#This Row],[mpce]]*89</f>
        <v>4540.5569660000001</v>
      </c>
      <c r="Y1176" s="2" t="s">
        <v>32</v>
      </c>
      <c r="Z1176" s="3">
        <f>VLOOKUP(Y1176, rmpce_reference!$B$1:$D$7,3,FALSE) * 89</f>
        <v>4450</v>
      </c>
      <c r="AA1176" s="1" t="str">
        <f>IF(Table1[rmpce_inr]&lt;=rmpce_reference!$F$2, "Low Income", IF(Table1[rmpce_inr]&lt;=rmpce_reference!$F$3, "Middle Income", "High Income"))</f>
        <v>Low Income</v>
      </c>
    </row>
    <row r="1177" spans="1:27" x14ac:dyDescent="0.25">
      <c r="A1177">
        <v>6114</v>
      </c>
      <c r="B1177" t="s">
        <v>44</v>
      </c>
      <c r="C1177" t="s">
        <v>33</v>
      </c>
      <c r="D1177">
        <v>29</v>
      </c>
      <c r="E1177" t="s">
        <v>22</v>
      </c>
      <c r="F1177" t="s">
        <v>30</v>
      </c>
      <c r="G1177">
        <v>38</v>
      </c>
      <c r="H1177" s="1" t="str">
        <f>IF(Table1[[#This Row],[anxiety_score]]&lt;=10, "Normal", IF(Table1[[#This Row],[anxiety_score]]&lt;=20, "Moderate", IF(Table1[[#This Row],[anxiety_score]]&lt;=30, "Severe", "Extremely Severe")))</f>
        <v>Extremely Severe</v>
      </c>
      <c r="I1177">
        <v>2.8064249999999999</v>
      </c>
      <c r="J1177">
        <v>34</v>
      </c>
      <c r="K1177" s="1" t="str">
        <f>IF(Table1[[#This Row],[stress_score]]&lt;=10, "Normal", IF(Table1[[#This Row],[stress_score]]&lt;=20, "Moderate", IF(Table1[[#This Row],[stress_score]]&lt;=30, "Severe", "Extremely Severe")))</f>
        <v>Extremely Severe</v>
      </c>
      <c r="L1177">
        <v>2.1467700000000001</v>
      </c>
      <c r="M1177">
        <v>34</v>
      </c>
      <c r="N1177" s="1" t="str">
        <f>IF(Table1[[#This Row],[depression_score]]&lt;=10, "Normal", IF(Table1[[#This Row],[depression_score]]&lt;=20, "Moderate", IF(Table1[[#This Row],[depression_score]]&lt;=30, "Severe", "Extremely Severe")))</f>
        <v>Extremely Severe</v>
      </c>
      <c r="O1177">
        <v>2.1659999999999999</v>
      </c>
      <c r="P1177">
        <v>35.333331999999999</v>
      </c>
      <c r="Q1177">
        <f>ROUND(Table1[[#This Row],[dass21_raw_score]],0)</f>
        <v>35</v>
      </c>
      <c r="R1177" s="1" t="str">
        <f>IF(Table1[[#This Row],[round_dass21_raw_score]]&lt;=10, "Normal", IF(Table1[[#This Row],[round_dass21_raw_score]]&lt;=20, "Moderate", IF(Table1[[#This Row],[round_dass21_raw_score]]&lt;=30, "Severe", "Extremely Severe")))</f>
        <v>Extremely Severe</v>
      </c>
      <c r="S1177">
        <v>2.373065</v>
      </c>
      <c r="T1177">
        <v>3.467975</v>
      </c>
      <c r="U1177">
        <v>2142.8571999999999</v>
      </c>
      <c r="V1177" s="1">
        <f>ROUND(Table1[[#This Row],[fmpce]],0)</f>
        <v>2143</v>
      </c>
      <c r="W1177">
        <v>29.152853</v>
      </c>
      <c r="X1177" s="4">
        <f>Table1[[#This Row],[mpce]]*89</f>
        <v>2594.6039169999999</v>
      </c>
      <c r="Y1177" s="2" t="s">
        <v>34</v>
      </c>
      <c r="Z1177" s="3">
        <f>VLOOKUP(Y1177, rmpce_reference!$B$1:$D$7,3,FALSE) * 89</f>
        <v>2848</v>
      </c>
      <c r="AA1177" s="1" t="str">
        <f>IF(Table1[rmpce_inr]&lt;=rmpce_reference!$F$2, "Low Income", IF(Table1[rmpce_inr]&lt;=rmpce_reference!$F$3, "Middle Income", "High Income"))</f>
        <v>Low Income</v>
      </c>
    </row>
    <row r="1178" spans="1:27" x14ac:dyDescent="0.25">
      <c r="A1178">
        <v>6115</v>
      </c>
      <c r="B1178" t="s">
        <v>44</v>
      </c>
      <c r="C1178" t="s">
        <v>21</v>
      </c>
      <c r="D1178">
        <v>43</v>
      </c>
      <c r="E1178" t="s">
        <v>22</v>
      </c>
      <c r="F1178" t="s">
        <v>37</v>
      </c>
      <c r="G1178">
        <v>8</v>
      </c>
      <c r="H1178" s="1" t="str">
        <f>IF(Table1[[#This Row],[anxiety_score]]&lt;=10, "Normal", IF(Table1[[#This Row],[anxiety_score]]&lt;=20, "Moderate", IF(Table1[[#This Row],[anxiety_score]]&lt;=30, "Severe", "Extremely Severe")))</f>
        <v>Normal</v>
      </c>
      <c r="I1178">
        <v>-0.20924408999999999</v>
      </c>
      <c r="J1178">
        <v>10</v>
      </c>
      <c r="K1178" s="1" t="str">
        <f>IF(Table1[[#This Row],[stress_score]]&lt;=10, "Normal", IF(Table1[[#This Row],[stress_score]]&lt;=20, "Moderate", IF(Table1[[#This Row],[stress_score]]&lt;=30, "Severe", "Extremely Severe")))</f>
        <v>Normal</v>
      </c>
      <c r="L1178">
        <v>-0.18916494</v>
      </c>
      <c r="M1178">
        <v>14</v>
      </c>
      <c r="N1178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1178">
        <v>0.23962580999999999</v>
      </c>
      <c r="P1178">
        <v>10.666667</v>
      </c>
      <c r="Q1178">
        <f>ROUND(Table1[[#This Row],[dass21_raw_score]],0)</f>
        <v>11</v>
      </c>
      <c r="R1178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1178">
        <v>-5.2927736000000003E-2</v>
      </c>
      <c r="T1178">
        <v>1.0419822000000001</v>
      </c>
      <c r="U1178">
        <v>2666.6667000000002</v>
      </c>
      <c r="V1178" s="1">
        <f>ROUND(Table1[[#This Row],[fmpce]],0)</f>
        <v>2667</v>
      </c>
      <c r="W1178">
        <v>36.279105999999999</v>
      </c>
      <c r="X1178" s="4">
        <f>Table1[[#This Row],[mpce]]*89</f>
        <v>3228.8404339999997</v>
      </c>
      <c r="Y1178" s="2" t="s">
        <v>34</v>
      </c>
      <c r="Z1178" s="3">
        <f>VLOOKUP(Y1178, rmpce_reference!$B$1:$D$7,3,FALSE) * 89</f>
        <v>2848</v>
      </c>
      <c r="AA1178" s="1" t="str">
        <f>IF(Table1[rmpce_inr]&lt;=rmpce_reference!$F$2, "Low Income", IF(Table1[rmpce_inr]&lt;=rmpce_reference!$F$3, "Middle Income", "High Income"))</f>
        <v>Low Income</v>
      </c>
    </row>
    <row r="1179" spans="1:27" x14ac:dyDescent="0.25">
      <c r="A1179">
        <v>6116</v>
      </c>
      <c r="B1179" t="s">
        <v>44</v>
      </c>
      <c r="C1179" t="s">
        <v>33</v>
      </c>
      <c r="D1179">
        <v>28</v>
      </c>
      <c r="E1179" t="s">
        <v>22</v>
      </c>
      <c r="F1179" t="s">
        <v>23</v>
      </c>
      <c r="G1179">
        <v>34</v>
      </c>
      <c r="H1179" s="1" t="str">
        <f>IF(Table1[[#This Row],[anxiety_score]]&lt;=10, "Normal", IF(Table1[[#This Row],[anxiety_score]]&lt;=20, "Moderate", IF(Table1[[#This Row],[anxiety_score]]&lt;=30, "Severe", "Extremely Severe")))</f>
        <v>Extremely Severe</v>
      </c>
      <c r="I1179">
        <v>2.4043359999999998</v>
      </c>
      <c r="J1179">
        <v>32</v>
      </c>
      <c r="K1179" s="1" t="str">
        <f>IF(Table1[[#This Row],[stress_score]]&lt;=10, "Normal", IF(Table1[[#This Row],[stress_score]]&lt;=20, "Moderate", IF(Table1[[#This Row],[stress_score]]&lt;=30, "Severe", "Extremely Severe")))</f>
        <v>Extremely Severe</v>
      </c>
      <c r="L1179">
        <v>1.9521089</v>
      </c>
      <c r="M1179">
        <v>38</v>
      </c>
      <c r="N1179" s="1" t="str">
        <f>IF(Table1[[#This Row],[depression_score]]&lt;=10, "Normal", IF(Table1[[#This Row],[depression_score]]&lt;=20, "Moderate", IF(Table1[[#This Row],[depression_score]]&lt;=30, "Severe", "Extremely Severe")))</f>
        <v>Extremely Severe</v>
      </c>
      <c r="O1179">
        <v>2.5512744999999999</v>
      </c>
      <c r="P1179">
        <v>34.666668000000001</v>
      </c>
      <c r="Q1179">
        <f>ROUND(Table1[[#This Row],[dass21_raw_score]],0)</f>
        <v>35</v>
      </c>
      <c r="R1179" s="1" t="str">
        <f>IF(Table1[[#This Row],[round_dass21_raw_score]]&lt;=10, "Normal", IF(Table1[[#This Row],[round_dass21_raw_score]]&lt;=20, "Moderate", IF(Table1[[#This Row],[round_dass21_raw_score]]&lt;=30, "Severe", "Extremely Severe")))</f>
        <v>Extremely Severe</v>
      </c>
      <c r="S1179">
        <v>2.3025731999999999</v>
      </c>
      <c r="T1179">
        <v>3.3974829999999998</v>
      </c>
      <c r="U1179">
        <v>5000</v>
      </c>
      <c r="V1179" s="1">
        <f>ROUND(Table1[[#This Row],[fmpce]],0)</f>
        <v>5000</v>
      </c>
      <c r="W1179">
        <v>68.023319999999998</v>
      </c>
      <c r="X1179" s="4">
        <f>Table1[[#This Row],[mpce]]*89</f>
        <v>6054.0754799999995</v>
      </c>
      <c r="Y1179" s="2" t="s">
        <v>28</v>
      </c>
      <c r="Z1179" s="3">
        <f>VLOOKUP(Y1179, rmpce_reference!$B$1:$D$7,3,FALSE) * 89</f>
        <v>6230</v>
      </c>
      <c r="AA1179" s="1" t="str">
        <f>IF(Table1[rmpce_inr]&lt;=rmpce_reference!$F$2, "Low Income", IF(Table1[rmpce_inr]&lt;=rmpce_reference!$F$3, "Middle Income", "High Income"))</f>
        <v>Middle Income</v>
      </c>
    </row>
    <row r="1180" spans="1:27" x14ac:dyDescent="0.25">
      <c r="A1180">
        <v>6117</v>
      </c>
      <c r="B1180" t="s">
        <v>44</v>
      </c>
      <c r="C1180" t="s">
        <v>21</v>
      </c>
      <c r="D1180">
        <v>42</v>
      </c>
      <c r="E1180" t="s">
        <v>22</v>
      </c>
      <c r="F1180" t="s">
        <v>23</v>
      </c>
      <c r="G1180">
        <v>14</v>
      </c>
      <c r="H1180" s="1" t="str">
        <f>IF(Table1[[#This Row],[anxiety_score]]&lt;=10, "Normal", IF(Table1[[#This Row],[anxiety_score]]&lt;=20, "Moderate", IF(Table1[[#This Row],[anxiety_score]]&lt;=30, "Severe", "Extremely Severe")))</f>
        <v>Moderate</v>
      </c>
      <c r="I1180">
        <v>0.39388975999999998</v>
      </c>
      <c r="J1180">
        <v>16</v>
      </c>
      <c r="K1180" s="1" t="str">
        <f>IF(Table1[[#This Row],[stress_score]]&lt;=10, "Normal", IF(Table1[[#This Row],[stress_score]]&lt;=20, "Moderate", IF(Table1[[#This Row],[stress_score]]&lt;=30, "Severe", "Extremely Severe")))</f>
        <v>Moderate</v>
      </c>
      <c r="L1180">
        <v>0.39481880000000003</v>
      </c>
      <c r="M1180">
        <v>16</v>
      </c>
      <c r="N1180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1180">
        <v>0.43226320000000001</v>
      </c>
      <c r="P1180">
        <v>15.333333</v>
      </c>
      <c r="Q1180">
        <f>ROUND(Table1[[#This Row],[dass21_raw_score]],0)</f>
        <v>15</v>
      </c>
      <c r="R1180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1180">
        <v>0.40699059999999998</v>
      </c>
      <c r="T1180">
        <v>1.5019004</v>
      </c>
      <c r="U1180">
        <v>3750</v>
      </c>
      <c r="V1180" s="1">
        <f>ROUND(Table1[[#This Row],[fmpce]],0)</f>
        <v>3750</v>
      </c>
      <c r="W1180">
        <v>51.017493999999999</v>
      </c>
      <c r="X1180" s="4">
        <f>Table1[[#This Row],[mpce]]*89</f>
        <v>4540.5569660000001</v>
      </c>
      <c r="Y1180" s="2" t="s">
        <v>32</v>
      </c>
      <c r="Z1180" s="3">
        <f>VLOOKUP(Y1180, rmpce_reference!$B$1:$D$7,3,FALSE) * 89</f>
        <v>4450</v>
      </c>
      <c r="AA1180" s="1" t="str">
        <f>IF(Table1[rmpce_inr]&lt;=rmpce_reference!$F$2, "Low Income", IF(Table1[rmpce_inr]&lt;=rmpce_reference!$F$3, "Middle Income", "High Income"))</f>
        <v>Low Income</v>
      </c>
    </row>
    <row r="1181" spans="1:27" x14ac:dyDescent="0.25">
      <c r="A1181">
        <v>6118</v>
      </c>
      <c r="B1181" t="s">
        <v>44</v>
      </c>
      <c r="C1181" t="s">
        <v>21</v>
      </c>
      <c r="D1181">
        <v>41</v>
      </c>
      <c r="E1181" t="s">
        <v>22</v>
      </c>
      <c r="F1181" t="s">
        <v>23</v>
      </c>
      <c r="G1181">
        <v>20</v>
      </c>
      <c r="H1181" s="1" t="str">
        <f>IF(Table1[[#This Row],[anxiety_score]]&lt;=10, "Normal", IF(Table1[[#This Row],[anxiety_score]]&lt;=20, "Moderate", IF(Table1[[#This Row],[anxiety_score]]&lt;=30, "Severe", "Extremely Severe")))</f>
        <v>Moderate</v>
      </c>
      <c r="I1181">
        <v>0.99702360000000001</v>
      </c>
      <c r="J1181">
        <v>24</v>
      </c>
      <c r="K1181" s="1" t="str">
        <f>IF(Table1[[#This Row],[stress_score]]&lt;=10, "Normal", IF(Table1[[#This Row],[stress_score]]&lt;=20, "Moderate", IF(Table1[[#This Row],[stress_score]]&lt;=30, "Severe", "Extremely Severe")))</f>
        <v>Severe</v>
      </c>
      <c r="L1181">
        <v>1.1734637999999999</v>
      </c>
      <c r="M1181">
        <v>20</v>
      </c>
      <c r="N1181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1181">
        <v>0.81753799999999999</v>
      </c>
      <c r="P1181">
        <v>21.333334000000001</v>
      </c>
      <c r="Q1181">
        <f>ROUND(Table1[[#This Row],[dass21_raw_score]],0)</f>
        <v>21</v>
      </c>
      <c r="R1181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181">
        <v>0.99600845999999998</v>
      </c>
      <c r="T1181">
        <v>2.0909182999999998</v>
      </c>
      <c r="U1181">
        <v>1666.6666</v>
      </c>
      <c r="V1181" s="1">
        <f>ROUND(Table1[[#This Row],[fmpce]],0)</f>
        <v>1667</v>
      </c>
      <c r="W1181">
        <v>22.674440000000001</v>
      </c>
      <c r="X1181" s="4">
        <f>Table1[[#This Row],[mpce]]*89</f>
        <v>2018.0251600000001</v>
      </c>
      <c r="Y1181" s="2" t="s">
        <v>24</v>
      </c>
      <c r="Z1181" s="3">
        <f>VLOOKUP(Y1181, rmpce_reference!$B$1:$D$7,3,FALSE) * 89</f>
        <v>2225</v>
      </c>
      <c r="AA1181" s="1" t="str">
        <f>IF(Table1[rmpce_inr]&lt;=rmpce_reference!$F$2, "Low Income", IF(Table1[rmpce_inr]&lt;=rmpce_reference!$F$3, "Middle Income", "High Income"))</f>
        <v>Low Income</v>
      </c>
    </row>
    <row r="1182" spans="1:27" x14ac:dyDescent="0.25">
      <c r="A1182">
        <v>6119</v>
      </c>
      <c r="B1182" t="s">
        <v>44</v>
      </c>
      <c r="C1182" t="s">
        <v>33</v>
      </c>
      <c r="D1182">
        <v>28</v>
      </c>
      <c r="E1182" t="s">
        <v>25</v>
      </c>
      <c r="F1182" t="s">
        <v>26</v>
      </c>
      <c r="G1182">
        <v>24</v>
      </c>
      <c r="H1182" s="1" t="str">
        <f>IF(Table1[[#This Row],[anxiety_score]]&lt;=10, "Normal", IF(Table1[[#This Row],[anxiety_score]]&lt;=20, "Moderate", IF(Table1[[#This Row],[anxiety_score]]&lt;=30, "Severe", "Extremely Severe")))</f>
        <v>Severe</v>
      </c>
      <c r="I1182">
        <v>1.3991127999999999</v>
      </c>
      <c r="J1182">
        <v>16</v>
      </c>
      <c r="K1182" s="1" t="str">
        <f>IF(Table1[[#This Row],[stress_score]]&lt;=10, "Normal", IF(Table1[[#This Row],[stress_score]]&lt;=20, "Moderate", IF(Table1[[#This Row],[stress_score]]&lt;=30, "Severe", "Extremely Severe")))</f>
        <v>Moderate</v>
      </c>
      <c r="L1182">
        <v>0.39481880000000003</v>
      </c>
      <c r="M1182">
        <v>22</v>
      </c>
      <c r="N1182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1182">
        <v>1.0101753</v>
      </c>
      <c r="P1182">
        <v>20.666665999999999</v>
      </c>
      <c r="Q1182">
        <f>ROUND(Table1[[#This Row],[dass21_raw_score]],0)</f>
        <v>21</v>
      </c>
      <c r="R1182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182">
        <v>0.93470233999999996</v>
      </c>
      <c r="T1182">
        <v>2.0296123000000001</v>
      </c>
      <c r="U1182">
        <v>3000</v>
      </c>
      <c r="V1182" s="1">
        <f>ROUND(Table1[[#This Row],[fmpce]],0)</f>
        <v>3000</v>
      </c>
      <c r="W1182">
        <v>40.813994999999998</v>
      </c>
      <c r="X1182" s="4">
        <f>Table1[[#This Row],[mpce]]*89</f>
        <v>3632.4455549999998</v>
      </c>
      <c r="Y1182" s="2" t="s">
        <v>32</v>
      </c>
      <c r="Z1182" s="3">
        <f>VLOOKUP(Y1182, rmpce_reference!$B$1:$D$7,3,FALSE) * 89</f>
        <v>4450</v>
      </c>
      <c r="AA1182" s="1" t="str">
        <f>IF(Table1[rmpce_inr]&lt;=rmpce_reference!$F$2, "Low Income", IF(Table1[rmpce_inr]&lt;=rmpce_reference!$F$3, "Middle Income", "High Income"))</f>
        <v>Low Income</v>
      </c>
    </row>
    <row r="1183" spans="1:27" x14ac:dyDescent="0.25">
      <c r="A1183">
        <v>6120</v>
      </c>
      <c r="B1183" t="s">
        <v>44</v>
      </c>
      <c r="C1183" t="s">
        <v>29</v>
      </c>
      <c r="D1183">
        <v>36</v>
      </c>
      <c r="E1183" t="s">
        <v>22</v>
      </c>
      <c r="F1183" t="s">
        <v>38</v>
      </c>
      <c r="G1183">
        <v>24</v>
      </c>
      <c r="H1183" s="1" t="str">
        <f>IF(Table1[[#This Row],[anxiety_score]]&lt;=10, "Normal", IF(Table1[[#This Row],[anxiety_score]]&lt;=20, "Moderate", IF(Table1[[#This Row],[anxiety_score]]&lt;=30, "Severe", "Extremely Severe")))</f>
        <v>Severe</v>
      </c>
      <c r="I1183">
        <v>1.3991127999999999</v>
      </c>
      <c r="J1183">
        <v>20</v>
      </c>
      <c r="K1183" s="1" t="str">
        <f>IF(Table1[[#This Row],[stress_score]]&lt;=10, "Normal", IF(Table1[[#This Row],[stress_score]]&lt;=20, "Moderate", IF(Table1[[#This Row],[stress_score]]&lt;=30, "Severe", "Extremely Severe")))</f>
        <v>Moderate</v>
      </c>
      <c r="L1183">
        <v>0.78414130000000004</v>
      </c>
      <c r="M1183">
        <v>24</v>
      </c>
      <c r="N1183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1183">
        <v>1.2028128</v>
      </c>
      <c r="P1183">
        <v>22.666665999999999</v>
      </c>
      <c r="Q1183">
        <f>ROUND(Table1[[#This Row],[dass21_raw_score]],0)</f>
        <v>23</v>
      </c>
      <c r="R1183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183">
        <v>1.1286889</v>
      </c>
      <c r="T1183">
        <v>2.2235990000000001</v>
      </c>
      <c r="U1183">
        <v>2333.3332999999998</v>
      </c>
      <c r="V1183" s="1">
        <f>ROUND(Table1[[#This Row],[fmpce]],0)</f>
        <v>2333</v>
      </c>
      <c r="W1183">
        <v>31.744216999999999</v>
      </c>
      <c r="X1183" s="4">
        <f>Table1[[#This Row],[mpce]]*89</f>
        <v>2825.2353130000001</v>
      </c>
      <c r="Y1183" s="2" t="s">
        <v>34</v>
      </c>
      <c r="Z1183" s="3">
        <f>VLOOKUP(Y1183, rmpce_reference!$B$1:$D$7,3,FALSE) * 89</f>
        <v>2848</v>
      </c>
      <c r="AA1183" s="1" t="str">
        <f>IF(Table1[rmpce_inr]&lt;=rmpce_reference!$F$2, "Low Income", IF(Table1[rmpce_inr]&lt;=rmpce_reference!$F$3, "Middle Income", "High Income"))</f>
        <v>Low Income</v>
      </c>
    </row>
    <row r="1184" spans="1:27" x14ac:dyDescent="0.25">
      <c r="A1184">
        <v>6121</v>
      </c>
      <c r="B1184" t="s">
        <v>44</v>
      </c>
      <c r="C1184" t="s">
        <v>36</v>
      </c>
      <c r="D1184">
        <v>53</v>
      </c>
      <c r="E1184" t="s">
        <v>22</v>
      </c>
      <c r="F1184" t="s">
        <v>38</v>
      </c>
      <c r="G1184">
        <v>20</v>
      </c>
      <c r="H1184" s="1" t="str">
        <f>IF(Table1[[#This Row],[anxiety_score]]&lt;=10, "Normal", IF(Table1[[#This Row],[anxiety_score]]&lt;=20, "Moderate", IF(Table1[[#This Row],[anxiety_score]]&lt;=30, "Severe", "Extremely Severe")))</f>
        <v>Moderate</v>
      </c>
      <c r="I1184">
        <v>0.99702360000000001</v>
      </c>
      <c r="J1184">
        <v>22</v>
      </c>
      <c r="K1184" s="1" t="str">
        <f>IF(Table1[[#This Row],[stress_score]]&lt;=10, "Normal", IF(Table1[[#This Row],[stress_score]]&lt;=20, "Moderate", IF(Table1[[#This Row],[stress_score]]&lt;=30, "Severe", "Extremely Severe")))</f>
        <v>Severe</v>
      </c>
      <c r="L1184">
        <v>0.97880255999999999</v>
      </c>
      <c r="M1184">
        <v>18</v>
      </c>
      <c r="N1184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1184">
        <v>0.62490060000000003</v>
      </c>
      <c r="P1184">
        <v>20</v>
      </c>
      <c r="Q1184">
        <f>ROUND(Table1[[#This Row],[dass21_raw_score]],0)</f>
        <v>20</v>
      </c>
      <c r="R1184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1184">
        <v>0.86690889999999998</v>
      </c>
      <c r="T1184">
        <v>1.9618188000000001</v>
      </c>
      <c r="U1184">
        <v>2000</v>
      </c>
      <c r="V1184" s="1">
        <f>ROUND(Table1[[#This Row],[fmpce]],0)</f>
        <v>2000</v>
      </c>
      <c r="W1184">
        <v>27.209330000000001</v>
      </c>
      <c r="X1184" s="4">
        <f>Table1[[#This Row],[mpce]]*89</f>
        <v>2421.6303700000003</v>
      </c>
      <c r="Y1184" s="2" t="s">
        <v>34</v>
      </c>
      <c r="Z1184" s="3">
        <f>VLOOKUP(Y1184, rmpce_reference!$B$1:$D$7,3,FALSE) * 89</f>
        <v>2848</v>
      </c>
      <c r="AA1184" s="1" t="str">
        <f>IF(Table1[rmpce_inr]&lt;=rmpce_reference!$F$2, "Low Income", IF(Table1[rmpce_inr]&lt;=rmpce_reference!$F$3, "Middle Income", "High Income"))</f>
        <v>Low Income</v>
      </c>
    </row>
    <row r="1185" spans="1:27" x14ac:dyDescent="0.25">
      <c r="A1185">
        <v>6122</v>
      </c>
      <c r="B1185" t="s">
        <v>44</v>
      </c>
      <c r="C1185" t="s">
        <v>29</v>
      </c>
      <c r="D1185">
        <v>31</v>
      </c>
      <c r="E1185" t="s">
        <v>22</v>
      </c>
      <c r="F1185" t="s">
        <v>30</v>
      </c>
      <c r="G1185">
        <v>36</v>
      </c>
      <c r="H1185" s="1" t="str">
        <f>IF(Table1[[#This Row],[anxiety_score]]&lt;=10, "Normal", IF(Table1[[#This Row],[anxiety_score]]&lt;=20, "Moderate", IF(Table1[[#This Row],[anxiety_score]]&lt;=30, "Severe", "Extremely Severe")))</f>
        <v>Extremely Severe</v>
      </c>
      <c r="I1185">
        <v>2.6053804999999999</v>
      </c>
      <c r="J1185">
        <v>32</v>
      </c>
      <c r="K1185" s="1" t="str">
        <f>IF(Table1[[#This Row],[stress_score]]&lt;=10, "Normal", IF(Table1[[#This Row],[stress_score]]&lt;=20, "Moderate", IF(Table1[[#This Row],[stress_score]]&lt;=30, "Severe", "Extremely Severe")))</f>
        <v>Extremely Severe</v>
      </c>
      <c r="L1185">
        <v>1.9521089</v>
      </c>
      <c r="M1185">
        <v>40</v>
      </c>
      <c r="N1185" s="1" t="str">
        <f>IF(Table1[[#This Row],[depression_score]]&lt;=10, "Normal", IF(Table1[[#This Row],[depression_score]]&lt;=20, "Moderate", IF(Table1[[#This Row],[depression_score]]&lt;=30, "Severe", "Extremely Severe")))</f>
        <v>Extremely Severe</v>
      </c>
      <c r="O1185">
        <v>2.7439119999999999</v>
      </c>
      <c r="P1185">
        <v>36</v>
      </c>
      <c r="Q1185">
        <f>ROUND(Table1[[#This Row],[dass21_raw_score]],0)</f>
        <v>36</v>
      </c>
      <c r="R1185" s="1" t="str">
        <f>IF(Table1[[#This Row],[round_dass21_raw_score]]&lt;=10, "Normal", IF(Table1[[#This Row],[round_dass21_raw_score]]&lt;=20, "Moderate", IF(Table1[[#This Row],[round_dass21_raw_score]]&lt;=30, "Severe", "Extremely Severe")))</f>
        <v>Extremely Severe</v>
      </c>
      <c r="S1185">
        <v>2.4338004999999998</v>
      </c>
      <c r="T1185">
        <v>3.5287104</v>
      </c>
      <c r="U1185">
        <v>1666.6666</v>
      </c>
      <c r="V1185" s="1">
        <f>ROUND(Table1[[#This Row],[fmpce]],0)</f>
        <v>1667</v>
      </c>
      <c r="W1185">
        <v>22.674440000000001</v>
      </c>
      <c r="X1185" s="4">
        <f>Table1[[#This Row],[mpce]]*89</f>
        <v>2018.0251600000001</v>
      </c>
      <c r="Y1185" s="2" t="s">
        <v>24</v>
      </c>
      <c r="Z1185" s="3">
        <f>VLOOKUP(Y1185, rmpce_reference!$B$1:$D$7,3,FALSE) * 89</f>
        <v>2225</v>
      </c>
      <c r="AA1185" s="1" t="str">
        <f>IF(Table1[rmpce_inr]&lt;=rmpce_reference!$F$2, "Low Income", IF(Table1[rmpce_inr]&lt;=rmpce_reference!$F$3, "Middle Income", "High Income"))</f>
        <v>Low Income</v>
      </c>
    </row>
    <row r="1186" spans="1:27" x14ac:dyDescent="0.25">
      <c r="A1186">
        <v>6123</v>
      </c>
      <c r="B1186" t="s">
        <v>44</v>
      </c>
      <c r="C1186" t="s">
        <v>21</v>
      </c>
      <c r="D1186">
        <v>45</v>
      </c>
      <c r="E1186" t="s">
        <v>22</v>
      </c>
      <c r="F1186" t="s">
        <v>23</v>
      </c>
      <c r="G1186">
        <v>32</v>
      </c>
      <c r="H1186" s="1" t="str">
        <f>IF(Table1[[#This Row],[anxiety_score]]&lt;=10, "Normal", IF(Table1[[#This Row],[anxiety_score]]&lt;=20, "Moderate", IF(Table1[[#This Row],[anxiety_score]]&lt;=30, "Severe", "Extremely Severe")))</f>
        <v>Extremely Severe</v>
      </c>
      <c r="I1186">
        <v>2.2032911999999998</v>
      </c>
      <c r="J1186">
        <v>38</v>
      </c>
      <c r="K1186" s="1" t="str">
        <f>IF(Table1[[#This Row],[stress_score]]&lt;=10, "Normal", IF(Table1[[#This Row],[stress_score]]&lt;=20, "Moderate", IF(Table1[[#This Row],[stress_score]]&lt;=30, "Severe", "Extremely Severe")))</f>
        <v>Extremely Severe</v>
      </c>
      <c r="L1186">
        <v>2.5360925000000001</v>
      </c>
      <c r="M1186">
        <v>32</v>
      </c>
      <c r="N1186" s="1" t="str">
        <f>IF(Table1[[#This Row],[depression_score]]&lt;=10, "Normal", IF(Table1[[#This Row],[depression_score]]&lt;=20, "Moderate", IF(Table1[[#This Row],[depression_score]]&lt;=30, "Severe", "Extremely Severe")))</f>
        <v>Extremely Severe</v>
      </c>
      <c r="O1186">
        <v>1.9733623</v>
      </c>
      <c r="P1186">
        <v>34</v>
      </c>
      <c r="Q1186">
        <f>ROUND(Table1[[#This Row],[dass21_raw_score]],0)</f>
        <v>34</v>
      </c>
      <c r="R1186" s="1" t="str">
        <f>IF(Table1[[#This Row],[round_dass21_raw_score]]&lt;=10, "Normal", IF(Table1[[#This Row],[round_dass21_raw_score]]&lt;=20, "Moderate", IF(Table1[[#This Row],[round_dass21_raw_score]]&lt;=30, "Severe", "Extremely Severe")))</f>
        <v>Extremely Severe</v>
      </c>
      <c r="S1186">
        <v>2.2375820000000002</v>
      </c>
      <c r="T1186">
        <v>3.3324919</v>
      </c>
      <c r="U1186">
        <v>5000</v>
      </c>
      <c r="V1186" s="1">
        <f>ROUND(Table1[[#This Row],[fmpce]],0)</f>
        <v>5000</v>
      </c>
      <c r="W1186">
        <v>68.023319999999998</v>
      </c>
      <c r="X1186" s="4">
        <f>Table1[[#This Row],[mpce]]*89</f>
        <v>6054.0754799999995</v>
      </c>
      <c r="Y1186" s="2" t="s">
        <v>28</v>
      </c>
      <c r="Z1186" s="3">
        <f>VLOOKUP(Y1186, rmpce_reference!$B$1:$D$7,3,FALSE) * 89</f>
        <v>6230</v>
      </c>
      <c r="AA1186" s="1" t="str">
        <f>IF(Table1[rmpce_inr]&lt;=rmpce_reference!$F$2, "Low Income", IF(Table1[rmpce_inr]&lt;=rmpce_reference!$F$3, "Middle Income", "High Income"))</f>
        <v>Middle Income</v>
      </c>
    </row>
    <row r="1187" spans="1:27" x14ac:dyDescent="0.25">
      <c r="A1187">
        <v>6124</v>
      </c>
      <c r="B1187" t="s">
        <v>44</v>
      </c>
      <c r="C1187" t="s">
        <v>33</v>
      </c>
      <c r="D1187">
        <v>26</v>
      </c>
      <c r="E1187" t="s">
        <v>22</v>
      </c>
      <c r="F1187" t="s">
        <v>23</v>
      </c>
      <c r="G1187">
        <v>32</v>
      </c>
      <c r="H1187" s="1" t="str">
        <f>IF(Table1[[#This Row],[anxiety_score]]&lt;=10, "Normal", IF(Table1[[#This Row],[anxiety_score]]&lt;=20, "Moderate", IF(Table1[[#This Row],[anxiety_score]]&lt;=30, "Severe", "Extremely Severe")))</f>
        <v>Extremely Severe</v>
      </c>
      <c r="I1187">
        <v>2.2032911999999998</v>
      </c>
      <c r="J1187">
        <v>36</v>
      </c>
      <c r="K1187" s="1" t="str">
        <f>IF(Table1[[#This Row],[stress_score]]&lt;=10, "Normal", IF(Table1[[#This Row],[stress_score]]&lt;=20, "Moderate", IF(Table1[[#This Row],[stress_score]]&lt;=30, "Severe", "Extremely Severe")))</f>
        <v>Extremely Severe</v>
      </c>
      <c r="L1187">
        <v>2.3414313999999998</v>
      </c>
      <c r="M1187">
        <v>34</v>
      </c>
      <c r="N1187" s="1" t="str">
        <f>IF(Table1[[#This Row],[depression_score]]&lt;=10, "Normal", IF(Table1[[#This Row],[depression_score]]&lt;=20, "Moderate", IF(Table1[[#This Row],[depression_score]]&lt;=30, "Severe", "Extremely Severe")))</f>
        <v>Extremely Severe</v>
      </c>
      <c r="O1187">
        <v>2.1659999999999999</v>
      </c>
      <c r="P1187">
        <v>34</v>
      </c>
      <c r="Q1187">
        <f>ROUND(Table1[[#This Row],[dass21_raw_score]],0)</f>
        <v>34</v>
      </c>
      <c r="R1187" s="1" t="str">
        <f>IF(Table1[[#This Row],[round_dass21_raw_score]]&lt;=10, "Normal", IF(Table1[[#This Row],[round_dass21_raw_score]]&lt;=20, "Moderate", IF(Table1[[#This Row],[round_dass21_raw_score]]&lt;=30, "Severe", "Extremely Severe")))</f>
        <v>Extremely Severe</v>
      </c>
      <c r="S1187">
        <v>2.2369075</v>
      </c>
      <c r="T1187">
        <v>3.3318173999999998</v>
      </c>
      <c r="U1187">
        <v>2500</v>
      </c>
      <c r="V1187" s="1">
        <f>ROUND(Table1[[#This Row],[fmpce]],0)</f>
        <v>2500</v>
      </c>
      <c r="W1187">
        <v>34.011659999999999</v>
      </c>
      <c r="X1187" s="4">
        <f>Table1[[#This Row],[mpce]]*89</f>
        <v>3027.0377399999998</v>
      </c>
      <c r="Y1187" s="2" t="s">
        <v>34</v>
      </c>
      <c r="Z1187" s="3">
        <f>VLOOKUP(Y1187, rmpce_reference!$B$1:$D$7,3,FALSE) * 89</f>
        <v>2848</v>
      </c>
      <c r="AA1187" s="1" t="str">
        <f>IF(Table1[rmpce_inr]&lt;=rmpce_reference!$F$2, "Low Income", IF(Table1[rmpce_inr]&lt;=rmpce_reference!$F$3, "Middle Income", "High Income"))</f>
        <v>Low Income</v>
      </c>
    </row>
    <row r="1188" spans="1:27" x14ac:dyDescent="0.25">
      <c r="A1188">
        <v>6125</v>
      </c>
      <c r="B1188" t="s">
        <v>44</v>
      </c>
      <c r="C1188" t="s">
        <v>29</v>
      </c>
      <c r="D1188">
        <v>37</v>
      </c>
      <c r="E1188" t="s">
        <v>22</v>
      </c>
      <c r="F1188" t="s">
        <v>27</v>
      </c>
      <c r="G1188">
        <v>22</v>
      </c>
      <c r="H1188" s="1" t="str">
        <f>IF(Table1[[#This Row],[anxiety_score]]&lt;=10, "Normal", IF(Table1[[#This Row],[anxiety_score]]&lt;=20, "Moderate", IF(Table1[[#This Row],[anxiety_score]]&lt;=30, "Severe", "Extremely Severe")))</f>
        <v>Severe</v>
      </c>
      <c r="I1188">
        <v>1.1980683000000001</v>
      </c>
      <c r="J1188">
        <v>24</v>
      </c>
      <c r="K1188" s="1" t="str">
        <f>IF(Table1[[#This Row],[stress_score]]&lt;=10, "Normal", IF(Table1[[#This Row],[stress_score]]&lt;=20, "Moderate", IF(Table1[[#This Row],[stress_score]]&lt;=30, "Severe", "Extremely Severe")))</f>
        <v>Severe</v>
      </c>
      <c r="L1188">
        <v>1.1734637999999999</v>
      </c>
      <c r="M1188">
        <v>26</v>
      </c>
      <c r="N1188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1188">
        <v>1.3954502</v>
      </c>
      <c r="P1188">
        <v>24</v>
      </c>
      <c r="Q1188">
        <f>ROUND(Table1[[#This Row],[dass21_raw_score]],0)</f>
        <v>24</v>
      </c>
      <c r="R1188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188">
        <v>1.2556608</v>
      </c>
      <c r="T1188">
        <v>2.3505707</v>
      </c>
      <c r="U1188">
        <v>2500</v>
      </c>
      <c r="V1188" s="1">
        <f>ROUND(Table1[[#This Row],[fmpce]],0)</f>
        <v>2500</v>
      </c>
      <c r="W1188">
        <v>34.011659999999999</v>
      </c>
      <c r="X1188" s="4">
        <f>Table1[[#This Row],[mpce]]*89</f>
        <v>3027.0377399999998</v>
      </c>
      <c r="Y1188" s="2" t="s">
        <v>34</v>
      </c>
      <c r="Z1188" s="3">
        <f>VLOOKUP(Y1188, rmpce_reference!$B$1:$D$7,3,FALSE) * 89</f>
        <v>2848</v>
      </c>
      <c r="AA1188" s="1" t="str">
        <f>IF(Table1[rmpce_inr]&lt;=rmpce_reference!$F$2, "Low Income", IF(Table1[rmpce_inr]&lt;=rmpce_reference!$F$3, "Middle Income", "High Income"))</f>
        <v>Low Income</v>
      </c>
    </row>
    <row r="1189" spans="1:27" x14ac:dyDescent="0.25">
      <c r="A1189">
        <v>6126</v>
      </c>
      <c r="B1189" t="s">
        <v>44</v>
      </c>
      <c r="C1189" t="s">
        <v>33</v>
      </c>
      <c r="D1189">
        <v>25</v>
      </c>
      <c r="E1189" t="s">
        <v>22</v>
      </c>
      <c r="F1189" t="s">
        <v>30</v>
      </c>
      <c r="G1189">
        <v>14</v>
      </c>
      <c r="H1189" s="1" t="str">
        <f>IF(Table1[[#This Row],[anxiety_score]]&lt;=10, "Normal", IF(Table1[[#This Row],[anxiety_score]]&lt;=20, "Moderate", IF(Table1[[#This Row],[anxiety_score]]&lt;=30, "Severe", "Extremely Severe")))</f>
        <v>Moderate</v>
      </c>
      <c r="I1189">
        <v>0.39388975999999998</v>
      </c>
      <c r="J1189">
        <v>16</v>
      </c>
      <c r="K1189" s="1" t="str">
        <f>IF(Table1[[#This Row],[stress_score]]&lt;=10, "Normal", IF(Table1[[#This Row],[stress_score]]&lt;=20, "Moderate", IF(Table1[[#This Row],[stress_score]]&lt;=30, "Severe", "Extremely Severe")))</f>
        <v>Moderate</v>
      </c>
      <c r="L1189">
        <v>0.39481880000000003</v>
      </c>
      <c r="M1189">
        <v>18</v>
      </c>
      <c r="N1189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1189">
        <v>0.62490060000000003</v>
      </c>
      <c r="P1189">
        <v>16</v>
      </c>
      <c r="Q1189">
        <f>ROUND(Table1[[#This Row],[dass21_raw_score]],0)</f>
        <v>16</v>
      </c>
      <c r="R1189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1189">
        <v>0.47120306000000001</v>
      </c>
      <c r="T1189">
        <v>1.5661130000000001</v>
      </c>
      <c r="U1189">
        <v>5000</v>
      </c>
      <c r="V1189" s="1">
        <f>ROUND(Table1[[#This Row],[fmpce]],0)</f>
        <v>5000</v>
      </c>
      <c r="W1189">
        <v>68.023319999999998</v>
      </c>
      <c r="X1189" s="4">
        <f>Table1[[#This Row],[mpce]]*89</f>
        <v>6054.0754799999995</v>
      </c>
      <c r="Y1189" s="2" t="s">
        <v>28</v>
      </c>
      <c r="Z1189" s="3">
        <f>VLOOKUP(Y1189, rmpce_reference!$B$1:$D$7,3,FALSE) * 89</f>
        <v>6230</v>
      </c>
      <c r="AA1189" s="1" t="str">
        <f>IF(Table1[rmpce_inr]&lt;=rmpce_reference!$F$2, "Low Income", IF(Table1[rmpce_inr]&lt;=rmpce_reference!$F$3, "Middle Income", "High Income"))</f>
        <v>Middle Income</v>
      </c>
    </row>
    <row r="1190" spans="1:27" x14ac:dyDescent="0.25">
      <c r="A1190">
        <v>6127</v>
      </c>
      <c r="B1190" t="s">
        <v>44</v>
      </c>
      <c r="C1190" t="s">
        <v>33</v>
      </c>
      <c r="D1190">
        <v>25</v>
      </c>
      <c r="E1190" t="s">
        <v>22</v>
      </c>
      <c r="F1190" t="s">
        <v>45</v>
      </c>
      <c r="G1190">
        <v>14</v>
      </c>
      <c r="H1190" s="1" t="str">
        <f>IF(Table1[[#This Row],[anxiety_score]]&lt;=10, "Normal", IF(Table1[[#This Row],[anxiety_score]]&lt;=20, "Moderate", IF(Table1[[#This Row],[anxiety_score]]&lt;=30, "Severe", "Extremely Severe")))</f>
        <v>Moderate</v>
      </c>
      <c r="I1190">
        <v>0.39388975999999998</v>
      </c>
      <c r="J1190">
        <v>30</v>
      </c>
      <c r="K1190" s="1" t="str">
        <f>IF(Table1[[#This Row],[stress_score]]&lt;=10, "Normal", IF(Table1[[#This Row],[stress_score]]&lt;=20, "Moderate", IF(Table1[[#This Row],[stress_score]]&lt;=30, "Severe", "Extremely Severe")))</f>
        <v>Severe</v>
      </c>
      <c r="L1190">
        <v>1.7574476000000001</v>
      </c>
      <c r="M1190">
        <v>16</v>
      </c>
      <c r="N1190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1190">
        <v>0.43226320000000001</v>
      </c>
      <c r="P1190">
        <v>20</v>
      </c>
      <c r="Q1190">
        <f>ROUND(Table1[[#This Row],[dass21_raw_score]],0)</f>
        <v>20</v>
      </c>
      <c r="R1190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1190">
        <v>0.86120019999999997</v>
      </c>
      <c r="T1190">
        <v>1.9561101000000001</v>
      </c>
      <c r="U1190">
        <v>7500</v>
      </c>
      <c r="V1190" s="1">
        <f>ROUND(Table1[[#This Row],[fmpce]],0)</f>
        <v>7500</v>
      </c>
      <c r="W1190">
        <v>102.03498999999999</v>
      </c>
      <c r="X1190" s="4">
        <f>Table1[[#This Row],[mpce]]*89</f>
        <v>9081.1141099999986</v>
      </c>
      <c r="Y1190" s="2" t="s">
        <v>35</v>
      </c>
      <c r="Z1190" s="3">
        <f>VLOOKUP(Y1190, rmpce_reference!$B$1:$D$7,3,FALSE) * 89</f>
        <v>9790</v>
      </c>
      <c r="AA1190" s="1" t="str">
        <f>IF(Table1[rmpce_inr]&lt;=rmpce_reference!$F$2, "Low Income", IF(Table1[rmpce_inr]&lt;=rmpce_reference!$F$3, "Middle Income", "High Income"))</f>
        <v>High Income</v>
      </c>
    </row>
    <row r="1191" spans="1:27" x14ac:dyDescent="0.25">
      <c r="A1191">
        <v>6128</v>
      </c>
      <c r="B1191" t="s">
        <v>44</v>
      </c>
      <c r="C1191" t="s">
        <v>33</v>
      </c>
      <c r="D1191">
        <v>25</v>
      </c>
      <c r="E1191" t="s">
        <v>22</v>
      </c>
      <c r="F1191" t="s">
        <v>30</v>
      </c>
      <c r="G1191">
        <v>6</v>
      </c>
      <c r="H1191" s="1" t="str">
        <f>IF(Table1[[#This Row],[anxiety_score]]&lt;=10, "Normal", IF(Table1[[#This Row],[anxiety_score]]&lt;=20, "Moderate", IF(Table1[[#This Row],[anxiety_score]]&lt;=30, "Severe", "Extremely Severe")))</f>
        <v>Normal</v>
      </c>
      <c r="I1191">
        <v>-0.41028870000000001</v>
      </c>
      <c r="J1191">
        <v>12</v>
      </c>
      <c r="K1191" s="1" t="str">
        <f>IF(Table1[[#This Row],[stress_score]]&lt;=10, "Normal", IF(Table1[[#This Row],[stress_score]]&lt;=20, "Moderate", IF(Table1[[#This Row],[stress_score]]&lt;=30, "Severe", "Extremely Severe")))</f>
        <v>Moderate</v>
      </c>
      <c r="L1191">
        <v>5.496318E-3</v>
      </c>
      <c r="M1191">
        <v>8</v>
      </c>
      <c r="N1191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191">
        <v>-0.33828637</v>
      </c>
      <c r="P1191">
        <v>8.6666670000000003</v>
      </c>
      <c r="Q1191">
        <f>ROUND(Table1[[#This Row],[dass21_raw_score]],0)</f>
        <v>9</v>
      </c>
      <c r="R1191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191">
        <v>-0.24769290999999999</v>
      </c>
      <c r="T1191">
        <v>0.84721696000000002</v>
      </c>
      <c r="U1191">
        <v>6666.6665000000003</v>
      </c>
      <c r="V1191" s="1">
        <f>ROUND(Table1[[#This Row],[fmpce]],0)</f>
        <v>6667</v>
      </c>
      <c r="W1191">
        <v>90.697760000000002</v>
      </c>
      <c r="X1191" s="4">
        <f>Table1[[#This Row],[mpce]]*89</f>
        <v>8072.1006400000006</v>
      </c>
      <c r="Y1191" s="2" t="s">
        <v>31</v>
      </c>
      <c r="Z1191" s="3">
        <f>VLOOKUP(Y1191, rmpce_reference!$B$1:$D$7,3,FALSE) * 89</f>
        <v>8010</v>
      </c>
      <c r="AA1191" s="1" t="str">
        <f>IF(Table1[rmpce_inr]&lt;=rmpce_reference!$F$2, "Low Income", IF(Table1[rmpce_inr]&lt;=rmpce_reference!$F$3, "Middle Income", "High Income"))</f>
        <v>High Income</v>
      </c>
    </row>
    <row r="1192" spans="1:27" x14ac:dyDescent="0.25">
      <c r="A1192">
        <v>6129</v>
      </c>
      <c r="B1192" t="s">
        <v>44</v>
      </c>
      <c r="C1192" t="s">
        <v>33</v>
      </c>
      <c r="D1192">
        <v>25</v>
      </c>
      <c r="E1192" t="s">
        <v>22</v>
      </c>
      <c r="F1192" t="s">
        <v>30</v>
      </c>
      <c r="G1192">
        <v>14</v>
      </c>
      <c r="H1192" s="1" t="str">
        <f>IF(Table1[[#This Row],[anxiety_score]]&lt;=10, "Normal", IF(Table1[[#This Row],[anxiety_score]]&lt;=20, "Moderate", IF(Table1[[#This Row],[anxiety_score]]&lt;=30, "Severe", "Extremely Severe")))</f>
        <v>Moderate</v>
      </c>
      <c r="I1192">
        <v>0.39388975999999998</v>
      </c>
      <c r="J1192">
        <v>28</v>
      </c>
      <c r="K1192" s="1" t="str">
        <f>IF(Table1[[#This Row],[stress_score]]&lt;=10, "Normal", IF(Table1[[#This Row],[stress_score]]&lt;=20, "Moderate", IF(Table1[[#This Row],[stress_score]]&lt;=30, "Severe", "Extremely Severe")))</f>
        <v>Severe</v>
      </c>
      <c r="L1192">
        <v>1.5627863</v>
      </c>
      <c r="M1192">
        <v>16</v>
      </c>
      <c r="N1192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1192">
        <v>0.43226320000000001</v>
      </c>
      <c r="P1192">
        <v>19.333334000000001</v>
      </c>
      <c r="Q1192">
        <f>ROUND(Table1[[#This Row],[dass21_raw_score]],0)</f>
        <v>19</v>
      </c>
      <c r="R1192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1192">
        <v>0.7963131</v>
      </c>
      <c r="T1192">
        <v>1.8912230000000001</v>
      </c>
      <c r="U1192">
        <v>5000</v>
      </c>
      <c r="V1192" s="1">
        <f>ROUND(Table1[[#This Row],[fmpce]],0)</f>
        <v>5000</v>
      </c>
      <c r="W1192">
        <v>68.023319999999998</v>
      </c>
      <c r="X1192" s="4">
        <f>Table1[[#This Row],[mpce]]*89</f>
        <v>6054.0754799999995</v>
      </c>
      <c r="Y1192" s="2" t="s">
        <v>28</v>
      </c>
      <c r="Z1192" s="3">
        <f>VLOOKUP(Y1192, rmpce_reference!$B$1:$D$7,3,FALSE) * 89</f>
        <v>6230</v>
      </c>
      <c r="AA1192" s="1" t="str">
        <f>IF(Table1[rmpce_inr]&lt;=rmpce_reference!$F$2, "Low Income", IF(Table1[rmpce_inr]&lt;=rmpce_reference!$F$3, "Middle Income", "High Income"))</f>
        <v>Middle Income</v>
      </c>
    </row>
    <row r="1193" spans="1:27" x14ac:dyDescent="0.25">
      <c r="A1193">
        <v>6130</v>
      </c>
      <c r="B1193" t="s">
        <v>44</v>
      </c>
      <c r="C1193" t="s">
        <v>33</v>
      </c>
      <c r="D1193">
        <v>26</v>
      </c>
      <c r="E1193" t="s">
        <v>22</v>
      </c>
      <c r="F1193" t="s">
        <v>30</v>
      </c>
      <c r="G1193">
        <v>20</v>
      </c>
      <c r="H1193" s="1" t="str">
        <f>IF(Table1[[#This Row],[anxiety_score]]&lt;=10, "Normal", IF(Table1[[#This Row],[anxiety_score]]&lt;=20, "Moderate", IF(Table1[[#This Row],[anxiety_score]]&lt;=30, "Severe", "Extremely Severe")))</f>
        <v>Moderate</v>
      </c>
      <c r="I1193">
        <v>0.99702360000000001</v>
      </c>
      <c r="J1193">
        <v>24</v>
      </c>
      <c r="K1193" s="1" t="str">
        <f>IF(Table1[[#This Row],[stress_score]]&lt;=10, "Normal", IF(Table1[[#This Row],[stress_score]]&lt;=20, "Moderate", IF(Table1[[#This Row],[stress_score]]&lt;=30, "Severe", "Extremely Severe")))</f>
        <v>Severe</v>
      </c>
      <c r="L1193">
        <v>1.1734637999999999</v>
      </c>
      <c r="M1193">
        <v>30</v>
      </c>
      <c r="N1193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1193">
        <v>1.7807249999999999</v>
      </c>
      <c r="P1193">
        <v>24.666665999999999</v>
      </c>
      <c r="Q1193">
        <f>ROUND(Table1[[#This Row],[dass21_raw_score]],0)</f>
        <v>25</v>
      </c>
      <c r="R1193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193">
        <v>1.3170708</v>
      </c>
      <c r="T1193">
        <v>2.4119806000000001</v>
      </c>
      <c r="U1193">
        <v>4500</v>
      </c>
      <c r="V1193" s="1">
        <f>ROUND(Table1[[#This Row],[fmpce]],0)</f>
        <v>4500</v>
      </c>
      <c r="W1193">
        <v>61.220993</v>
      </c>
      <c r="X1193" s="4">
        <f>Table1[[#This Row],[mpce]]*89</f>
        <v>5448.668377</v>
      </c>
      <c r="Y1193" s="2" t="s">
        <v>28</v>
      </c>
      <c r="Z1193" s="3">
        <f>VLOOKUP(Y1193, rmpce_reference!$B$1:$D$7,3,FALSE) * 89</f>
        <v>6230</v>
      </c>
      <c r="AA1193" s="1" t="str">
        <f>IF(Table1[rmpce_inr]&lt;=rmpce_reference!$F$2, "Low Income", IF(Table1[rmpce_inr]&lt;=rmpce_reference!$F$3, "Middle Income", "High Income"))</f>
        <v>Middle Income</v>
      </c>
    </row>
    <row r="1194" spans="1:27" x14ac:dyDescent="0.25">
      <c r="A1194">
        <v>6131</v>
      </c>
      <c r="B1194" t="s">
        <v>44</v>
      </c>
      <c r="C1194" t="s">
        <v>33</v>
      </c>
      <c r="D1194">
        <v>29</v>
      </c>
      <c r="E1194" t="s">
        <v>22</v>
      </c>
      <c r="F1194" t="s">
        <v>30</v>
      </c>
      <c r="G1194">
        <v>22</v>
      </c>
      <c r="H1194" s="1" t="str">
        <f>IF(Table1[[#This Row],[anxiety_score]]&lt;=10, "Normal", IF(Table1[[#This Row],[anxiety_score]]&lt;=20, "Moderate", IF(Table1[[#This Row],[anxiety_score]]&lt;=30, "Severe", "Extremely Severe")))</f>
        <v>Severe</v>
      </c>
      <c r="I1194">
        <v>1.1980683000000001</v>
      </c>
      <c r="J1194">
        <v>20</v>
      </c>
      <c r="K1194" s="1" t="str">
        <f>IF(Table1[[#This Row],[stress_score]]&lt;=10, "Normal", IF(Table1[[#This Row],[stress_score]]&lt;=20, "Moderate", IF(Table1[[#This Row],[stress_score]]&lt;=30, "Severe", "Extremely Severe")))</f>
        <v>Moderate</v>
      </c>
      <c r="L1194">
        <v>0.78414130000000004</v>
      </c>
      <c r="M1194">
        <v>32</v>
      </c>
      <c r="N1194" s="1" t="str">
        <f>IF(Table1[[#This Row],[depression_score]]&lt;=10, "Normal", IF(Table1[[#This Row],[depression_score]]&lt;=20, "Moderate", IF(Table1[[#This Row],[depression_score]]&lt;=30, "Severe", "Extremely Severe")))</f>
        <v>Extremely Severe</v>
      </c>
      <c r="O1194">
        <v>1.9733623</v>
      </c>
      <c r="P1194">
        <v>24.666665999999999</v>
      </c>
      <c r="Q1194">
        <f>ROUND(Table1[[#This Row],[dass21_raw_score]],0)</f>
        <v>25</v>
      </c>
      <c r="R1194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194">
        <v>1.318524</v>
      </c>
      <c r="T1194">
        <v>2.4134340000000001</v>
      </c>
      <c r="U1194">
        <v>3200</v>
      </c>
      <c r="V1194" s="1">
        <f>ROUND(Table1[[#This Row],[fmpce]],0)</f>
        <v>3200</v>
      </c>
      <c r="W1194">
        <v>43.534927000000003</v>
      </c>
      <c r="X1194" s="4">
        <f>Table1[[#This Row],[mpce]]*89</f>
        <v>3874.6085030000004</v>
      </c>
      <c r="Y1194" s="2" t="s">
        <v>32</v>
      </c>
      <c r="Z1194" s="3">
        <f>VLOOKUP(Y1194, rmpce_reference!$B$1:$D$7,3,FALSE) * 89</f>
        <v>4450</v>
      </c>
      <c r="AA1194" s="1" t="str">
        <f>IF(Table1[rmpce_inr]&lt;=rmpce_reference!$F$2, "Low Income", IF(Table1[rmpce_inr]&lt;=rmpce_reference!$F$3, "Middle Income", "High Income"))</f>
        <v>Low Income</v>
      </c>
    </row>
    <row r="1195" spans="1:27" x14ac:dyDescent="0.25">
      <c r="A1195">
        <v>6132</v>
      </c>
      <c r="B1195" t="s">
        <v>44</v>
      </c>
      <c r="C1195" t="s">
        <v>33</v>
      </c>
      <c r="D1195">
        <v>29</v>
      </c>
      <c r="E1195" t="s">
        <v>25</v>
      </c>
      <c r="F1195" t="s">
        <v>37</v>
      </c>
      <c r="G1195">
        <v>8</v>
      </c>
      <c r="H1195" s="1" t="str">
        <f>IF(Table1[[#This Row],[anxiety_score]]&lt;=10, "Normal", IF(Table1[[#This Row],[anxiety_score]]&lt;=20, "Moderate", IF(Table1[[#This Row],[anxiety_score]]&lt;=30, "Severe", "Extremely Severe")))</f>
        <v>Normal</v>
      </c>
      <c r="I1195">
        <v>-0.20924408999999999</v>
      </c>
      <c r="J1195">
        <v>22</v>
      </c>
      <c r="K1195" s="1" t="str">
        <f>IF(Table1[[#This Row],[stress_score]]&lt;=10, "Normal", IF(Table1[[#This Row],[stress_score]]&lt;=20, "Moderate", IF(Table1[[#This Row],[stress_score]]&lt;=30, "Severe", "Extremely Severe")))</f>
        <v>Severe</v>
      </c>
      <c r="L1195">
        <v>0.97880255999999999</v>
      </c>
      <c r="M1195">
        <v>18</v>
      </c>
      <c r="N1195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1195">
        <v>0.62490060000000003</v>
      </c>
      <c r="P1195">
        <v>16</v>
      </c>
      <c r="Q1195">
        <f>ROUND(Table1[[#This Row],[dass21_raw_score]],0)</f>
        <v>16</v>
      </c>
      <c r="R1195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1195">
        <v>0.46481967000000002</v>
      </c>
      <c r="T1195">
        <v>1.5597296</v>
      </c>
      <c r="U1195">
        <v>2000</v>
      </c>
      <c r="V1195" s="1">
        <f>ROUND(Table1[[#This Row],[fmpce]],0)</f>
        <v>2000</v>
      </c>
      <c r="W1195">
        <v>27.209330000000001</v>
      </c>
      <c r="X1195" s="4">
        <f>Table1[[#This Row],[mpce]]*89</f>
        <v>2421.6303700000003</v>
      </c>
      <c r="Y1195" s="2" t="s">
        <v>34</v>
      </c>
      <c r="Z1195" s="3">
        <f>VLOOKUP(Y1195, rmpce_reference!$B$1:$D$7,3,FALSE) * 89</f>
        <v>2848</v>
      </c>
      <c r="AA1195" s="1" t="str">
        <f>IF(Table1[rmpce_inr]&lt;=rmpce_reference!$F$2, "Low Income", IF(Table1[rmpce_inr]&lt;=rmpce_reference!$F$3, "Middle Income", "High Income"))</f>
        <v>Low Income</v>
      </c>
    </row>
    <row r="1196" spans="1:27" x14ac:dyDescent="0.25">
      <c r="A1196">
        <v>6133</v>
      </c>
      <c r="B1196" t="s">
        <v>44</v>
      </c>
      <c r="C1196" t="s">
        <v>36</v>
      </c>
      <c r="D1196">
        <v>53</v>
      </c>
      <c r="E1196" t="s">
        <v>25</v>
      </c>
      <c r="F1196" t="s">
        <v>26</v>
      </c>
      <c r="G1196">
        <v>12</v>
      </c>
      <c r="H1196" s="1" t="str">
        <f>IF(Table1[[#This Row],[anxiety_score]]&lt;=10, "Normal", IF(Table1[[#This Row],[anxiety_score]]&lt;=20, "Moderate", IF(Table1[[#This Row],[anxiety_score]]&lt;=30, "Severe", "Extremely Severe")))</f>
        <v>Moderate</v>
      </c>
      <c r="I1196">
        <v>0.19284514999999999</v>
      </c>
      <c r="J1196">
        <v>12</v>
      </c>
      <c r="K1196" s="1" t="str">
        <f>IF(Table1[[#This Row],[stress_score]]&lt;=10, "Normal", IF(Table1[[#This Row],[stress_score]]&lt;=20, "Moderate", IF(Table1[[#This Row],[stress_score]]&lt;=30, "Severe", "Extremely Severe")))</f>
        <v>Moderate</v>
      </c>
      <c r="L1196">
        <v>5.496318E-3</v>
      </c>
      <c r="M1196">
        <v>8</v>
      </c>
      <c r="N1196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196">
        <v>-0.33828637</v>
      </c>
      <c r="P1196">
        <v>10.666667</v>
      </c>
      <c r="Q1196">
        <f>ROUND(Table1[[#This Row],[dass21_raw_score]],0)</f>
        <v>11</v>
      </c>
      <c r="R1196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1196">
        <v>-4.6648299999999997E-2</v>
      </c>
      <c r="T1196">
        <v>1.0482616</v>
      </c>
      <c r="U1196">
        <v>3000</v>
      </c>
      <c r="V1196" s="1">
        <f>ROUND(Table1[[#This Row],[fmpce]],0)</f>
        <v>3000</v>
      </c>
      <c r="W1196">
        <v>40.813994999999998</v>
      </c>
      <c r="X1196" s="4">
        <f>Table1[[#This Row],[mpce]]*89</f>
        <v>3632.4455549999998</v>
      </c>
      <c r="Y1196" s="2" t="s">
        <v>32</v>
      </c>
      <c r="Z1196" s="3">
        <f>VLOOKUP(Y1196, rmpce_reference!$B$1:$D$7,3,FALSE) * 89</f>
        <v>4450</v>
      </c>
      <c r="AA1196" s="1" t="str">
        <f>IF(Table1[rmpce_inr]&lt;=rmpce_reference!$F$2, "Low Income", IF(Table1[rmpce_inr]&lt;=rmpce_reference!$F$3, "Middle Income", "High Income"))</f>
        <v>Low Income</v>
      </c>
    </row>
    <row r="1197" spans="1:27" x14ac:dyDescent="0.25">
      <c r="A1197">
        <v>6134</v>
      </c>
      <c r="B1197" t="s">
        <v>44</v>
      </c>
      <c r="C1197" t="s">
        <v>36</v>
      </c>
      <c r="D1197">
        <v>56</v>
      </c>
      <c r="E1197" t="s">
        <v>22</v>
      </c>
      <c r="F1197" t="s">
        <v>23</v>
      </c>
      <c r="G1197">
        <v>8</v>
      </c>
      <c r="H1197" s="1" t="str">
        <f>IF(Table1[[#This Row],[anxiety_score]]&lt;=10, "Normal", IF(Table1[[#This Row],[anxiety_score]]&lt;=20, "Moderate", IF(Table1[[#This Row],[anxiety_score]]&lt;=30, "Severe", "Extremely Severe")))</f>
        <v>Normal</v>
      </c>
      <c r="I1197">
        <v>-0.20924408999999999</v>
      </c>
      <c r="J1197">
        <v>10</v>
      </c>
      <c r="K1197" s="1" t="str">
        <f>IF(Table1[[#This Row],[stress_score]]&lt;=10, "Normal", IF(Table1[[#This Row],[stress_score]]&lt;=20, "Moderate", IF(Table1[[#This Row],[stress_score]]&lt;=30, "Severe", "Extremely Severe")))</f>
        <v>Normal</v>
      </c>
      <c r="L1197">
        <v>-0.18916494</v>
      </c>
      <c r="M1197">
        <v>8</v>
      </c>
      <c r="N1197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197">
        <v>-0.33828637</v>
      </c>
      <c r="P1197">
        <v>8.6666670000000003</v>
      </c>
      <c r="Q1197">
        <f>ROUND(Table1[[#This Row],[dass21_raw_score]],0)</f>
        <v>9</v>
      </c>
      <c r="R1197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197">
        <v>-0.24556512999999999</v>
      </c>
      <c r="T1197">
        <v>0.84934480000000001</v>
      </c>
      <c r="U1197">
        <v>2000</v>
      </c>
      <c r="V1197" s="1">
        <f>ROUND(Table1[[#This Row],[fmpce]],0)</f>
        <v>2000</v>
      </c>
      <c r="W1197">
        <v>27.209330000000001</v>
      </c>
      <c r="X1197" s="4">
        <f>Table1[[#This Row],[mpce]]*89</f>
        <v>2421.6303700000003</v>
      </c>
      <c r="Y1197" s="2" t="s">
        <v>34</v>
      </c>
      <c r="Z1197" s="3">
        <f>VLOOKUP(Y1197, rmpce_reference!$B$1:$D$7,3,FALSE) * 89</f>
        <v>2848</v>
      </c>
      <c r="AA1197" s="1" t="str">
        <f>IF(Table1[rmpce_inr]&lt;=rmpce_reference!$F$2, "Low Income", IF(Table1[rmpce_inr]&lt;=rmpce_reference!$F$3, "Middle Income", "High Income"))</f>
        <v>Low Income</v>
      </c>
    </row>
    <row r="1198" spans="1:27" x14ac:dyDescent="0.25">
      <c r="A1198">
        <v>6135</v>
      </c>
      <c r="B1198" t="s">
        <v>44</v>
      </c>
      <c r="C1198" t="s">
        <v>29</v>
      </c>
      <c r="D1198">
        <v>36</v>
      </c>
      <c r="E1198" t="s">
        <v>22</v>
      </c>
      <c r="F1198" t="s">
        <v>30</v>
      </c>
      <c r="G1198">
        <v>0</v>
      </c>
      <c r="H1198" s="1" t="str">
        <f>IF(Table1[[#This Row],[anxiety_score]]&lt;=10, "Normal", IF(Table1[[#This Row],[anxiety_score]]&lt;=20, "Moderate", IF(Table1[[#This Row],[anxiety_score]]&lt;=30, "Severe", "Extremely Severe")))</f>
        <v>Normal</v>
      </c>
      <c r="I1198">
        <v>-1.0134224999999999</v>
      </c>
      <c r="J1198">
        <v>0</v>
      </c>
      <c r="K1198" s="1" t="str">
        <f>IF(Table1[[#This Row],[stress_score]]&lt;=10, "Normal", IF(Table1[[#This Row],[stress_score]]&lt;=20, "Moderate", IF(Table1[[#This Row],[stress_score]]&lt;=30, "Severe", "Extremely Severe")))</f>
        <v>Normal</v>
      </c>
      <c r="L1198">
        <v>-1.1624711999999999</v>
      </c>
      <c r="M1198">
        <v>2</v>
      </c>
      <c r="N1198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198">
        <v>-0.91619854999999994</v>
      </c>
      <c r="P1198">
        <v>0.66666669999999995</v>
      </c>
      <c r="Q1198">
        <f>ROUND(Table1[[#This Row],[dass21_raw_score]],0)</f>
        <v>1</v>
      </c>
      <c r="R1198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198">
        <v>-1.0306972999999999</v>
      </c>
      <c r="T1198">
        <v>6.4212560000000002E-2</v>
      </c>
      <c r="U1198">
        <v>3750</v>
      </c>
      <c r="V1198" s="1">
        <f>ROUND(Table1[[#This Row],[fmpce]],0)</f>
        <v>3750</v>
      </c>
      <c r="W1198">
        <v>51.017493999999999</v>
      </c>
      <c r="X1198" s="4">
        <f>Table1[[#This Row],[mpce]]*89</f>
        <v>4540.5569660000001</v>
      </c>
      <c r="Y1198" s="2" t="s">
        <v>32</v>
      </c>
      <c r="Z1198" s="3">
        <f>VLOOKUP(Y1198, rmpce_reference!$B$1:$D$7,3,FALSE) * 89</f>
        <v>4450</v>
      </c>
      <c r="AA1198" s="1" t="str">
        <f>IF(Table1[rmpce_inr]&lt;=rmpce_reference!$F$2, "Low Income", IF(Table1[rmpce_inr]&lt;=rmpce_reference!$F$3, "Middle Income", "High Income"))</f>
        <v>Low Income</v>
      </c>
    </row>
    <row r="1199" spans="1:27" x14ac:dyDescent="0.25">
      <c r="A1199">
        <v>6136</v>
      </c>
      <c r="B1199" t="s">
        <v>44</v>
      </c>
      <c r="C1199" t="s">
        <v>29</v>
      </c>
      <c r="D1199">
        <v>33</v>
      </c>
      <c r="E1199" t="s">
        <v>22</v>
      </c>
      <c r="F1199" t="s">
        <v>30</v>
      </c>
      <c r="G1199">
        <v>2</v>
      </c>
      <c r="H1199" s="1" t="str">
        <f>IF(Table1[[#This Row],[anxiety_score]]&lt;=10, "Normal", IF(Table1[[#This Row],[anxiety_score]]&lt;=20, "Moderate", IF(Table1[[#This Row],[anxiety_score]]&lt;=30, "Severe", "Extremely Severe")))</f>
        <v>Normal</v>
      </c>
      <c r="I1199">
        <v>-0.81237789999999999</v>
      </c>
      <c r="J1199">
        <v>2</v>
      </c>
      <c r="K1199" s="1" t="str">
        <f>IF(Table1[[#This Row],[stress_score]]&lt;=10, "Normal", IF(Table1[[#This Row],[stress_score]]&lt;=20, "Moderate", IF(Table1[[#This Row],[stress_score]]&lt;=30, "Severe", "Extremely Severe")))</f>
        <v>Normal</v>
      </c>
      <c r="L1199">
        <v>-0.9678099</v>
      </c>
      <c r="M1199">
        <v>4</v>
      </c>
      <c r="N1199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199">
        <v>-0.72356116999999998</v>
      </c>
      <c r="P1199">
        <v>2.6666666999999999</v>
      </c>
      <c r="Q1199">
        <f>ROUND(Table1[[#This Row],[dass21_raw_score]],0)</f>
        <v>3</v>
      </c>
      <c r="R1199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199">
        <v>-0.83458299999999996</v>
      </c>
      <c r="T1199">
        <v>0.26032692000000002</v>
      </c>
      <c r="U1199">
        <v>1428.5714</v>
      </c>
      <c r="V1199" s="1">
        <f>ROUND(Table1[[#This Row],[fmpce]],0)</f>
        <v>1429</v>
      </c>
      <c r="W1199">
        <v>19.435236</v>
      </c>
      <c r="X1199" s="4">
        <f>Table1[[#This Row],[mpce]]*89</f>
        <v>1729.7360039999999</v>
      </c>
      <c r="Y1199" s="2" t="s">
        <v>24</v>
      </c>
      <c r="Z1199" s="3">
        <f>VLOOKUP(Y1199, rmpce_reference!$B$1:$D$7,3,FALSE) * 89</f>
        <v>2225</v>
      </c>
      <c r="AA1199" s="1" t="str">
        <f>IF(Table1[rmpce_inr]&lt;=rmpce_reference!$F$2, "Low Income", IF(Table1[rmpce_inr]&lt;=rmpce_reference!$F$3, "Middle Income", "High Income"))</f>
        <v>Low Income</v>
      </c>
    </row>
    <row r="1200" spans="1:27" x14ac:dyDescent="0.25">
      <c r="A1200">
        <v>6137</v>
      </c>
      <c r="B1200" t="s">
        <v>44</v>
      </c>
      <c r="C1200" t="s">
        <v>29</v>
      </c>
      <c r="D1200">
        <v>38</v>
      </c>
      <c r="E1200" t="s">
        <v>22</v>
      </c>
      <c r="F1200" t="s">
        <v>30</v>
      </c>
      <c r="G1200">
        <v>4</v>
      </c>
      <c r="H1200" s="1" t="str">
        <f>IF(Table1[[#This Row],[anxiety_score]]&lt;=10, "Normal", IF(Table1[[#This Row],[anxiety_score]]&lt;=20, "Moderate", IF(Table1[[#This Row],[anxiety_score]]&lt;=30, "Severe", "Extremely Severe")))</f>
        <v>Normal</v>
      </c>
      <c r="I1200">
        <v>-0.61133329999999997</v>
      </c>
      <c r="J1200">
        <v>8</v>
      </c>
      <c r="K1200" s="1" t="str">
        <f>IF(Table1[[#This Row],[stress_score]]&lt;=10, "Normal", IF(Table1[[#This Row],[stress_score]]&lt;=20, "Moderate", IF(Table1[[#This Row],[stress_score]]&lt;=30, "Severe", "Extremely Severe")))</f>
        <v>Normal</v>
      </c>
      <c r="L1200">
        <v>-0.38382620000000001</v>
      </c>
      <c r="M1200">
        <v>8</v>
      </c>
      <c r="N1200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200">
        <v>-0.33828637</v>
      </c>
      <c r="P1200">
        <v>6.6666664999999998</v>
      </c>
      <c r="Q1200">
        <f>ROUND(Table1[[#This Row],[dass21_raw_score]],0)</f>
        <v>7</v>
      </c>
      <c r="R1200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200">
        <v>-0.44448197</v>
      </c>
      <c r="T1200">
        <v>0.65042794000000004</v>
      </c>
      <c r="U1200">
        <v>22500</v>
      </c>
      <c r="V1200" s="1">
        <f>ROUND(Table1[[#This Row],[fmpce]],0)</f>
        <v>22500</v>
      </c>
      <c r="W1200">
        <v>306.10494999999997</v>
      </c>
      <c r="X1200" s="4">
        <f>Table1[[#This Row],[mpce]]*89</f>
        <v>27243.340549999997</v>
      </c>
      <c r="Y1200" s="2" t="s">
        <v>35</v>
      </c>
      <c r="Z1200" s="3">
        <f>VLOOKUP(Y1200, rmpce_reference!$B$1:$D$7,3,FALSE) * 89</f>
        <v>9790</v>
      </c>
      <c r="AA1200" s="1" t="str">
        <f>IF(Table1[rmpce_inr]&lt;=rmpce_reference!$F$2, "Low Income", IF(Table1[rmpce_inr]&lt;=rmpce_reference!$F$3, "Middle Income", "High Income"))</f>
        <v>High Income</v>
      </c>
    </row>
    <row r="1201" spans="1:27" x14ac:dyDescent="0.25">
      <c r="A1201">
        <v>6138</v>
      </c>
      <c r="B1201" t="s">
        <v>44</v>
      </c>
      <c r="C1201" t="s">
        <v>29</v>
      </c>
      <c r="D1201">
        <v>35</v>
      </c>
      <c r="E1201" t="s">
        <v>22</v>
      </c>
      <c r="F1201" t="s">
        <v>30</v>
      </c>
      <c r="G1201">
        <v>10</v>
      </c>
      <c r="H1201" s="1" t="str">
        <f>IF(Table1[[#This Row],[anxiety_score]]&lt;=10, "Normal", IF(Table1[[#This Row],[anxiety_score]]&lt;=20, "Moderate", IF(Table1[[#This Row],[anxiety_score]]&lt;=30, "Severe", "Extremely Severe")))</f>
        <v>Normal</v>
      </c>
      <c r="I1201">
        <v>-8.1994660000000007E-3</v>
      </c>
      <c r="J1201">
        <v>2</v>
      </c>
      <c r="K1201" s="1" t="str">
        <f>IF(Table1[[#This Row],[stress_score]]&lt;=10, "Normal", IF(Table1[[#This Row],[stress_score]]&lt;=20, "Moderate", IF(Table1[[#This Row],[stress_score]]&lt;=30, "Severe", "Extremely Severe")))</f>
        <v>Normal</v>
      </c>
      <c r="L1201">
        <v>-0.9678099</v>
      </c>
      <c r="M1201">
        <v>6</v>
      </c>
      <c r="N1201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201">
        <v>-0.53092379999999995</v>
      </c>
      <c r="P1201">
        <v>6</v>
      </c>
      <c r="Q1201">
        <f>ROUND(Table1[[#This Row],[dass21_raw_score]],0)</f>
        <v>6</v>
      </c>
      <c r="R1201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201">
        <v>-0.50231104999999998</v>
      </c>
      <c r="T1201">
        <v>0.59259885999999995</v>
      </c>
      <c r="U1201">
        <v>2000</v>
      </c>
      <c r="V1201" s="1">
        <f>ROUND(Table1[[#This Row],[fmpce]],0)</f>
        <v>2000</v>
      </c>
      <c r="W1201">
        <v>27.209330000000001</v>
      </c>
      <c r="X1201" s="4">
        <f>Table1[[#This Row],[mpce]]*89</f>
        <v>2421.6303700000003</v>
      </c>
      <c r="Y1201" s="2" t="s">
        <v>34</v>
      </c>
      <c r="Z1201" s="3">
        <f>VLOOKUP(Y1201, rmpce_reference!$B$1:$D$7,3,FALSE) * 89</f>
        <v>2848</v>
      </c>
      <c r="AA1201" s="1" t="str">
        <f>IF(Table1[rmpce_inr]&lt;=rmpce_reference!$F$2, "Low Income", IF(Table1[rmpce_inr]&lt;=rmpce_reference!$F$3, "Middle Income", "High Income"))</f>
        <v>Low Income</v>
      </c>
    </row>
    <row r="1202" spans="1:27" x14ac:dyDescent="0.25">
      <c r="A1202">
        <v>6139</v>
      </c>
      <c r="B1202" t="s">
        <v>44</v>
      </c>
      <c r="C1202" t="s">
        <v>29</v>
      </c>
      <c r="D1202">
        <v>34</v>
      </c>
      <c r="E1202" t="s">
        <v>22</v>
      </c>
      <c r="F1202" t="s">
        <v>30</v>
      </c>
      <c r="G1202">
        <v>8</v>
      </c>
      <c r="H1202" s="1" t="str">
        <f>IF(Table1[[#This Row],[anxiety_score]]&lt;=10, "Normal", IF(Table1[[#This Row],[anxiety_score]]&lt;=20, "Moderate", IF(Table1[[#This Row],[anxiety_score]]&lt;=30, "Severe", "Extremely Severe")))</f>
        <v>Normal</v>
      </c>
      <c r="I1202">
        <v>-0.20924408999999999</v>
      </c>
      <c r="J1202">
        <v>18</v>
      </c>
      <c r="K1202" s="1" t="str">
        <f>IF(Table1[[#This Row],[stress_score]]&lt;=10, "Normal", IF(Table1[[#This Row],[stress_score]]&lt;=20, "Moderate", IF(Table1[[#This Row],[stress_score]]&lt;=30, "Severe", "Extremely Severe")))</f>
        <v>Moderate</v>
      </c>
      <c r="L1202">
        <v>0.58948003999999998</v>
      </c>
      <c r="M1202">
        <v>8</v>
      </c>
      <c r="N1202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202">
        <v>-0.33828637</v>
      </c>
      <c r="P1202">
        <v>11.333333</v>
      </c>
      <c r="Q1202">
        <f>ROUND(Table1[[#This Row],[dass21_raw_score]],0)</f>
        <v>11</v>
      </c>
      <c r="R1202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1202">
        <v>1.3983195E-2</v>
      </c>
      <c r="T1202">
        <v>1.1088932</v>
      </c>
      <c r="U1202">
        <v>3333.3332999999998</v>
      </c>
      <c r="V1202" s="1">
        <f>ROUND(Table1[[#This Row],[fmpce]],0)</f>
        <v>3333</v>
      </c>
      <c r="W1202">
        <v>45.348880000000001</v>
      </c>
      <c r="X1202" s="4">
        <f>Table1[[#This Row],[mpce]]*89</f>
        <v>4036.0503200000003</v>
      </c>
      <c r="Y1202" s="2" t="s">
        <v>32</v>
      </c>
      <c r="Z1202" s="3">
        <f>VLOOKUP(Y1202, rmpce_reference!$B$1:$D$7,3,FALSE) * 89</f>
        <v>4450</v>
      </c>
      <c r="AA1202" s="1" t="str">
        <f>IF(Table1[rmpce_inr]&lt;=rmpce_reference!$F$2, "Low Income", IF(Table1[rmpce_inr]&lt;=rmpce_reference!$F$3, "Middle Income", "High Income"))</f>
        <v>Low Income</v>
      </c>
    </row>
    <row r="1203" spans="1:27" x14ac:dyDescent="0.25">
      <c r="A1203">
        <v>6140</v>
      </c>
      <c r="B1203" t="s">
        <v>44</v>
      </c>
      <c r="C1203" t="s">
        <v>33</v>
      </c>
      <c r="D1203">
        <v>30</v>
      </c>
      <c r="E1203" t="s">
        <v>22</v>
      </c>
      <c r="F1203" t="s">
        <v>30</v>
      </c>
      <c r="G1203">
        <v>8</v>
      </c>
      <c r="H1203" s="1" t="str">
        <f>IF(Table1[[#This Row],[anxiety_score]]&lt;=10, "Normal", IF(Table1[[#This Row],[anxiety_score]]&lt;=20, "Moderate", IF(Table1[[#This Row],[anxiety_score]]&lt;=30, "Severe", "Extremely Severe")))</f>
        <v>Normal</v>
      </c>
      <c r="I1203">
        <v>-0.20924408999999999</v>
      </c>
      <c r="J1203">
        <v>4</v>
      </c>
      <c r="K1203" s="1" t="str">
        <f>IF(Table1[[#This Row],[stress_score]]&lt;=10, "Normal", IF(Table1[[#This Row],[stress_score]]&lt;=20, "Moderate", IF(Table1[[#This Row],[stress_score]]&lt;=30, "Severe", "Extremely Severe")))</f>
        <v>Normal</v>
      </c>
      <c r="L1203">
        <v>-0.77314866000000004</v>
      </c>
      <c r="M1203">
        <v>10</v>
      </c>
      <c r="N1203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203">
        <v>-0.14564899000000001</v>
      </c>
      <c r="P1203">
        <v>7.3333335000000002</v>
      </c>
      <c r="Q1203">
        <f>ROUND(Table1[[#This Row],[dass21_raw_score]],0)</f>
        <v>7</v>
      </c>
      <c r="R1203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203">
        <v>-0.37601390000000001</v>
      </c>
      <c r="T1203">
        <v>0.71889603000000002</v>
      </c>
      <c r="U1203">
        <v>3750</v>
      </c>
      <c r="V1203" s="1">
        <f>ROUND(Table1[[#This Row],[fmpce]],0)</f>
        <v>3750</v>
      </c>
      <c r="W1203">
        <v>51.017493999999999</v>
      </c>
      <c r="X1203" s="4">
        <f>Table1[[#This Row],[mpce]]*89</f>
        <v>4540.5569660000001</v>
      </c>
      <c r="Y1203" s="2" t="s">
        <v>32</v>
      </c>
      <c r="Z1203" s="3">
        <f>VLOOKUP(Y1203, rmpce_reference!$B$1:$D$7,3,FALSE) * 89</f>
        <v>4450</v>
      </c>
      <c r="AA1203" s="1" t="str">
        <f>IF(Table1[rmpce_inr]&lt;=rmpce_reference!$F$2, "Low Income", IF(Table1[rmpce_inr]&lt;=rmpce_reference!$F$3, "Middle Income", "High Income"))</f>
        <v>Low Income</v>
      </c>
    </row>
    <row r="1204" spans="1:27" x14ac:dyDescent="0.25">
      <c r="A1204">
        <v>6141</v>
      </c>
      <c r="B1204" t="s">
        <v>44</v>
      </c>
      <c r="C1204" t="s">
        <v>33</v>
      </c>
      <c r="D1204">
        <v>27</v>
      </c>
      <c r="E1204" t="s">
        <v>22</v>
      </c>
      <c r="F1204" t="s">
        <v>37</v>
      </c>
      <c r="G1204">
        <v>6</v>
      </c>
      <c r="H1204" s="1" t="str">
        <f>IF(Table1[[#This Row],[anxiety_score]]&lt;=10, "Normal", IF(Table1[[#This Row],[anxiety_score]]&lt;=20, "Moderate", IF(Table1[[#This Row],[anxiety_score]]&lt;=30, "Severe", "Extremely Severe")))</f>
        <v>Normal</v>
      </c>
      <c r="I1204">
        <v>-0.41028870000000001</v>
      </c>
      <c r="J1204">
        <v>4</v>
      </c>
      <c r="K1204" s="1" t="str">
        <f>IF(Table1[[#This Row],[stress_score]]&lt;=10, "Normal", IF(Table1[[#This Row],[stress_score]]&lt;=20, "Moderate", IF(Table1[[#This Row],[stress_score]]&lt;=30, "Severe", "Extremely Severe")))</f>
        <v>Normal</v>
      </c>
      <c r="L1204">
        <v>-0.77314866000000004</v>
      </c>
      <c r="M1204">
        <v>8</v>
      </c>
      <c r="N1204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204">
        <v>-0.33828637</v>
      </c>
      <c r="P1204">
        <v>6</v>
      </c>
      <c r="Q1204">
        <f>ROUND(Table1[[#This Row],[dass21_raw_score]],0)</f>
        <v>6</v>
      </c>
      <c r="R1204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204">
        <v>-0.50724124999999998</v>
      </c>
      <c r="T1204">
        <v>0.58766865999999995</v>
      </c>
      <c r="U1204">
        <v>4000</v>
      </c>
      <c r="V1204" s="1">
        <f>ROUND(Table1[[#This Row],[fmpce]],0)</f>
        <v>4000</v>
      </c>
      <c r="W1204">
        <v>54.418660000000003</v>
      </c>
      <c r="X1204" s="4">
        <f>Table1[[#This Row],[mpce]]*89</f>
        <v>4843.2607400000006</v>
      </c>
      <c r="Y1204" s="2" t="s">
        <v>32</v>
      </c>
      <c r="Z1204" s="3">
        <f>VLOOKUP(Y1204, rmpce_reference!$B$1:$D$7,3,FALSE) * 89</f>
        <v>4450</v>
      </c>
      <c r="AA1204" s="1" t="str">
        <f>IF(Table1[rmpce_inr]&lt;=rmpce_reference!$F$2, "Low Income", IF(Table1[rmpce_inr]&lt;=rmpce_reference!$F$3, "Middle Income", "High Income"))</f>
        <v>Low Income</v>
      </c>
    </row>
    <row r="1205" spans="1:27" x14ac:dyDescent="0.25">
      <c r="A1205">
        <v>6142</v>
      </c>
      <c r="B1205" t="s">
        <v>44</v>
      </c>
      <c r="C1205" t="s">
        <v>33</v>
      </c>
      <c r="D1205">
        <v>28</v>
      </c>
      <c r="E1205" t="s">
        <v>22</v>
      </c>
      <c r="F1205" t="s">
        <v>30</v>
      </c>
      <c r="G1205">
        <v>4</v>
      </c>
      <c r="H1205" s="1" t="str">
        <f>IF(Table1[[#This Row],[anxiety_score]]&lt;=10, "Normal", IF(Table1[[#This Row],[anxiety_score]]&lt;=20, "Moderate", IF(Table1[[#This Row],[anxiety_score]]&lt;=30, "Severe", "Extremely Severe")))</f>
        <v>Normal</v>
      </c>
      <c r="I1205">
        <v>-0.61133329999999997</v>
      </c>
      <c r="J1205">
        <v>4</v>
      </c>
      <c r="K1205" s="1" t="str">
        <f>IF(Table1[[#This Row],[stress_score]]&lt;=10, "Normal", IF(Table1[[#This Row],[stress_score]]&lt;=20, "Moderate", IF(Table1[[#This Row],[stress_score]]&lt;=30, "Severe", "Extremely Severe")))</f>
        <v>Normal</v>
      </c>
      <c r="L1205">
        <v>-0.77314866000000004</v>
      </c>
      <c r="M1205">
        <v>6</v>
      </c>
      <c r="N1205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205">
        <v>-0.53092379999999995</v>
      </c>
      <c r="P1205">
        <v>4.6666664999999998</v>
      </c>
      <c r="Q1205">
        <f>ROUND(Table1[[#This Row],[dass21_raw_score]],0)</f>
        <v>5</v>
      </c>
      <c r="R1205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205">
        <v>-0.63846855999999996</v>
      </c>
      <c r="T1205">
        <v>0.45644133999999997</v>
      </c>
      <c r="U1205">
        <v>1666.6666</v>
      </c>
      <c r="V1205" s="1">
        <f>ROUND(Table1[[#This Row],[fmpce]],0)</f>
        <v>1667</v>
      </c>
      <c r="W1205">
        <v>22.674440000000001</v>
      </c>
      <c r="X1205" s="4">
        <f>Table1[[#This Row],[mpce]]*89</f>
        <v>2018.0251600000001</v>
      </c>
      <c r="Y1205" s="2" t="s">
        <v>24</v>
      </c>
      <c r="Z1205" s="3">
        <f>VLOOKUP(Y1205, rmpce_reference!$B$1:$D$7,3,FALSE) * 89</f>
        <v>2225</v>
      </c>
      <c r="AA1205" s="1" t="str">
        <f>IF(Table1[rmpce_inr]&lt;=rmpce_reference!$F$2, "Low Income", IF(Table1[rmpce_inr]&lt;=rmpce_reference!$F$3, "Middle Income", "High Income"))</f>
        <v>Low Income</v>
      </c>
    </row>
    <row r="1206" spans="1:27" x14ac:dyDescent="0.25">
      <c r="A1206">
        <v>6143</v>
      </c>
      <c r="B1206" t="s">
        <v>44</v>
      </c>
      <c r="C1206" t="s">
        <v>33</v>
      </c>
      <c r="D1206">
        <v>30</v>
      </c>
      <c r="E1206" t="s">
        <v>22</v>
      </c>
      <c r="F1206" t="s">
        <v>30</v>
      </c>
      <c r="G1206">
        <v>4</v>
      </c>
      <c r="H1206" s="1" t="str">
        <f>IF(Table1[[#This Row],[anxiety_score]]&lt;=10, "Normal", IF(Table1[[#This Row],[anxiety_score]]&lt;=20, "Moderate", IF(Table1[[#This Row],[anxiety_score]]&lt;=30, "Severe", "Extremely Severe")))</f>
        <v>Normal</v>
      </c>
      <c r="I1206">
        <v>-0.61133329999999997</v>
      </c>
      <c r="J1206">
        <v>6</v>
      </c>
      <c r="K1206" s="1" t="str">
        <f>IF(Table1[[#This Row],[stress_score]]&lt;=10, "Normal", IF(Table1[[#This Row],[stress_score]]&lt;=20, "Moderate", IF(Table1[[#This Row],[stress_score]]&lt;=30, "Severe", "Extremely Severe")))</f>
        <v>Normal</v>
      </c>
      <c r="L1206">
        <v>-0.57848745999999995</v>
      </c>
      <c r="M1206">
        <v>10</v>
      </c>
      <c r="N1206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206">
        <v>-0.14564899000000001</v>
      </c>
      <c r="P1206">
        <v>6.6666664999999998</v>
      </c>
      <c r="Q1206">
        <f>ROUND(Table1[[#This Row],[dass21_raw_score]],0)</f>
        <v>7</v>
      </c>
      <c r="R1206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206">
        <v>-0.44515656999999997</v>
      </c>
      <c r="T1206">
        <v>0.64975333000000002</v>
      </c>
      <c r="U1206">
        <v>4000</v>
      </c>
      <c r="V1206" s="1">
        <f>ROUND(Table1[[#This Row],[fmpce]],0)</f>
        <v>4000</v>
      </c>
      <c r="W1206">
        <v>54.418660000000003</v>
      </c>
      <c r="X1206" s="4">
        <f>Table1[[#This Row],[mpce]]*89</f>
        <v>4843.2607400000006</v>
      </c>
      <c r="Y1206" s="2" t="s">
        <v>32</v>
      </c>
      <c r="Z1206" s="3">
        <f>VLOOKUP(Y1206, rmpce_reference!$B$1:$D$7,3,FALSE) * 89</f>
        <v>4450</v>
      </c>
      <c r="AA1206" s="1" t="str">
        <f>IF(Table1[rmpce_inr]&lt;=rmpce_reference!$F$2, "Low Income", IF(Table1[rmpce_inr]&lt;=rmpce_reference!$F$3, "Middle Income", "High Income"))</f>
        <v>Low Income</v>
      </c>
    </row>
    <row r="1207" spans="1:27" x14ac:dyDescent="0.25">
      <c r="A1207">
        <v>6144</v>
      </c>
      <c r="B1207" t="s">
        <v>44</v>
      </c>
      <c r="C1207" t="s">
        <v>29</v>
      </c>
      <c r="D1207">
        <v>33</v>
      </c>
      <c r="E1207" t="s">
        <v>22</v>
      </c>
      <c r="F1207" t="s">
        <v>30</v>
      </c>
      <c r="G1207">
        <v>20</v>
      </c>
      <c r="H1207" s="1" t="str">
        <f>IF(Table1[[#This Row],[anxiety_score]]&lt;=10, "Normal", IF(Table1[[#This Row],[anxiety_score]]&lt;=20, "Moderate", IF(Table1[[#This Row],[anxiety_score]]&lt;=30, "Severe", "Extremely Severe")))</f>
        <v>Moderate</v>
      </c>
      <c r="I1207">
        <v>0.99702360000000001</v>
      </c>
      <c r="J1207">
        <v>18</v>
      </c>
      <c r="K1207" s="1" t="str">
        <f>IF(Table1[[#This Row],[stress_score]]&lt;=10, "Normal", IF(Table1[[#This Row],[stress_score]]&lt;=20, "Moderate", IF(Table1[[#This Row],[stress_score]]&lt;=30, "Severe", "Extremely Severe")))</f>
        <v>Moderate</v>
      </c>
      <c r="L1207">
        <v>0.58948003999999998</v>
      </c>
      <c r="M1207">
        <v>16</v>
      </c>
      <c r="N1207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1207">
        <v>0.43226320000000001</v>
      </c>
      <c r="P1207">
        <v>18</v>
      </c>
      <c r="Q1207">
        <f>ROUND(Table1[[#This Row],[dass21_raw_score]],0)</f>
        <v>18</v>
      </c>
      <c r="R1207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1207">
        <v>0.67292225000000006</v>
      </c>
      <c r="T1207">
        <v>1.7678322</v>
      </c>
      <c r="U1207">
        <v>4000</v>
      </c>
      <c r="V1207" s="1">
        <f>ROUND(Table1[[#This Row],[fmpce]],0)</f>
        <v>4000</v>
      </c>
      <c r="W1207">
        <v>54.418660000000003</v>
      </c>
      <c r="X1207" s="4">
        <f>Table1[[#This Row],[mpce]]*89</f>
        <v>4843.2607400000006</v>
      </c>
      <c r="Y1207" s="2" t="s">
        <v>32</v>
      </c>
      <c r="Z1207" s="3">
        <f>VLOOKUP(Y1207, rmpce_reference!$B$1:$D$7,3,FALSE) * 89</f>
        <v>4450</v>
      </c>
      <c r="AA1207" s="1" t="str">
        <f>IF(Table1[rmpce_inr]&lt;=rmpce_reference!$F$2, "Low Income", IF(Table1[rmpce_inr]&lt;=rmpce_reference!$F$3, "Middle Income", "High Income"))</f>
        <v>Low Income</v>
      </c>
    </row>
    <row r="1208" spans="1:27" x14ac:dyDescent="0.25">
      <c r="A1208">
        <v>6145</v>
      </c>
      <c r="B1208" t="s">
        <v>44</v>
      </c>
      <c r="C1208" t="s">
        <v>33</v>
      </c>
      <c r="D1208">
        <v>26</v>
      </c>
      <c r="E1208" t="s">
        <v>22</v>
      </c>
      <c r="F1208" t="s">
        <v>30</v>
      </c>
      <c r="G1208">
        <v>36</v>
      </c>
      <c r="H1208" s="1" t="str">
        <f>IF(Table1[[#This Row],[anxiety_score]]&lt;=10, "Normal", IF(Table1[[#This Row],[anxiety_score]]&lt;=20, "Moderate", IF(Table1[[#This Row],[anxiety_score]]&lt;=30, "Severe", "Extremely Severe")))</f>
        <v>Extremely Severe</v>
      </c>
      <c r="I1208">
        <v>2.6053804999999999</v>
      </c>
      <c r="J1208">
        <v>34</v>
      </c>
      <c r="K1208" s="1" t="str">
        <f>IF(Table1[[#This Row],[stress_score]]&lt;=10, "Normal", IF(Table1[[#This Row],[stress_score]]&lt;=20, "Moderate", IF(Table1[[#This Row],[stress_score]]&lt;=30, "Severe", "Extremely Severe")))</f>
        <v>Extremely Severe</v>
      </c>
      <c r="L1208">
        <v>2.1467700000000001</v>
      </c>
      <c r="M1208">
        <v>34</v>
      </c>
      <c r="N1208" s="1" t="str">
        <f>IF(Table1[[#This Row],[depression_score]]&lt;=10, "Normal", IF(Table1[[#This Row],[depression_score]]&lt;=20, "Moderate", IF(Table1[[#This Row],[depression_score]]&lt;=30, "Severe", "Extremely Severe")))</f>
        <v>Extremely Severe</v>
      </c>
      <c r="O1208">
        <v>2.1659999999999999</v>
      </c>
      <c r="P1208">
        <v>34.666668000000001</v>
      </c>
      <c r="Q1208">
        <f>ROUND(Table1[[#This Row],[dass21_raw_score]],0)</f>
        <v>35</v>
      </c>
      <c r="R1208" s="1" t="str">
        <f>IF(Table1[[#This Row],[round_dass21_raw_score]]&lt;=10, "Normal", IF(Table1[[#This Row],[round_dass21_raw_score]]&lt;=20, "Moderate", IF(Table1[[#This Row],[round_dass21_raw_score]]&lt;=30, "Severe", "Extremely Severe")))</f>
        <v>Extremely Severe</v>
      </c>
      <c r="S1208">
        <v>2.3060499999999999</v>
      </c>
      <c r="T1208">
        <v>3.40096</v>
      </c>
      <c r="U1208">
        <v>3000</v>
      </c>
      <c r="V1208" s="1">
        <f>ROUND(Table1[[#This Row],[fmpce]],0)</f>
        <v>3000</v>
      </c>
      <c r="W1208">
        <v>40.813994999999998</v>
      </c>
      <c r="X1208" s="4">
        <f>Table1[[#This Row],[mpce]]*89</f>
        <v>3632.4455549999998</v>
      </c>
      <c r="Y1208" s="2" t="s">
        <v>32</v>
      </c>
      <c r="Z1208" s="3">
        <f>VLOOKUP(Y1208, rmpce_reference!$B$1:$D$7,3,FALSE) * 89</f>
        <v>4450</v>
      </c>
      <c r="AA1208" s="1" t="str">
        <f>IF(Table1[rmpce_inr]&lt;=rmpce_reference!$F$2, "Low Income", IF(Table1[rmpce_inr]&lt;=rmpce_reference!$F$3, "Middle Income", "High Income"))</f>
        <v>Low Income</v>
      </c>
    </row>
    <row r="1209" spans="1:27" x14ac:dyDescent="0.25">
      <c r="A1209">
        <v>6146</v>
      </c>
      <c r="B1209" t="s">
        <v>44</v>
      </c>
      <c r="C1209" t="s">
        <v>29</v>
      </c>
      <c r="D1209">
        <v>32</v>
      </c>
      <c r="E1209" t="s">
        <v>22</v>
      </c>
      <c r="F1209" t="s">
        <v>30</v>
      </c>
      <c r="G1209">
        <v>6</v>
      </c>
      <c r="H1209" s="1" t="str">
        <f>IF(Table1[[#This Row],[anxiety_score]]&lt;=10, "Normal", IF(Table1[[#This Row],[anxiety_score]]&lt;=20, "Moderate", IF(Table1[[#This Row],[anxiety_score]]&lt;=30, "Severe", "Extremely Severe")))</f>
        <v>Normal</v>
      </c>
      <c r="I1209">
        <v>-0.41028870000000001</v>
      </c>
      <c r="J1209">
        <v>8</v>
      </c>
      <c r="K1209" s="1" t="str">
        <f>IF(Table1[[#This Row],[stress_score]]&lt;=10, "Normal", IF(Table1[[#This Row],[stress_score]]&lt;=20, "Moderate", IF(Table1[[#This Row],[stress_score]]&lt;=30, "Severe", "Extremely Severe")))</f>
        <v>Normal</v>
      </c>
      <c r="L1209">
        <v>-0.38382620000000001</v>
      </c>
      <c r="M1209">
        <v>8</v>
      </c>
      <c r="N1209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209">
        <v>-0.33828637</v>
      </c>
      <c r="P1209">
        <v>7.3333335000000002</v>
      </c>
      <c r="Q1209">
        <f>ROUND(Table1[[#This Row],[dass21_raw_score]],0)</f>
        <v>7</v>
      </c>
      <c r="R1209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209">
        <v>-0.3774671</v>
      </c>
      <c r="T1209">
        <v>0.71744280000000005</v>
      </c>
      <c r="U1209">
        <v>6000</v>
      </c>
      <c r="V1209" s="1">
        <f>ROUND(Table1[[#This Row],[fmpce]],0)</f>
        <v>6000</v>
      </c>
      <c r="W1209">
        <v>81.627989999999997</v>
      </c>
      <c r="X1209" s="4">
        <f>Table1[[#This Row],[mpce]]*89</f>
        <v>7264.8911099999996</v>
      </c>
      <c r="Y1209" s="2" t="s">
        <v>31</v>
      </c>
      <c r="Z1209" s="3">
        <f>VLOOKUP(Y1209, rmpce_reference!$B$1:$D$7,3,FALSE) * 89</f>
        <v>8010</v>
      </c>
      <c r="AA1209" s="1" t="str">
        <f>IF(Table1[rmpce_inr]&lt;=rmpce_reference!$F$2, "Low Income", IF(Table1[rmpce_inr]&lt;=rmpce_reference!$F$3, "Middle Income", "High Income"))</f>
        <v>High Income</v>
      </c>
    </row>
    <row r="1210" spans="1:27" x14ac:dyDescent="0.25">
      <c r="A1210">
        <v>6147</v>
      </c>
      <c r="B1210" t="s">
        <v>44</v>
      </c>
      <c r="C1210" t="s">
        <v>29</v>
      </c>
      <c r="D1210">
        <v>33</v>
      </c>
      <c r="E1210" t="s">
        <v>22</v>
      </c>
      <c r="F1210" t="s">
        <v>30</v>
      </c>
      <c r="G1210">
        <v>0</v>
      </c>
      <c r="H1210" s="1" t="str">
        <f>IF(Table1[[#This Row],[anxiety_score]]&lt;=10, "Normal", IF(Table1[[#This Row],[anxiety_score]]&lt;=20, "Moderate", IF(Table1[[#This Row],[anxiety_score]]&lt;=30, "Severe", "Extremely Severe")))</f>
        <v>Normal</v>
      </c>
      <c r="I1210">
        <v>-1.0134224999999999</v>
      </c>
      <c r="J1210">
        <v>2</v>
      </c>
      <c r="K1210" s="1" t="str">
        <f>IF(Table1[[#This Row],[stress_score]]&lt;=10, "Normal", IF(Table1[[#This Row],[stress_score]]&lt;=20, "Moderate", IF(Table1[[#This Row],[stress_score]]&lt;=30, "Severe", "Extremely Severe")))</f>
        <v>Normal</v>
      </c>
      <c r="L1210">
        <v>-0.9678099</v>
      </c>
      <c r="M1210">
        <v>0</v>
      </c>
      <c r="N1210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210">
        <v>-1.1088359000000001</v>
      </c>
      <c r="P1210">
        <v>0.66666669999999995</v>
      </c>
      <c r="Q1210">
        <f>ROUND(Table1[[#This Row],[dass21_raw_score]],0)</f>
        <v>1</v>
      </c>
      <c r="R1210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210">
        <v>-1.0300227</v>
      </c>
      <c r="T1210">
        <v>6.4887165999999996E-2</v>
      </c>
      <c r="U1210">
        <v>1428.5714</v>
      </c>
      <c r="V1210" s="1">
        <f>ROUND(Table1[[#This Row],[fmpce]],0)</f>
        <v>1429</v>
      </c>
      <c r="W1210">
        <v>19.435236</v>
      </c>
      <c r="X1210" s="4">
        <f>Table1[[#This Row],[mpce]]*89</f>
        <v>1729.7360039999999</v>
      </c>
      <c r="Y1210" s="2" t="s">
        <v>24</v>
      </c>
      <c r="Z1210" s="3">
        <f>VLOOKUP(Y1210, rmpce_reference!$B$1:$D$7,3,FALSE) * 89</f>
        <v>2225</v>
      </c>
      <c r="AA1210" s="1" t="str">
        <f>IF(Table1[rmpce_inr]&lt;=rmpce_reference!$F$2, "Low Income", IF(Table1[rmpce_inr]&lt;=rmpce_reference!$F$3, "Middle Income", "High Income"))</f>
        <v>Low Income</v>
      </c>
    </row>
    <row r="1211" spans="1:27" x14ac:dyDescent="0.25">
      <c r="A1211">
        <v>6148</v>
      </c>
      <c r="B1211" t="s">
        <v>44</v>
      </c>
      <c r="C1211" t="s">
        <v>33</v>
      </c>
      <c r="D1211">
        <v>30</v>
      </c>
      <c r="E1211" t="s">
        <v>22</v>
      </c>
      <c r="F1211" t="s">
        <v>30</v>
      </c>
      <c r="G1211">
        <v>4</v>
      </c>
      <c r="H1211" s="1" t="str">
        <f>IF(Table1[[#This Row],[anxiety_score]]&lt;=10, "Normal", IF(Table1[[#This Row],[anxiety_score]]&lt;=20, "Moderate", IF(Table1[[#This Row],[anxiety_score]]&lt;=30, "Severe", "Extremely Severe")))</f>
        <v>Normal</v>
      </c>
      <c r="I1211">
        <v>-0.61133329999999997</v>
      </c>
      <c r="J1211">
        <v>8</v>
      </c>
      <c r="K1211" s="1" t="str">
        <f>IF(Table1[[#This Row],[stress_score]]&lt;=10, "Normal", IF(Table1[[#This Row],[stress_score]]&lt;=20, "Moderate", IF(Table1[[#This Row],[stress_score]]&lt;=30, "Severe", "Extremely Severe")))</f>
        <v>Normal</v>
      </c>
      <c r="L1211">
        <v>-0.38382620000000001</v>
      </c>
      <c r="M1211">
        <v>8</v>
      </c>
      <c r="N1211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211">
        <v>-0.33828637</v>
      </c>
      <c r="P1211">
        <v>6.6666664999999998</v>
      </c>
      <c r="Q1211">
        <f>ROUND(Table1[[#This Row],[dass21_raw_score]],0)</f>
        <v>7</v>
      </c>
      <c r="R1211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211">
        <v>-0.44448197</v>
      </c>
      <c r="T1211">
        <v>0.65042794000000004</v>
      </c>
      <c r="U1211">
        <v>3750</v>
      </c>
      <c r="V1211" s="1">
        <f>ROUND(Table1[[#This Row],[fmpce]],0)</f>
        <v>3750</v>
      </c>
      <c r="W1211">
        <v>51.017493999999999</v>
      </c>
      <c r="X1211" s="4">
        <f>Table1[[#This Row],[mpce]]*89</f>
        <v>4540.5569660000001</v>
      </c>
      <c r="Y1211" s="2" t="s">
        <v>32</v>
      </c>
      <c r="Z1211" s="3">
        <f>VLOOKUP(Y1211, rmpce_reference!$B$1:$D$7,3,FALSE) * 89</f>
        <v>4450</v>
      </c>
      <c r="AA1211" s="1" t="str">
        <f>IF(Table1[rmpce_inr]&lt;=rmpce_reference!$F$2, "Low Income", IF(Table1[rmpce_inr]&lt;=rmpce_reference!$F$3, "Middle Income", "High Income"))</f>
        <v>Low Income</v>
      </c>
    </row>
    <row r="1212" spans="1:27" x14ac:dyDescent="0.25">
      <c r="A1212">
        <v>6149</v>
      </c>
      <c r="B1212" t="s">
        <v>44</v>
      </c>
      <c r="C1212" t="s">
        <v>29</v>
      </c>
      <c r="D1212">
        <v>39</v>
      </c>
      <c r="E1212" t="s">
        <v>22</v>
      </c>
      <c r="F1212" t="s">
        <v>23</v>
      </c>
      <c r="G1212">
        <v>4</v>
      </c>
      <c r="H1212" s="1" t="str">
        <f>IF(Table1[[#This Row],[anxiety_score]]&lt;=10, "Normal", IF(Table1[[#This Row],[anxiety_score]]&lt;=20, "Moderate", IF(Table1[[#This Row],[anxiety_score]]&lt;=30, "Severe", "Extremely Severe")))</f>
        <v>Normal</v>
      </c>
      <c r="I1212">
        <v>-0.61133329999999997</v>
      </c>
      <c r="J1212">
        <v>8</v>
      </c>
      <c r="K1212" s="1" t="str">
        <f>IF(Table1[[#This Row],[stress_score]]&lt;=10, "Normal", IF(Table1[[#This Row],[stress_score]]&lt;=20, "Moderate", IF(Table1[[#This Row],[stress_score]]&lt;=30, "Severe", "Extremely Severe")))</f>
        <v>Normal</v>
      </c>
      <c r="L1212">
        <v>-0.38382620000000001</v>
      </c>
      <c r="M1212">
        <v>8</v>
      </c>
      <c r="N1212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212">
        <v>-0.33828637</v>
      </c>
      <c r="P1212">
        <v>6.6666664999999998</v>
      </c>
      <c r="Q1212">
        <f>ROUND(Table1[[#This Row],[dass21_raw_score]],0)</f>
        <v>7</v>
      </c>
      <c r="R1212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212">
        <v>-0.44448197</v>
      </c>
      <c r="T1212">
        <v>0.65042794000000004</v>
      </c>
      <c r="U1212">
        <v>3750</v>
      </c>
      <c r="V1212" s="1">
        <f>ROUND(Table1[[#This Row],[fmpce]],0)</f>
        <v>3750</v>
      </c>
      <c r="W1212">
        <v>51.017493999999999</v>
      </c>
      <c r="X1212" s="4">
        <f>Table1[[#This Row],[mpce]]*89</f>
        <v>4540.5569660000001</v>
      </c>
      <c r="Y1212" s="2" t="s">
        <v>32</v>
      </c>
      <c r="Z1212" s="3">
        <f>VLOOKUP(Y1212, rmpce_reference!$B$1:$D$7,3,FALSE) * 89</f>
        <v>4450</v>
      </c>
      <c r="AA1212" s="1" t="str">
        <f>IF(Table1[rmpce_inr]&lt;=rmpce_reference!$F$2, "Low Income", IF(Table1[rmpce_inr]&lt;=rmpce_reference!$F$3, "Middle Income", "High Income"))</f>
        <v>Low Income</v>
      </c>
    </row>
    <row r="1213" spans="1:27" x14ac:dyDescent="0.25">
      <c r="A1213">
        <v>6150</v>
      </c>
      <c r="B1213" t="s">
        <v>44</v>
      </c>
      <c r="C1213" t="s">
        <v>33</v>
      </c>
      <c r="D1213">
        <v>30</v>
      </c>
      <c r="E1213" t="s">
        <v>22</v>
      </c>
      <c r="F1213" t="s">
        <v>30</v>
      </c>
      <c r="G1213">
        <v>4</v>
      </c>
      <c r="H1213" s="1" t="str">
        <f>IF(Table1[[#This Row],[anxiety_score]]&lt;=10, "Normal", IF(Table1[[#This Row],[anxiety_score]]&lt;=20, "Moderate", IF(Table1[[#This Row],[anxiety_score]]&lt;=30, "Severe", "Extremely Severe")))</f>
        <v>Normal</v>
      </c>
      <c r="I1213">
        <v>-0.61133329999999997</v>
      </c>
      <c r="J1213">
        <v>12</v>
      </c>
      <c r="K1213" s="1" t="str">
        <f>IF(Table1[[#This Row],[stress_score]]&lt;=10, "Normal", IF(Table1[[#This Row],[stress_score]]&lt;=20, "Moderate", IF(Table1[[#This Row],[stress_score]]&lt;=30, "Severe", "Extremely Severe")))</f>
        <v>Moderate</v>
      </c>
      <c r="L1213">
        <v>5.496318E-3</v>
      </c>
      <c r="M1213">
        <v>12</v>
      </c>
      <c r="N1213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1213">
        <v>4.6988415999999998E-2</v>
      </c>
      <c r="P1213">
        <v>9.3333329999999997</v>
      </c>
      <c r="Q1213">
        <f>ROUND(Table1[[#This Row],[dass21_raw_score]],0)</f>
        <v>9</v>
      </c>
      <c r="R1213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213">
        <v>-0.18628285999999999</v>
      </c>
      <c r="T1213">
        <v>0.90862703</v>
      </c>
      <c r="U1213">
        <v>5000</v>
      </c>
      <c r="V1213" s="1">
        <f>ROUND(Table1[[#This Row],[fmpce]],0)</f>
        <v>5000</v>
      </c>
      <c r="W1213">
        <v>68.023319999999998</v>
      </c>
      <c r="X1213" s="4">
        <f>Table1[[#This Row],[mpce]]*89</f>
        <v>6054.0754799999995</v>
      </c>
      <c r="Y1213" s="2" t="s">
        <v>28</v>
      </c>
      <c r="Z1213" s="3">
        <f>VLOOKUP(Y1213, rmpce_reference!$B$1:$D$7,3,FALSE) * 89</f>
        <v>6230</v>
      </c>
      <c r="AA1213" s="1" t="str">
        <f>IF(Table1[rmpce_inr]&lt;=rmpce_reference!$F$2, "Low Income", IF(Table1[rmpce_inr]&lt;=rmpce_reference!$F$3, "Middle Income", "High Income"))</f>
        <v>Middle Income</v>
      </c>
    </row>
    <row r="1214" spans="1:27" x14ac:dyDescent="0.25">
      <c r="A1214">
        <v>6151</v>
      </c>
      <c r="B1214" t="s">
        <v>44</v>
      </c>
      <c r="C1214" t="s">
        <v>29</v>
      </c>
      <c r="D1214">
        <v>40</v>
      </c>
      <c r="E1214" t="s">
        <v>22</v>
      </c>
      <c r="F1214" t="s">
        <v>23</v>
      </c>
      <c r="G1214">
        <v>8</v>
      </c>
      <c r="H1214" s="1" t="str">
        <f>IF(Table1[[#This Row],[anxiety_score]]&lt;=10, "Normal", IF(Table1[[#This Row],[anxiety_score]]&lt;=20, "Moderate", IF(Table1[[#This Row],[anxiety_score]]&lt;=30, "Severe", "Extremely Severe")))</f>
        <v>Normal</v>
      </c>
      <c r="I1214">
        <v>-0.20924408999999999</v>
      </c>
      <c r="J1214">
        <v>10</v>
      </c>
      <c r="K1214" s="1" t="str">
        <f>IF(Table1[[#This Row],[stress_score]]&lt;=10, "Normal", IF(Table1[[#This Row],[stress_score]]&lt;=20, "Moderate", IF(Table1[[#This Row],[stress_score]]&lt;=30, "Severe", "Extremely Severe")))</f>
        <v>Normal</v>
      </c>
      <c r="L1214">
        <v>-0.18916494</v>
      </c>
      <c r="M1214">
        <v>4</v>
      </c>
      <c r="N1214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214">
        <v>-0.72356116999999998</v>
      </c>
      <c r="P1214">
        <v>7.3333335000000002</v>
      </c>
      <c r="Q1214">
        <f>ROUND(Table1[[#This Row],[dass21_raw_score]],0)</f>
        <v>7</v>
      </c>
      <c r="R1214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214">
        <v>-0.37399006000000001</v>
      </c>
      <c r="T1214">
        <v>0.72091985000000003</v>
      </c>
      <c r="U1214">
        <v>3750</v>
      </c>
      <c r="V1214" s="1">
        <f>ROUND(Table1[[#This Row],[fmpce]],0)</f>
        <v>3750</v>
      </c>
      <c r="W1214">
        <v>51.017493999999999</v>
      </c>
      <c r="X1214" s="4">
        <f>Table1[[#This Row],[mpce]]*89</f>
        <v>4540.5569660000001</v>
      </c>
      <c r="Y1214" s="2" t="s">
        <v>32</v>
      </c>
      <c r="Z1214" s="3">
        <f>VLOOKUP(Y1214, rmpce_reference!$B$1:$D$7,3,FALSE) * 89</f>
        <v>4450</v>
      </c>
      <c r="AA1214" s="1" t="str">
        <f>IF(Table1[rmpce_inr]&lt;=rmpce_reference!$F$2, "Low Income", IF(Table1[rmpce_inr]&lt;=rmpce_reference!$F$3, "Middle Income", "High Income"))</f>
        <v>Low Income</v>
      </c>
    </row>
    <row r="1215" spans="1:27" x14ac:dyDescent="0.25">
      <c r="A1215">
        <v>6152</v>
      </c>
      <c r="B1215" t="s">
        <v>44</v>
      </c>
      <c r="C1215" t="s">
        <v>29</v>
      </c>
      <c r="D1215">
        <v>32</v>
      </c>
      <c r="E1215" t="s">
        <v>22</v>
      </c>
      <c r="F1215" t="s">
        <v>23</v>
      </c>
      <c r="G1215">
        <v>12</v>
      </c>
      <c r="H1215" s="1" t="str">
        <f>IF(Table1[[#This Row],[anxiety_score]]&lt;=10, "Normal", IF(Table1[[#This Row],[anxiety_score]]&lt;=20, "Moderate", IF(Table1[[#This Row],[anxiety_score]]&lt;=30, "Severe", "Extremely Severe")))</f>
        <v>Moderate</v>
      </c>
      <c r="I1215">
        <v>0.19284514999999999</v>
      </c>
      <c r="J1215">
        <v>14</v>
      </c>
      <c r="K1215" s="1" t="str">
        <f>IF(Table1[[#This Row],[stress_score]]&lt;=10, "Normal", IF(Table1[[#This Row],[stress_score]]&lt;=20, "Moderate", IF(Table1[[#This Row],[stress_score]]&lt;=30, "Severe", "Extremely Severe")))</f>
        <v>Moderate</v>
      </c>
      <c r="L1215">
        <v>0.20015757000000001</v>
      </c>
      <c r="M1215">
        <v>14</v>
      </c>
      <c r="N1215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1215">
        <v>0.23962580999999999</v>
      </c>
      <c r="P1215">
        <v>13.333333</v>
      </c>
      <c r="Q1215">
        <f>ROUND(Table1[[#This Row],[dass21_raw_score]],0)</f>
        <v>13</v>
      </c>
      <c r="R1215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1215">
        <v>0.21087618</v>
      </c>
      <c r="T1215">
        <v>1.3057860999999999</v>
      </c>
      <c r="U1215">
        <v>3750</v>
      </c>
      <c r="V1215" s="1">
        <f>ROUND(Table1[[#This Row],[fmpce]],0)</f>
        <v>3750</v>
      </c>
      <c r="W1215">
        <v>51.017493999999999</v>
      </c>
      <c r="X1215" s="4">
        <f>Table1[[#This Row],[mpce]]*89</f>
        <v>4540.5569660000001</v>
      </c>
      <c r="Y1215" s="2" t="s">
        <v>32</v>
      </c>
      <c r="Z1215" s="3">
        <f>VLOOKUP(Y1215, rmpce_reference!$B$1:$D$7,3,FALSE) * 89</f>
        <v>4450</v>
      </c>
      <c r="AA1215" s="1" t="str">
        <f>IF(Table1[rmpce_inr]&lt;=rmpce_reference!$F$2, "Low Income", IF(Table1[rmpce_inr]&lt;=rmpce_reference!$F$3, "Middle Income", "High Income"))</f>
        <v>Low Income</v>
      </c>
    </row>
    <row r="1216" spans="1:27" x14ac:dyDescent="0.25">
      <c r="A1216">
        <v>6153</v>
      </c>
      <c r="B1216" t="s">
        <v>44</v>
      </c>
      <c r="C1216" t="s">
        <v>36</v>
      </c>
      <c r="D1216">
        <v>55</v>
      </c>
      <c r="E1216" t="s">
        <v>25</v>
      </c>
      <c r="F1216" t="s">
        <v>23</v>
      </c>
      <c r="G1216">
        <v>14</v>
      </c>
      <c r="H1216" s="1" t="str">
        <f>IF(Table1[[#This Row],[anxiety_score]]&lt;=10, "Normal", IF(Table1[[#This Row],[anxiety_score]]&lt;=20, "Moderate", IF(Table1[[#This Row],[anxiety_score]]&lt;=30, "Severe", "Extremely Severe")))</f>
        <v>Moderate</v>
      </c>
      <c r="I1216">
        <v>0.39388975999999998</v>
      </c>
      <c r="J1216">
        <v>26</v>
      </c>
      <c r="K1216" s="1" t="str">
        <f>IF(Table1[[#This Row],[stress_score]]&lt;=10, "Normal", IF(Table1[[#This Row],[stress_score]]&lt;=20, "Moderate", IF(Table1[[#This Row],[stress_score]]&lt;=30, "Severe", "Extremely Severe")))</f>
        <v>Severe</v>
      </c>
      <c r="L1216">
        <v>1.3681251000000001</v>
      </c>
      <c r="M1216">
        <v>16</v>
      </c>
      <c r="N1216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1216">
        <v>0.43226320000000001</v>
      </c>
      <c r="P1216">
        <v>18.666665999999999</v>
      </c>
      <c r="Q1216">
        <f>ROUND(Table1[[#This Row],[dass21_raw_score]],0)</f>
        <v>19</v>
      </c>
      <c r="R1216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1216">
        <v>0.73142600000000002</v>
      </c>
      <c r="T1216">
        <v>1.8263358999999999</v>
      </c>
      <c r="U1216">
        <v>7500</v>
      </c>
      <c r="V1216" s="1">
        <f>ROUND(Table1[[#This Row],[fmpce]],0)</f>
        <v>7500</v>
      </c>
      <c r="W1216">
        <v>102.03498999999999</v>
      </c>
      <c r="X1216" s="4">
        <f>Table1[[#This Row],[mpce]]*89</f>
        <v>9081.1141099999986</v>
      </c>
      <c r="Y1216" s="2" t="s">
        <v>35</v>
      </c>
      <c r="Z1216" s="3">
        <f>VLOOKUP(Y1216, rmpce_reference!$B$1:$D$7,3,FALSE) * 89</f>
        <v>9790</v>
      </c>
      <c r="AA1216" s="1" t="str">
        <f>IF(Table1[rmpce_inr]&lt;=rmpce_reference!$F$2, "Low Income", IF(Table1[rmpce_inr]&lt;=rmpce_reference!$F$3, "Middle Income", "High Income"))</f>
        <v>High Income</v>
      </c>
    </row>
    <row r="1217" spans="1:27" x14ac:dyDescent="0.25">
      <c r="A1217">
        <v>6154</v>
      </c>
      <c r="B1217" t="s">
        <v>44</v>
      </c>
      <c r="C1217" t="s">
        <v>29</v>
      </c>
      <c r="D1217">
        <v>36</v>
      </c>
      <c r="E1217" t="s">
        <v>25</v>
      </c>
      <c r="F1217" t="s">
        <v>30</v>
      </c>
      <c r="G1217">
        <v>4</v>
      </c>
      <c r="H1217" s="1" t="str">
        <f>IF(Table1[[#This Row],[anxiety_score]]&lt;=10, "Normal", IF(Table1[[#This Row],[anxiety_score]]&lt;=20, "Moderate", IF(Table1[[#This Row],[anxiety_score]]&lt;=30, "Severe", "Extremely Severe")))</f>
        <v>Normal</v>
      </c>
      <c r="I1217">
        <v>-0.61133329999999997</v>
      </c>
      <c r="J1217">
        <v>24</v>
      </c>
      <c r="K1217" s="1" t="str">
        <f>IF(Table1[[#This Row],[stress_score]]&lt;=10, "Normal", IF(Table1[[#This Row],[stress_score]]&lt;=20, "Moderate", IF(Table1[[#This Row],[stress_score]]&lt;=30, "Severe", "Extremely Severe")))</f>
        <v>Severe</v>
      </c>
      <c r="L1217">
        <v>1.1734637999999999</v>
      </c>
      <c r="M1217">
        <v>16</v>
      </c>
      <c r="N1217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1217">
        <v>0.43226320000000001</v>
      </c>
      <c r="P1217">
        <v>14.666667</v>
      </c>
      <c r="Q1217">
        <f>ROUND(Table1[[#This Row],[dass21_raw_score]],0)</f>
        <v>15</v>
      </c>
      <c r="R1217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1217">
        <v>0.33146456000000002</v>
      </c>
      <c r="T1217">
        <v>1.4263744</v>
      </c>
      <c r="U1217">
        <v>4166.6665000000003</v>
      </c>
      <c r="V1217" s="1">
        <f>ROUND(Table1[[#This Row],[fmpce]],0)</f>
        <v>4167</v>
      </c>
      <c r="W1217">
        <v>56.686100000000003</v>
      </c>
      <c r="X1217" s="4">
        <f>Table1[[#This Row],[mpce]]*89</f>
        <v>5045.0628999999999</v>
      </c>
      <c r="Y1217" s="2" t="s">
        <v>32</v>
      </c>
      <c r="Z1217" s="3">
        <f>VLOOKUP(Y1217, rmpce_reference!$B$1:$D$7,3,FALSE) * 89</f>
        <v>4450</v>
      </c>
      <c r="AA1217" s="1" t="str">
        <f>IF(Table1[rmpce_inr]&lt;=rmpce_reference!$F$2, "Low Income", IF(Table1[rmpce_inr]&lt;=rmpce_reference!$F$3, "Middle Income", "High Income"))</f>
        <v>Low Income</v>
      </c>
    </row>
    <row r="1218" spans="1:27" x14ac:dyDescent="0.25">
      <c r="A1218">
        <v>6155</v>
      </c>
      <c r="B1218" t="s">
        <v>44</v>
      </c>
      <c r="C1218" t="s">
        <v>29</v>
      </c>
      <c r="D1218">
        <v>36</v>
      </c>
      <c r="E1218" t="s">
        <v>25</v>
      </c>
      <c r="F1218" t="s">
        <v>30</v>
      </c>
      <c r="G1218">
        <v>20</v>
      </c>
      <c r="H1218" s="1" t="str">
        <f>IF(Table1[[#This Row],[anxiety_score]]&lt;=10, "Normal", IF(Table1[[#This Row],[anxiety_score]]&lt;=20, "Moderate", IF(Table1[[#This Row],[anxiety_score]]&lt;=30, "Severe", "Extremely Severe")))</f>
        <v>Moderate</v>
      </c>
      <c r="I1218">
        <v>0.99702360000000001</v>
      </c>
      <c r="J1218">
        <v>36</v>
      </c>
      <c r="K1218" s="1" t="str">
        <f>IF(Table1[[#This Row],[stress_score]]&lt;=10, "Normal", IF(Table1[[#This Row],[stress_score]]&lt;=20, "Moderate", IF(Table1[[#This Row],[stress_score]]&lt;=30, "Severe", "Extremely Severe")))</f>
        <v>Extremely Severe</v>
      </c>
      <c r="L1218">
        <v>2.3414313999999998</v>
      </c>
      <c r="M1218">
        <v>18</v>
      </c>
      <c r="N1218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1218">
        <v>0.62490060000000003</v>
      </c>
      <c r="P1218">
        <v>24.666665999999999</v>
      </c>
      <c r="Q1218">
        <f>ROUND(Table1[[#This Row],[dass21_raw_score]],0)</f>
        <v>25</v>
      </c>
      <c r="R1218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218">
        <v>1.3211185000000001</v>
      </c>
      <c r="T1218">
        <v>2.4160284999999999</v>
      </c>
      <c r="U1218">
        <v>5000</v>
      </c>
      <c r="V1218" s="1">
        <f>ROUND(Table1[[#This Row],[fmpce]],0)</f>
        <v>5000</v>
      </c>
      <c r="W1218">
        <v>68.023319999999998</v>
      </c>
      <c r="X1218" s="4">
        <f>Table1[[#This Row],[mpce]]*89</f>
        <v>6054.0754799999995</v>
      </c>
      <c r="Y1218" s="2" t="s">
        <v>28</v>
      </c>
      <c r="Z1218" s="3">
        <f>VLOOKUP(Y1218, rmpce_reference!$B$1:$D$7,3,FALSE) * 89</f>
        <v>6230</v>
      </c>
      <c r="AA1218" s="1" t="str">
        <f>IF(Table1[rmpce_inr]&lt;=rmpce_reference!$F$2, "Low Income", IF(Table1[rmpce_inr]&lt;=rmpce_reference!$F$3, "Middle Income", "High Income"))</f>
        <v>Middle Income</v>
      </c>
    </row>
    <row r="1219" spans="1:27" x14ac:dyDescent="0.25">
      <c r="A1219">
        <v>6156</v>
      </c>
      <c r="B1219" t="s">
        <v>44</v>
      </c>
      <c r="C1219" t="s">
        <v>33</v>
      </c>
      <c r="D1219">
        <v>27</v>
      </c>
      <c r="E1219" t="s">
        <v>25</v>
      </c>
      <c r="F1219" t="s">
        <v>30</v>
      </c>
      <c r="G1219">
        <v>28</v>
      </c>
      <c r="H1219" s="1" t="str">
        <f>IF(Table1[[#This Row],[anxiety_score]]&lt;=10, "Normal", IF(Table1[[#This Row],[anxiety_score]]&lt;=20, "Moderate", IF(Table1[[#This Row],[anxiety_score]]&lt;=30, "Severe", "Extremely Severe")))</f>
        <v>Severe</v>
      </c>
      <c r="I1219">
        <v>1.801202</v>
      </c>
      <c r="J1219">
        <v>38</v>
      </c>
      <c r="K1219" s="1" t="str">
        <f>IF(Table1[[#This Row],[stress_score]]&lt;=10, "Normal", IF(Table1[[#This Row],[stress_score]]&lt;=20, "Moderate", IF(Table1[[#This Row],[stress_score]]&lt;=30, "Severe", "Extremely Severe")))</f>
        <v>Extremely Severe</v>
      </c>
      <c r="L1219">
        <v>2.5360925000000001</v>
      </c>
      <c r="M1219">
        <v>16</v>
      </c>
      <c r="N1219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1219">
        <v>0.43226320000000001</v>
      </c>
      <c r="P1219">
        <v>27.333334000000001</v>
      </c>
      <c r="Q1219">
        <f>ROUND(Table1[[#This Row],[dass21_raw_score]],0)</f>
        <v>27</v>
      </c>
      <c r="R1219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219">
        <v>1.5898525999999999</v>
      </c>
      <c r="T1219">
        <v>2.6847625000000002</v>
      </c>
      <c r="U1219">
        <v>5000</v>
      </c>
      <c r="V1219" s="1">
        <f>ROUND(Table1[[#This Row],[fmpce]],0)</f>
        <v>5000</v>
      </c>
      <c r="W1219">
        <v>68.023319999999998</v>
      </c>
      <c r="X1219" s="4">
        <f>Table1[[#This Row],[mpce]]*89</f>
        <v>6054.0754799999995</v>
      </c>
      <c r="Y1219" s="2" t="s">
        <v>28</v>
      </c>
      <c r="Z1219" s="3">
        <f>VLOOKUP(Y1219, rmpce_reference!$B$1:$D$7,3,FALSE) * 89</f>
        <v>6230</v>
      </c>
      <c r="AA1219" s="1" t="str">
        <f>IF(Table1[rmpce_inr]&lt;=rmpce_reference!$F$2, "Low Income", IF(Table1[rmpce_inr]&lt;=rmpce_reference!$F$3, "Middle Income", "High Income"))</f>
        <v>Middle Income</v>
      </c>
    </row>
    <row r="1220" spans="1:27" x14ac:dyDescent="0.25">
      <c r="A1220">
        <v>6157</v>
      </c>
      <c r="B1220" t="s">
        <v>44</v>
      </c>
      <c r="C1220" t="s">
        <v>33</v>
      </c>
      <c r="D1220">
        <v>25</v>
      </c>
      <c r="E1220" t="s">
        <v>25</v>
      </c>
      <c r="F1220" t="s">
        <v>30</v>
      </c>
      <c r="G1220">
        <v>20</v>
      </c>
      <c r="H1220" s="1" t="str">
        <f>IF(Table1[[#This Row],[anxiety_score]]&lt;=10, "Normal", IF(Table1[[#This Row],[anxiety_score]]&lt;=20, "Moderate", IF(Table1[[#This Row],[anxiety_score]]&lt;=30, "Severe", "Extremely Severe")))</f>
        <v>Moderate</v>
      </c>
      <c r="I1220">
        <v>0.99702360000000001</v>
      </c>
      <c r="J1220">
        <v>30</v>
      </c>
      <c r="K1220" s="1" t="str">
        <f>IF(Table1[[#This Row],[stress_score]]&lt;=10, "Normal", IF(Table1[[#This Row],[stress_score]]&lt;=20, "Moderate", IF(Table1[[#This Row],[stress_score]]&lt;=30, "Severe", "Extremely Severe")))</f>
        <v>Severe</v>
      </c>
      <c r="L1220">
        <v>1.7574476000000001</v>
      </c>
      <c r="M1220">
        <v>18</v>
      </c>
      <c r="N1220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1220">
        <v>0.62490060000000003</v>
      </c>
      <c r="P1220">
        <v>22.666665999999999</v>
      </c>
      <c r="Q1220">
        <f>ROUND(Table1[[#This Row],[dass21_raw_score]],0)</f>
        <v>23</v>
      </c>
      <c r="R1220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220">
        <v>1.1264571999999999</v>
      </c>
      <c r="T1220">
        <v>2.2213671000000001</v>
      </c>
      <c r="U1220">
        <v>5000</v>
      </c>
      <c r="V1220" s="1">
        <f>ROUND(Table1[[#This Row],[fmpce]],0)</f>
        <v>5000</v>
      </c>
      <c r="W1220">
        <v>68.023319999999998</v>
      </c>
      <c r="X1220" s="4">
        <f>Table1[[#This Row],[mpce]]*89</f>
        <v>6054.0754799999995</v>
      </c>
      <c r="Y1220" s="2" t="s">
        <v>28</v>
      </c>
      <c r="Z1220" s="3">
        <f>VLOOKUP(Y1220, rmpce_reference!$B$1:$D$7,3,FALSE) * 89</f>
        <v>6230</v>
      </c>
      <c r="AA1220" s="1" t="str">
        <f>IF(Table1[rmpce_inr]&lt;=rmpce_reference!$F$2, "Low Income", IF(Table1[rmpce_inr]&lt;=rmpce_reference!$F$3, "Middle Income", "High Income"))</f>
        <v>Middle Income</v>
      </c>
    </row>
    <row r="1221" spans="1:27" x14ac:dyDescent="0.25">
      <c r="A1221">
        <v>6158</v>
      </c>
      <c r="B1221" t="s">
        <v>44</v>
      </c>
      <c r="C1221" t="s">
        <v>36</v>
      </c>
      <c r="D1221">
        <v>54</v>
      </c>
      <c r="E1221" t="s">
        <v>25</v>
      </c>
      <c r="F1221" t="s">
        <v>30</v>
      </c>
      <c r="G1221">
        <v>28</v>
      </c>
      <c r="H1221" s="1" t="str">
        <f>IF(Table1[[#This Row],[anxiety_score]]&lt;=10, "Normal", IF(Table1[[#This Row],[anxiety_score]]&lt;=20, "Moderate", IF(Table1[[#This Row],[anxiety_score]]&lt;=30, "Severe", "Extremely Severe")))</f>
        <v>Severe</v>
      </c>
      <c r="I1221">
        <v>1.801202</v>
      </c>
      <c r="J1221">
        <v>30</v>
      </c>
      <c r="K1221" s="1" t="str">
        <f>IF(Table1[[#This Row],[stress_score]]&lt;=10, "Normal", IF(Table1[[#This Row],[stress_score]]&lt;=20, "Moderate", IF(Table1[[#This Row],[stress_score]]&lt;=30, "Severe", "Extremely Severe")))</f>
        <v>Severe</v>
      </c>
      <c r="L1221">
        <v>1.7574476000000001</v>
      </c>
      <c r="M1221">
        <v>24</v>
      </c>
      <c r="N1221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1221">
        <v>1.2028128</v>
      </c>
      <c r="P1221">
        <v>27.333334000000001</v>
      </c>
      <c r="Q1221">
        <f>ROUND(Table1[[#This Row],[dass21_raw_score]],0)</f>
        <v>27</v>
      </c>
      <c r="R1221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221">
        <v>1.5871542000000001</v>
      </c>
      <c r="T1221">
        <v>2.682064</v>
      </c>
      <c r="U1221">
        <v>6250</v>
      </c>
      <c r="V1221" s="1">
        <f>ROUND(Table1[[#This Row],[fmpce]],0)</f>
        <v>6250</v>
      </c>
      <c r="W1221">
        <v>85.029150000000001</v>
      </c>
      <c r="X1221" s="4">
        <f>Table1[[#This Row],[mpce]]*89</f>
        <v>7567.5943500000003</v>
      </c>
      <c r="Y1221" s="2" t="s">
        <v>31</v>
      </c>
      <c r="Z1221" s="3">
        <f>VLOOKUP(Y1221, rmpce_reference!$B$1:$D$7,3,FALSE) * 89</f>
        <v>8010</v>
      </c>
      <c r="AA1221" s="1" t="str">
        <f>IF(Table1[rmpce_inr]&lt;=rmpce_reference!$F$2, "Low Income", IF(Table1[rmpce_inr]&lt;=rmpce_reference!$F$3, "Middle Income", "High Income"))</f>
        <v>High Income</v>
      </c>
    </row>
    <row r="1222" spans="1:27" x14ac:dyDescent="0.25">
      <c r="A1222">
        <v>6159</v>
      </c>
      <c r="B1222" t="s">
        <v>44</v>
      </c>
      <c r="C1222" t="s">
        <v>33</v>
      </c>
      <c r="D1222">
        <v>26</v>
      </c>
      <c r="E1222" t="s">
        <v>25</v>
      </c>
      <c r="F1222" t="s">
        <v>30</v>
      </c>
      <c r="G1222">
        <v>4</v>
      </c>
      <c r="H1222" s="1" t="str">
        <f>IF(Table1[[#This Row],[anxiety_score]]&lt;=10, "Normal", IF(Table1[[#This Row],[anxiety_score]]&lt;=20, "Moderate", IF(Table1[[#This Row],[anxiety_score]]&lt;=30, "Severe", "Extremely Severe")))</f>
        <v>Normal</v>
      </c>
      <c r="I1222">
        <v>-0.61133329999999997</v>
      </c>
      <c r="J1222">
        <v>30</v>
      </c>
      <c r="K1222" s="1" t="str">
        <f>IF(Table1[[#This Row],[stress_score]]&lt;=10, "Normal", IF(Table1[[#This Row],[stress_score]]&lt;=20, "Moderate", IF(Table1[[#This Row],[stress_score]]&lt;=30, "Severe", "Extremely Severe")))</f>
        <v>Severe</v>
      </c>
      <c r="L1222">
        <v>1.7574476000000001</v>
      </c>
      <c r="M1222">
        <v>16</v>
      </c>
      <c r="N1222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1222">
        <v>0.43226320000000001</v>
      </c>
      <c r="P1222">
        <v>16.666665999999999</v>
      </c>
      <c r="Q1222">
        <f>ROUND(Table1[[#This Row],[dass21_raw_score]],0)</f>
        <v>17</v>
      </c>
      <c r="R1222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1222">
        <v>0.52612585000000001</v>
      </c>
      <c r="T1222">
        <v>1.6210358</v>
      </c>
      <c r="U1222">
        <v>5000</v>
      </c>
      <c r="V1222" s="1">
        <f>ROUND(Table1[[#This Row],[fmpce]],0)</f>
        <v>5000</v>
      </c>
      <c r="W1222">
        <v>68.023319999999998</v>
      </c>
      <c r="X1222" s="4">
        <f>Table1[[#This Row],[mpce]]*89</f>
        <v>6054.0754799999995</v>
      </c>
      <c r="Y1222" s="2" t="s">
        <v>28</v>
      </c>
      <c r="Z1222" s="3">
        <f>VLOOKUP(Y1222, rmpce_reference!$B$1:$D$7,3,FALSE) * 89</f>
        <v>6230</v>
      </c>
      <c r="AA1222" s="1" t="str">
        <f>IF(Table1[rmpce_inr]&lt;=rmpce_reference!$F$2, "Low Income", IF(Table1[rmpce_inr]&lt;=rmpce_reference!$F$3, "Middle Income", "High Income"))</f>
        <v>Middle Income</v>
      </c>
    </row>
    <row r="1223" spans="1:27" x14ac:dyDescent="0.25">
      <c r="A1223">
        <v>6160</v>
      </c>
      <c r="B1223" t="s">
        <v>44</v>
      </c>
      <c r="C1223" t="s">
        <v>29</v>
      </c>
      <c r="D1223">
        <v>32</v>
      </c>
      <c r="E1223" t="s">
        <v>25</v>
      </c>
      <c r="F1223" t="s">
        <v>26</v>
      </c>
      <c r="G1223">
        <v>18</v>
      </c>
      <c r="H1223" s="1" t="str">
        <f>IF(Table1[[#This Row],[anxiety_score]]&lt;=10, "Normal", IF(Table1[[#This Row],[anxiety_score]]&lt;=20, "Moderate", IF(Table1[[#This Row],[anxiety_score]]&lt;=30, "Severe", "Extremely Severe")))</f>
        <v>Moderate</v>
      </c>
      <c r="I1223">
        <v>0.79597896000000001</v>
      </c>
      <c r="J1223">
        <v>24</v>
      </c>
      <c r="K1223" s="1" t="str">
        <f>IF(Table1[[#This Row],[stress_score]]&lt;=10, "Normal", IF(Table1[[#This Row],[stress_score]]&lt;=20, "Moderate", IF(Table1[[#This Row],[stress_score]]&lt;=30, "Severe", "Extremely Severe")))</f>
        <v>Severe</v>
      </c>
      <c r="L1223">
        <v>1.1734637999999999</v>
      </c>
      <c r="M1223">
        <v>28</v>
      </c>
      <c r="N1223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1223">
        <v>1.5880875999999999</v>
      </c>
      <c r="P1223">
        <v>23.333334000000001</v>
      </c>
      <c r="Q1223">
        <f>ROUND(Table1[[#This Row],[dass21_raw_score]],0)</f>
        <v>23</v>
      </c>
      <c r="R1223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223">
        <v>1.1858435000000001</v>
      </c>
      <c r="T1223">
        <v>2.2807534</v>
      </c>
      <c r="U1223">
        <v>4285.7143999999998</v>
      </c>
      <c r="V1223" s="1">
        <f>ROUND(Table1[[#This Row],[fmpce]],0)</f>
        <v>4286</v>
      </c>
      <c r="W1223">
        <v>58.305706000000001</v>
      </c>
      <c r="X1223" s="4">
        <f>Table1[[#This Row],[mpce]]*89</f>
        <v>5189.2078339999998</v>
      </c>
      <c r="Y1223" s="2" t="s">
        <v>32</v>
      </c>
      <c r="Z1223" s="3">
        <f>VLOOKUP(Y1223, rmpce_reference!$B$1:$D$7,3,FALSE) * 89</f>
        <v>4450</v>
      </c>
      <c r="AA1223" s="1" t="str">
        <f>IF(Table1[rmpce_inr]&lt;=rmpce_reference!$F$2, "Low Income", IF(Table1[rmpce_inr]&lt;=rmpce_reference!$F$3, "Middle Income", "High Income"))</f>
        <v>Low Income</v>
      </c>
    </row>
    <row r="1224" spans="1:27" x14ac:dyDescent="0.25">
      <c r="A1224">
        <v>6161</v>
      </c>
      <c r="B1224" t="s">
        <v>44</v>
      </c>
      <c r="C1224" t="s">
        <v>29</v>
      </c>
      <c r="D1224">
        <v>36</v>
      </c>
      <c r="E1224" t="s">
        <v>25</v>
      </c>
      <c r="F1224" t="s">
        <v>30</v>
      </c>
      <c r="G1224">
        <v>30</v>
      </c>
      <c r="H1224" s="1" t="str">
        <f>IF(Table1[[#This Row],[anxiety_score]]&lt;=10, "Normal", IF(Table1[[#This Row],[anxiety_score]]&lt;=20, "Moderate", IF(Table1[[#This Row],[anxiety_score]]&lt;=30, "Severe", "Extremely Severe")))</f>
        <v>Severe</v>
      </c>
      <c r="I1224">
        <v>2.0022465999999999</v>
      </c>
      <c r="J1224">
        <v>40</v>
      </c>
      <c r="K1224" s="1" t="str">
        <f>IF(Table1[[#This Row],[stress_score]]&lt;=10, "Normal", IF(Table1[[#This Row],[stress_score]]&lt;=20, "Moderate", IF(Table1[[#This Row],[stress_score]]&lt;=30, "Severe", "Extremely Severe")))</f>
        <v>Extremely Severe</v>
      </c>
      <c r="L1224">
        <v>2.7307540000000001</v>
      </c>
      <c r="M1224">
        <v>34</v>
      </c>
      <c r="N1224" s="1" t="str">
        <f>IF(Table1[[#This Row],[depression_score]]&lt;=10, "Normal", IF(Table1[[#This Row],[depression_score]]&lt;=20, "Moderate", IF(Table1[[#This Row],[depression_score]]&lt;=30, "Severe", "Extremely Severe")))</f>
        <v>Extremely Severe</v>
      </c>
      <c r="O1224">
        <v>2.1659999999999999</v>
      </c>
      <c r="P1224">
        <v>34.666668000000001</v>
      </c>
      <c r="Q1224">
        <f>ROUND(Table1[[#This Row],[dass21_raw_score]],0)</f>
        <v>35</v>
      </c>
      <c r="R1224" s="1" t="str">
        <f>IF(Table1[[#This Row],[round_dass21_raw_score]]&lt;=10, "Normal", IF(Table1[[#This Row],[round_dass21_raw_score]]&lt;=20, "Moderate", IF(Table1[[#This Row],[round_dass21_raw_score]]&lt;=30, "Severe", "Extremely Severe")))</f>
        <v>Extremely Severe</v>
      </c>
      <c r="S1224">
        <v>2.2996669999999999</v>
      </c>
      <c r="T1224">
        <v>3.3945767999999998</v>
      </c>
      <c r="U1224">
        <v>5000</v>
      </c>
      <c r="V1224" s="1">
        <f>ROUND(Table1[[#This Row],[fmpce]],0)</f>
        <v>5000</v>
      </c>
      <c r="W1224">
        <v>68.023319999999998</v>
      </c>
      <c r="X1224" s="4">
        <f>Table1[[#This Row],[mpce]]*89</f>
        <v>6054.0754799999995</v>
      </c>
      <c r="Y1224" s="2" t="s">
        <v>28</v>
      </c>
      <c r="Z1224" s="3">
        <f>VLOOKUP(Y1224, rmpce_reference!$B$1:$D$7,3,FALSE) * 89</f>
        <v>6230</v>
      </c>
      <c r="AA1224" s="1" t="str">
        <f>IF(Table1[rmpce_inr]&lt;=rmpce_reference!$F$2, "Low Income", IF(Table1[rmpce_inr]&lt;=rmpce_reference!$F$3, "Middle Income", "High Income"))</f>
        <v>Middle Income</v>
      </c>
    </row>
    <row r="1225" spans="1:27" x14ac:dyDescent="0.25">
      <c r="A1225">
        <v>6162</v>
      </c>
      <c r="B1225" t="s">
        <v>44</v>
      </c>
      <c r="C1225" t="s">
        <v>29</v>
      </c>
      <c r="D1225">
        <v>34</v>
      </c>
      <c r="E1225" t="s">
        <v>25</v>
      </c>
      <c r="F1225" t="s">
        <v>30</v>
      </c>
      <c r="G1225">
        <v>6</v>
      </c>
      <c r="H1225" s="1" t="str">
        <f>IF(Table1[[#This Row],[anxiety_score]]&lt;=10, "Normal", IF(Table1[[#This Row],[anxiety_score]]&lt;=20, "Moderate", IF(Table1[[#This Row],[anxiety_score]]&lt;=30, "Severe", "Extremely Severe")))</f>
        <v>Normal</v>
      </c>
      <c r="I1225">
        <v>-0.41028870000000001</v>
      </c>
      <c r="J1225">
        <v>32</v>
      </c>
      <c r="K1225" s="1" t="str">
        <f>IF(Table1[[#This Row],[stress_score]]&lt;=10, "Normal", IF(Table1[[#This Row],[stress_score]]&lt;=20, "Moderate", IF(Table1[[#This Row],[stress_score]]&lt;=30, "Severe", "Extremely Severe")))</f>
        <v>Extremely Severe</v>
      </c>
      <c r="L1225">
        <v>1.9521089</v>
      </c>
      <c r="M1225">
        <v>16</v>
      </c>
      <c r="N1225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1225">
        <v>0.43226320000000001</v>
      </c>
      <c r="P1225">
        <v>18</v>
      </c>
      <c r="Q1225">
        <f>ROUND(Table1[[#This Row],[dass21_raw_score]],0)</f>
        <v>18</v>
      </c>
      <c r="R1225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1225">
        <v>0.65802777000000001</v>
      </c>
      <c r="T1225">
        <v>1.7529376999999999</v>
      </c>
      <c r="U1225">
        <v>5000</v>
      </c>
      <c r="V1225" s="1">
        <f>ROUND(Table1[[#This Row],[fmpce]],0)</f>
        <v>5000</v>
      </c>
      <c r="W1225">
        <v>68.023319999999998</v>
      </c>
      <c r="X1225" s="4">
        <f>Table1[[#This Row],[mpce]]*89</f>
        <v>6054.0754799999995</v>
      </c>
      <c r="Y1225" s="2" t="s">
        <v>28</v>
      </c>
      <c r="Z1225" s="3">
        <f>VLOOKUP(Y1225, rmpce_reference!$B$1:$D$7,3,FALSE) * 89</f>
        <v>6230</v>
      </c>
      <c r="AA1225" s="1" t="str">
        <f>IF(Table1[rmpce_inr]&lt;=rmpce_reference!$F$2, "Low Income", IF(Table1[rmpce_inr]&lt;=rmpce_reference!$F$3, "Middle Income", "High Income"))</f>
        <v>Middle Income</v>
      </c>
    </row>
    <row r="1226" spans="1:27" x14ac:dyDescent="0.25">
      <c r="A1226">
        <v>6163</v>
      </c>
      <c r="B1226" t="s">
        <v>44</v>
      </c>
      <c r="C1226" t="s">
        <v>21</v>
      </c>
      <c r="D1226">
        <v>42</v>
      </c>
      <c r="E1226" t="s">
        <v>25</v>
      </c>
      <c r="F1226" t="s">
        <v>23</v>
      </c>
      <c r="G1226">
        <v>16</v>
      </c>
      <c r="H1226" s="1" t="str">
        <f>IF(Table1[[#This Row],[anxiety_score]]&lt;=10, "Normal", IF(Table1[[#This Row],[anxiety_score]]&lt;=20, "Moderate", IF(Table1[[#This Row],[anxiety_score]]&lt;=30, "Severe", "Extremely Severe")))</f>
        <v>Moderate</v>
      </c>
      <c r="I1226">
        <v>0.59493434000000001</v>
      </c>
      <c r="J1226">
        <v>22</v>
      </c>
      <c r="K1226" s="1" t="str">
        <f>IF(Table1[[#This Row],[stress_score]]&lt;=10, "Normal", IF(Table1[[#This Row],[stress_score]]&lt;=20, "Moderate", IF(Table1[[#This Row],[stress_score]]&lt;=30, "Severe", "Extremely Severe")))</f>
        <v>Severe</v>
      </c>
      <c r="L1226">
        <v>0.97880255999999999</v>
      </c>
      <c r="M1226">
        <v>20</v>
      </c>
      <c r="N1226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1226">
        <v>0.81753799999999999</v>
      </c>
      <c r="P1226">
        <v>19.333334000000001</v>
      </c>
      <c r="Q1226">
        <f>ROUND(Table1[[#This Row],[dass21_raw_score]],0)</f>
        <v>19</v>
      </c>
      <c r="R1226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1226">
        <v>0.79709165999999998</v>
      </c>
      <c r="T1226">
        <v>1.8920016</v>
      </c>
      <c r="U1226">
        <v>5000</v>
      </c>
      <c r="V1226" s="1">
        <f>ROUND(Table1[[#This Row],[fmpce]],0)</f>
        <v>5000</v>
      </c>
      <c r="W1226">
        <v>68.023319999999998</v>
      </c>
      <c r="X1226" s="4">
        <f>Table1[[#This Row],[mpce]]*89</f>
        <v>6054.0754799999995</v>
      </c>
      <c r="Y1226" s="2" t="s">
        <v>28</v>
      </c>
      <c r="Z1226" s="3">
        <f>VLOOKUP(Y1226, rmpce_reference!$B$1:$D$7,3,FALSE) * 89</f>
        <v>6230</v>
      </c>
      <c r="AA1226" s="1" t="str">
        <f>IF(Table1[rmpce_inr]&lt;=rmpce_reference!$F$2, "Low Income", IF(Table1[rmpce_inr]&lt;=rmpce_reference!$F$3, "Middle Income", "High Income"))</f>
        <v>Middle Income</v>
      </c>
    </row>
    <row r="1227" spans="1:27" x14ac:dyDescent="0.25">
      <c r="A1227">
        <v>6164</v>
      </c>
      <c r="B1227" t="s">
        <v>44</v>
      </c>
      <c r="C1227" t="s">
        <v>21</v>
      </c>
      <c r="D1227">
        <v>43</v>
      </c>
      <c r="E1227" t="s">
        <v>25</v>
      </c>
      <c r="F1227" t="s">
        <v>30</v>
      </c>
      <c r="G1227">
        <v>18</v>
      </c>
      <c r="H1227" s="1" t="str">
        <f>IF(Table1[[#This Row],[anxiety_score]]&lt;=10, "Normal", IF(Table1[[#This Row],[anxiety_score]]&lt;=20, "Moderate", IF(Table1[[#This Row],[anxiety_score]]&lt;=30, "Severe", "Extremely Severe")))</f>
        <v>Moderate</v>
      </c>
      <c r="I1227">
        <v>0.79597896000000001</v>
      </c>
      <c r="J1227">
        <v>28</v>
      </c>
      <c r="K1227" s="1" t="str">
        <f>IF(Table1[[#This Row],[stress_score]]&lt;=10, "Normal", IF(Table1[[#This Row],[stress_score]]&lt;=20, "Moderate", IF(Table1[[#This Row],[stress_score]]&lt;=30, "Severe", "Extremely Severe")))</f>
        <v>Severe</v>
      </c>
      <c r="L1227">
        <v>1.5627863</v>
      </c>
      <c r="M1227">
        <v>16</v>
      </c>
      <c r="N1227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1227">
        <v>0.43226320000000001</v>
      </c>
      <c r="P1227">
        <v>20.666665999999999</v>
      </c>
      <c r="Q1227">
        <f>ROUND(Table1[[#This Row],[dass21_raw_score]],0)</f>
        <v>21</v>
      </c>
      <c r="R1227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227">
        <v>0.93034285000000005</v>
      </c>
      <c r="T1227">
        <v>2.0252528000000001</v>
      </c>
      <c r="U1227">
        <v>6250</v>
      </c>
      <c r="V1227" s="1">
        <f>ROUND(Table1[[#This Row],[fmpce]],0)</f>
        <v>6250</v>
      </c>
      <c r="W1227">
        <v>85.029150000000001</v>
      </c>
      <c r="X1227" s="4">
        <f>Table1[[#This Row],[mpce]]*89</f>
        <v>7567.5943500000003</v>
      </c>
      <c r="Y1227" s="2" t="s">
        <v>31</v>
      </c>
      <c r="Z1227" s="3">
        <f>VLOOKUP(Y1227, rmpce_reference!$B$1:$D$7,3,FALSE) * 89</f>
        <v>8010</v>
      </c>
      <c r="AA1227" s="1" t="str">
        <f>IF(Table1[rmpce_inr]&lt;=rmpce_reference!$F$2, "Low Income", IF(Table1[rmpce_inr]&lt;=rmpce_reference!$F$3, "Middle Income", "High Income"))</f>
        <v>High Income</v>
      </c>
    </row>
    <row r="1228" spans="1:27" x14ac:dyDescent="0.25">
      <c r="A1228">
        <v>6165</v>
      </c>
      <c r="B1228" t="s">
        <v>44</v>
      </c>
      <c r="C1228" t="s">
        <v>29</v>
      </c>
      <c r="D1228">
        <v>32</v>
      </c>
      <c r="E1228" t="s">
        <v>25</v>
      </c>
      <c r="F1228" t="s">
        <v>30</v>
      </c>
      <c r="G1228">
        <v>26</v>
      </c>
      <c r="H1228" s="1" t="str">
        <f>IF(Table1[[#This Row],[anxiety_score]]&lt;=10, "Normal", IF(Table1[[#This Row],[anxiety_score]]&lt;=20, "Moderate", IF(Table1[[#This Row],[anxiety_score]]&lt;=30, "Severe", "Extremely Severe")))</f>
        <v>Severe</v>
      </c>
      <c r="I1228">
        <v>1.6001574999999999</v>
      </c>
      <c r="J1228">
        <v>30</v>
      </c>
      <c r="K1228" s="1" t="str">
        <f>IF(Table1[[#This Row],[stress_score]]&lt;=10, "Normal", IF(Table1[[#This Row],[stress_score]]&lt;=20, "Moderate", IF(Table1[[#This Row],[stress_score]]&lt;=30, "Severe", "Extremely Severe")))</f>
        <v>Severe</v>
      </c>
      <c r="L1228">
        <v>1.7574476000000001</v>
      </c>
      <c r="M1228">
        <v>22</v>
      </c>
      <c r="N1228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1228">
        <v>1.0101753</v>
      </c>
      <c r="P1228">
        <v>26</v>
      </c>
      <c r="Q1228">
        <f>ROUND(Table1[[#This Row],[dass21_raw_score]],0)</f>
        <v>26</v>
      </c>
      <c r="R1228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228">
        <v>1.4559268000000001</v>
      </c>
      <c r="T1228">
        <v>2.5508365999999998</v>
      </c>
      <c r="U1228">
        <v>6250</v>
      </c>
      <c r="V1228" s="1">
        <f>ROUND(Table1[[#This Row],[fmpce]],0)</f>
        <v>6250</v>
      </c>
      <c r="W1228">
        <v>85.029150000000001</v>
      </c>
      <c r="X1228" s="4">
        <f>Table1[[#This Row],[mpce]]*89</f>
        <v>7567.5943500000003</v>
      </c>
      <c r="Y1228" s="2" t="s">
        <v>31</v>
      </c>
      <c r="Z1228" s="3">
        <f>VLOOKUP(Y1228, rmpce_reference!$B$1:$D$7,3,FALSE) * 89</f>
        <v>8010</v>
      </c>
      <c r="AA1228" s="1" t="str">
        <f>IF(Table1[rmpce_inr]&lt;=rmpce_reference!$F$2, "Low Income", IF(Table1[rmpce_inr]&lt;=rmpce_reference!$F$3, "Middle Income", "High Income"))</f>
        <v>High Income</v>
      </c>
    </row>
    <row r="1229" spans="1:27" x14ac:dyDescent="0.25">
      <c r="A1229">
        <v>6166</v>
      </c>
      <c r="B1229" t="s">
        <v>44</v>
      </c>
      <c r="C1229" t="s">
        <v>36</v>
      </c>
      <c r="D1229">
        <v>53</v>
      </c>
      <c r="E1229" t="s">
        <v>25</v>
      </c>
      <c r="F1229" t="s">
        <v>30</v>
      </c>
      <c r="G1229">
        <v>12</v>
      </c>
      <c r="H1229" s="1" t="str">
        <f>IF(Table1[[#This Row],[anxiety_score]]&lt;=10, "Normal", IF(Table1[[#This Row],[anxiety_score]]&lt;=20, "Moderate", IF(Table1[[#This Row],[anxiety_score]]&lt;=30, "Severe", "Extremely Severe")))</f>
        <v>Moderate</v>
      </c>
      <c r="I1229">
        <v>0.19284514999999999</v>
      </c>
      <c r="J1229">
        <v>30</v>
      </c>
      <c r="K1229" s="1" t="str">
        <f>IF(Table1[[#This Row],[stress_score]]&lt;=10, "Normal", IF(Table1[[#This Row],[stress_score]]&lt;=20, "Moderate", IF(Table1[[#This Row],[stress_score]]&lt;=30, "Severe", "Extremely Severe")))</f>
        <v>Severe</v>
      </c>
      <c r="L1229">
        <v>1.7574476000000001</v>
      </c>
      <c r="M1229">
        <v>18</v>
      </c>
      <c r="N1229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1229">
        <v>0.62490060000000003</v>
      </c>
      <c r="P1229">
        <v>20</v>
      </c>
      <c r="Q1229">
        <f>ROUND(Table1[[#This Row],[dass21_raw_score]],0)</f>
        <v>20</v>
      </c>
      <c r="R1229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1229">
        <v>0.85839779999999999</v>
      </c>
      <c r="T1229">
        <v>1.9533076</v>
      </c>
      <c r="U1229">
        <v>7500</v>
      </c>
      <c r="V1229" s="1">
        <f>ROUND(Table1[[#This Row],[fmpce]],0)</f>
        <v>7500</v>
      </c>
      <c r="W1229">
        <v>102.03498999999999</v>
      </c>
      <c r="X1229" s="4">
        <f>Table1[[#This Row],[mpce]]*89</f>
        <v>9081.1141099999986</v>
      </c>
      <c r="Y1229" s="2" t="s">
        <v>35</v>
      </c>
      <c r="Z1229" s="3">
        <f>VLOOKUP(Y1229, rmpce_reference!$B$1:$D$7,3,FALSE) * 89</f>
        <v>9790</v>
      </c>
      <c r="AA1229" s="1" t="str">
        <f>IF(Table1[rmpce_inr]&lt;=rmpce_reference!$F$2, "Low Income", IF(Table1[rmpce_inr]&lt;=rmpce_reference!$F$3, "Middle Income", "High Income"))</f>
        <v>High Income</v>
      </c>
    </row>
    <row r="1230" spans="1:27" x14ac:dyDescent="0.25">
      <c r="A1230">
        <v>6167</v>
      </c>
      <c r="B1230" t="s">
        <v>44</v>
      </c>
      <c r="C1230" t="s">
        <v>36</v>
      </c>
      <c r="D1230">
        <v>52</v>
      </c>
      <c r="E1230" t="s">
        <v>25</v>
      </c>
      <c r="F1230" t="s">
        <v>30</v>
      </c>
      <c r="G1230">
        <v>20</v>
      </c>
      <c r="H1230" s="1" t="str">
        <f>IF(Table1[[#This Row],[anxiety_score]]&lt;=10, "Normal", IF(Table1[[#This Row],[anxiety_score]]&lt;=20, "Moderate", IF(Table1[[#This Row],[anxiety_score]]&lt;=30, "Severe", "Extremely Severe")))</f>
        <v>Moderate</v>
      </c>
      <c r="I1230">
        <v>0.99702360000000001</v>
      </c>
      <c r="J1230">
        <v>22</v>
      </c>
      <c r="K1230" s="1" t="str">
        <f>IF(Table1[[#This Row],[stress_score]]&lt;=10, "Normal", IF(Table1[[#This Row],[stress_score]]&lt;=20, "Moderate", IF(Table1[[#This Row],[stress_score]]&lt;=30, "Severe", "Extremely Severe")))</f>
        <v>Severe</v>
      </c>
      <c r="L1230">
        <v>0.97880255999999999</v>
      </c>
      <c r="M1230">
        <v>22</v>
      </c>
      <c r="N1230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1230">
        <v>1.0101753</v>
      </c>
      <c r="P1230">
        <v>21.333334000000001</v>
      </c>
      <c r="Q1230">
        <f>ROUND(Table1[[#This Row],[dass21_raw_score]],0)</f>
        <v>21</v>
      </c>
      <c r="R1230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230">
        <v>0.99533384999999996</v>
      </c>
      <c r="T1230">
        <v>2.0902438000000001</v>
      </c>
      <c r="U1230">
        <v>7500</v>
      </c>
      <c r="V1230" s="1">
        <f>ROUND(Table1[[#This Row],[fmpce]],0)</f>
        <v>7500</v>
      </c>
      <c r="W1230">
        <v>102.03498999999999</v>
      </c>
      <c r="X1230" s="4">
        <f>Table1[[#This Row],[mpce]]*89</f>
        <v>9081.1141099999986</v>
      </c>
      <c r="Y1230" s="2" t="s">
        <v>35</v>
      </c>
      <c r="Z1230" s="3">
        <f>VLOOKUP(Y1230, rmpce_reference!$B$1:$D$7,3,FALSE) * 89</f>
        <v>9790</v>
      </c>
      <c r="AA1230" s="1" t="str">
        <f>IF(Table1[rmpce_inr]&lt;=rmpce_reference!$F$2, "Low Income", IF(Table1[rmpce_inr]&lt;=rmpce_reference!$F$3, "Middle Income", "High Income"))</f>
        <v>High Income</v>
      </c>
    </row>
    <row r="1231" spans="1:27" x14ac:dyDescent="0.25">
      <c r="A1231">
        <v>6168</v>
      </c>
      <c r="B1231" t="s">
        <v>44</v>
      </c>
      <c r="C1231" t="s">
        <v>36</v>
      </c>
      <c r="D1231">
        <v>52</v>
      </c>
      <c r="E1231" t="s">
        <v>25</v>
      </c>
      <c r="F1231" t="s">
        <v>30</v>
      </c>
      <c r="G1231">
        <v>18</v>
      </c>
      <c r="H1231" s="1" t="str">
        <f>IF(Table1[[#This Row],[anxiety_score]]&lt;=10, "Normal", IF(Table1[[#This Row],[anxiety_score]]&lt;=20, "Moderate", IF(Table1[[#This Row],[anxiety_score]]&lt;=30, "Severe", "Extremely Severe")))</f>
        <v>Moderate</v>
      </c>
      <c r="I1231">
        <v>0.79597896000000001</v>
      </c>
      <c r="J1231">
        <v>24</v>
      </c>
      <c r="K1231" s="1" t="str">
        <f>IF(Table1[[#This Row],[stress_score]]&lt;=10, "Normal", IF(Table1[[#This Row],[stress_score]]&lt;=20, "Moderate", IF(Table1[[#This Row],[stress_score]]&lt;=30, "Severe", "Extremely Severe")))</f>
        <v>Severe</v>
      </c>
      <c r="L1231">
        <v>1.1734637999999999</v>
      </c>
      <c r="M1231">
        <v>22</v>
      </c>
      <c r="N1231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1231">
        <v>1.0101753</v>
      </c>
      <c r="P1231">
        <v>21.333334000000001</v>
      </c>
      <c r="Q1231">
        <f>ROUND(Table1[[#This Row],[dass21_raw_score]],0)</f>
        <v>21</v>
      </c>
      <c r="R1231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231">
        <v>0.99320600000000003</v>
      </c>
      <c r="T1231">
        <v>2.0881159999999999</v>
      </c>
      <c r="U1231">
        <v>6250</v>
      </c>
      <c r="V1231" s="1">
        <f>ROUND(Table1[[#This Row],[fmpce]],0)</f>
        <v>6250</v>
      </c>
      <c r="W1231">
        <v>85.029150000000001</v>
      </c>
      <c r="X1231" s="4">
        <f>Table1[[#This Row],[mpce]]*89</f>
        <v>7567.5943500000003</v>
      </c>
      <c r="Y1231" s="2" t="s">
        <v>31</v>
      </c>
      <c r="Z1231" s="3">
        <f>VLOOKUP(Y1231, rmpce_reference!$B$1:$D$7,3,FALSE) * 89</f>
        <v>8010</v>
      </c>
      <c r="AA1231" s="1" t="str">
        <f>IF(Table1[rmpce_inr]&lt;=rmpce_reference!$F$2, "Low Income", IF(Table1[rmpce_inr]&lt;=rmpce_reference!$F$3, "Middle Income", "High Income"))</f>
        <v>High Income</v>
      </c>
    </row>
    <row r="1232" spans="1:27" x14ac:dyDescent="0.25">
      <c r="A1232">
        <v>6169</v>
      </c>
      <c r="B1232" t="s">
        <v>44</v>
      </c>
      <c r="C1232" t="s">
        <v>33</v>
      </c>
      <c r="D1232">
        <v>30</v>
      </c>
      <c r="E1232" t="s">
        <v>22</v>
      </c>
      <c r="F1232" t="s">
        <v>30</v>
      </c>
      <c r="G1232">
        <v>38</v>
      </c>
      <c r="H1232" s="1" t="str">
        <f>IF(Table1[[#This Row],[anxiety_score]]&lt;=10, "Normal", IF(Table1[[#This Row],[anxiety_score]]&lt;=20, "Moderate", IF(Table1[[#This Row],[anxiety_score]]&lt;=30, "Severe", "Extremely Severe")))</f>
        <v>Extremely Severe</v>
      </c>
      <c r="I1232">
        <v>2.8064249999999999</v>
      </c>
      <c r="J1232">
        <v>30</v>
      </c>
      <c r="K1232" s="1" t="str">
        <f>IF(Table1[[#This Row],[stress_score]]&lt;=10, "Normal", IF(Table1[[#This Row],[stress_score]]&lt;=20, "Moderate", IF(Table1[[#This Row],[stress_score]]&lt;=30, "Severe", "Extremely Severe")))</f>
        <v>Severe</v>
      </c>
      <c r="L1232">
        <v>1.7574476000000001</v>
      </c>
      <c r="M1232">
        <v>38</v>
      </c>
      <c r="N1232" s="1" t="str">
        <f>IF(Table1[[#This Row],[depression_score]]&lt;=10, "Normal", IF(Table1[[#This Row],[depression_score]]&lt;=20, "Moderate", IF(Table1[[#This Row],[depression_score]]&lt;=30, "Severe", "Extremely Severe")))</f>
        <v>Extremely Severe</v>
      </c>
      <c r="O1232">
        <v>2.5512744999999999</v>
      </c>
      <c r="P1232">
        <v>35.333331999999999</v>
      </c>
      <c r="Q1232">
        <f>ROUND(Table1[[#This Row],[dass21_raw_score]],0)</f>
        <v>35</v>
      </c>
      <c r="R1232" s="1" t="str">
        <f>IF(Table1[[#This Row],[round_dass21_raw_score]]&lt;=10, "Normal", IF(Table1[[#This Row],[round_dass21_raw_score]]&lt;=20, "Moderate", IF(Table1[[#This Row],[round_dass21_raw_score]]&lt;=30, "Severe", "Extremely Severe")))</f>
        <v>Extremely Severe</v>
      </c>
      <c r="S1232">
        <v>2.3717158</v>
      </c>
      <c r="T1232">
        <v>3.4666256999999998</v>
      </c>
      <c r="U1232">
        <v>3000</v>
      </c>
      <c r="V1232" s="1">
        <f>ROUND(Table1[[#This Row],[fmpce]],0)</f>
        <v>3000</v>
      </c>
      <c r="W1232">
        <v>40.813994999999998</v>
      </c>
      <c r="X1232" s="4">
        <f>Table1[[#This Row],[mpce]]*89</f>
        <v>3632.4455549999998</v>
      </c>
      <c r="Y1232" s="2" t="s">
        <v>32</v>
      </c>
      <c r="Z1232" s="3">
        <f>VLOOKUP(Y1232, rmpce_reference!$B$1:$D$7,3,FALSE) * 89</f>
        <v>4450</v>
      </c>
      <c r="AA1232" s="1" t="str">
        <f>IF(Table1[rmpce_inr]&lt;=rmpce_reference!$F$2, "Low Income", IF(Table1[rmpce_inr]&lt;=rmpce_reference!$F$3, "Middle Income", "High Income"))</f>
        <v>Low Income</v>
      </c>
    </row>
    <row r="1233" spans="1:27" x14ac:dyDescent="0.25">
      <c r="A1233">
        <v>6170</v>
      </c>
      <c r="B1233" t="s">
        <v>44</v>
      </c>
      <c r="C1233" t="s">
        <v>33</v>
      </c>
      <c r="D1233">
        <v>26</v>
      </c>
      <c r="E1233" t="s">
        <v>25</v>
      </c>
      <c r="F1233" t="s">
        <v>30</v>
      </c>
      <c r="G1233">
        <v>20</v>
      </c>
      <c r="H1233" s="1" t="str">
        <f>IF(Table1[[#This Row],[anxiety_score]]&lt;=10, "Normal", IF(Table1[[#This Row],[anxiety_score]]&lt;=20, "Moderate", IF(Table1[[#This Row],[anxiety_score]]&lt;=30, "Severe", "Extremely Severe")))</f>
        <v>Moderate</v>
      </c>
      <c r="I1233">
        <v>0.99702360000000001</v>
      </c>
      <c r="J1233">
        <v>24</v>
      </c>
      <c r="K1233" s="1" t="str">
        <f>IF(Table1[[#This Row],[stress_score]]&lt;=10, "Normal", IF(Table1[[#This Row],[stress_score]]&lt;=20, "Moderate", IF(Table1[[#This Row],[stress_score]]&lt;=30, "Severe", "Extremely Severe")))</f>
        <v>Severe</v>
      </c>
      <c r="L1233">
        <v>1.1734637999999999</v>
      </c>
      <c r="M1233">
        <v>22</v>
      </c>
      <c r="N1233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1233">
        <v>1.0101753</v>
      </c>
      <c r="P1233">
        <v>22</v>
      </c>
      <c r="Q1233">
        <f>ROUND(Table1[[#This Row],[dass21_raw_score]],0)</f>
        <v>22</v>
      </c>
      <c r="R1233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233">
        <v>1.0602210000000001</v>
      </c>
      <c r="T1233">
        <v>2.1551309000000001</v>
      </c>
      <c r="U1233">
        <v>4166.6665000000003</v>
      </c>
      <c r="V1233" s="1">
        <f>ROUND(Table1[[#This Row],[fmpce]],0)</f>
        <v>4167</v>
      </c>
      <c r="W1233">
        <v>56.686100000000003</v>
      </c>
      <c r="X1233" s="4">
        <f>Table1[[#This Row],[mpce]]*89</f>
        <v>5045.0628999999999</v>
      </c>
      <c r="Y1233" s="2" t="s">
        <v>32</v>
      </c>
      <c r="Z1233" s="3">
        <f>VLOOKUP(Y1233, rmpce_reference!$B$1:$D$7,3,FALSE) * 89</f>
        <v>4450</v>
      </c>
      <c r="AA1233" s="1" t="str">
        <f>IF(Table1[rmpce_inr]&lt;=rmpce_reference!$F$2, "Low Income", IF(Table1[rmpce_inr]&lt;=rmpce_reference!$F$3, "Middle Income", "High Income"))</f>
        <v>Low Income</v>
      </c>
    </row>
    <row r="1234" spans="1:27" x14ac:dyDescent="0.25">
      <c r="A1234">
        <v>6171</v>
      </c>
      <c r="B1234" t="s">
        <v>44</v>
      </c>
      <c r="C1234" t="s">
        <v>29</v>
      </c>
      <c r="D1234">
        <v>40</v>
      </c>
      <c r="E1234" t="s">
        <v>22</v>
      </c>
      <c r="F1234" t="s">
        <v>30</v>
      </c>
      <c r="G1234">
        <v>4</v>
      </c>
      <c r="H1234" s="1" t="str">
        <f>IF(Table1[[#This Row],[anxiety_score]]&lt;=10, "Normal", IF(Table1[[#This Row],[anxiety_score]]&lt;=20, "Moderate", IF(Table1[[#This Row],[anxiety_score]]&lt;=30, "Severe", "Extremely Severe")))</f>
        <v>Normal</v>
      </c>
      <c r="I1234">
        <v>-0.61133329999999997</v>
      </c>
      <c r="J1234">
        <v>8</v>
      </c>
      <c r="K1234" s="1" t="str">
        <f>IF(Table1[[#This Row],[stress_score]]&lt;=10, "Normal", IF(Table1[[#This Row],[stress_score]]&lt;=20, "Moderate", IF(Table1[[#This Row],[stress_score]]&lt;=30, "Severe", "Extremely Severe")))</f>
        <v>Normal</v>
      </c>
      <c r="L1234">
        <v>-0.38382620000000001</v>
      </c>
      <c r="M1234">
        <v>10</v>
      </c>
      <c r="N1234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234">
        <v>-0.14564899000000001</v>
      </c>
      <c r="P1234">
        <v>7.3333335000000002</v>
      </c>
      <c r="Q1234">
        <f>ROUND(Table1[[#This Row],[dass21_raw_score]],0)</f>
        <v>7</v>
      </c>
      <c r="R1234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234">
        <v>-0.38026949999999998</v>
      </c>
      <c r="T1234">
        <v>0.71464039999999995</v>
      </c>
      <c r="U1234">
        <v>2000</v>
      </c>
      <c r="V1234" s="1">
        <f>ROUND(Table1[[#This Row],[fmpce]],0)</f>
        <v>2000</v>
      </c>
      <c r="W1234">
        <v>27.209330000000001</v>
      </c>
      <c r="X1234" s="4">
        <f>Table1[[#This Row],[mpce]]*89</f>
        <v>2421.6303700000003</v>
      </c>
      <c r="Y1234" s="2" t="s">
        <v>34</v>
      </c>
      <c r="Z1234" s="3">
        <f>VLOOKUP(Y1234, rmpce_reference!$B$1:$D$7,3,FALSE) * 89</f>
        <v>2848</v>
      </c>
      <c r="AA1234" s="1" t="str">
        <f>IF(Table1[rmpce_inr]&lt;=rmpce_reference!$F$2, "Low Income", IF(Table1[rmpce_inr]&lt;=rmpce_reference!$F$3, "Middle Income", "High Income"))</f>
        <v>Low Income</v>
      </c>
    </row>
    <row r="1235" spans="1:27" x14ac:dyDescent="0.25">
      <c r="A1235">
        <v>6172</v>
      </c>
      <c r="B1235" t="s">
        <v>44</v>
      </c>
      <c r="C1235" t="s">
        <v>21</v>
      </c>
      <c r="D1235">
        <v>45</v>
      </c>
      <c r="E1235" t="s">
        <v>22</v>
      </c>
      <c r="F1235" t="s">
        <v>23</v>
      </c>
      <c r="G1235">
        <v>6</v>
      </c>
      <c r="H1235" s="1" t="str">
        <f>IF(Table1[[#This Row],[anxiety_score]]&lt;=10, "Normal", IF(Table1[[#This Row],[anxiety_score]]&lt;=20, "Moderate", IF(Table1[[#This Row],[anxiety_score]]&lt;=30, "Severe", "Extremely Severe")))</f>
        <v>Normal</v>
      </c>
      <c r="I1235">
        <v>-0.41028870000000001</v>
      </c>
      <c r="J1235">
        <v>6</v>
      </c>
      <c r="K1235" s="1" t="str">
        <f>IF(Table1[[#This Row],[stress_score]]&lt;=10, "Normal", IF(Table1[[#This Row],[stress_score]]&lt;=20, "Moderate", IF(Table1[[#This Row],[stress_score]]&lt;=30, "Severe", "Extremely Severe")))</f>
        <v>Normal</v>
      </c>
      <c r="L1235">
        <v>-0.57848745999999995</v>
      </c>
      <c r="M1235">
        <v>10</v>
      </c>
      <c r="N1235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235">
        <v>-0.14564899000000001</v>
      </c>
      <c r="P1235">
        <v>7.3333335000000002</v>
      </c>
      <c r="Q1235">
        <f>ROUND(Table1[[#This Row],[dass21_raw_score]],0)</f>
        <v>7</v>
      </c>
      <c r="R1235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235">
        <v>-0.37814170000000003</v>
      </c>
      <c r="T1235">
        <v>0.71676819999999997</v>
      </c>
      <c r="U1235">
        <v>5000</v>
      </c>
      <c r="V1235" s="1">
        <f>ROUND(Table1[[#This Row],[fmpce]],0)</f>
        <v>5000</v>
      </c>
      <c r="W1235">
        <v>68.023319999999998</v>
      </c>
      <c r="X1235" s="4">
        <f>Table1[[#This Row],[mpce]]*89</f>
        <v>6054.0754799999995</v>
      </c>
      <c r="Y1235" s="2" t="s">
        <v>28</v>
      </c>
      <c r="Z1235" s="3">
        <f>VLOOKUP(Y1235, rmpce_reference!$B$1:$D$7,3,FALSE) * 89</f>
        <v>6230</v>
      </c>
      <c r="AA1235" s="1" t="str">
        <f>IF(Table1[rmpce_inr]&lt;=rmpce_reference!$F$2, "Low Income", IF(Table1[rmpce_inr]&lt;=rmpce_reference!$F$3, "Middle Income", "High Income"))</f>
        <v>Middle Income</v>
      </c>
    </row>
    <row r="1236" spans="1:27" x14ac:dyDescent="0.25">
      <c r="A1236">
        <v>6173</v>
      </c>
      <c r="B1236" t="s">
        <v>44</v>
      </c>
      <c r="C1236" t="s">
        <v>36</v>
      </c>
      <c r="D1236">
        <v>58</v>
      </c>
      <c r="E1236" t="s">
        <v>22</v>
      </c>
      <c r="F1236" t="s">
        <v>30</v>
      </c>
      <c r="G1236">
        <v>22</v>
      </c>
      <c r="H1236" s="1" t="str">
        <f>IF(Table1[[#This Row],[anxiety_score]]&lt;=10, "Normal", IF(Table1[[#This Row],[anxiety_score]]&lt;=20, "Moderate", IF(Table1[[#This Row],[anxiety_score]]&lt;=30, "Severe", "Extremely Severe")))</f>
        <v>Severe</v>
      </c>
      <c r="I1236">
        <v>1.1980683000000001</v>
      </c>
      <c r="J1236">
        <v>16</v>
      </c>
      <c r="K1236" s="1" t="str">
        <f>IF(Table1[[#This Row],[stress_score]]&lt;=10, "Normal", IF(Table1[[#This Row],[stress_score]]&lt;=20, "Moderate", IF(Table1[[#This Row],[stress_score]]&lt;=30, "Severe", "Extremely Severe")))</f>
        <v>Moderate</v>
      </c>
      <c r="L1236">
        <v>0.39481880000000003</v>
      </c>
      <c r="M1236">
        <v>20</v>
      </c>
      <c r="N1236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1236">
        <v>0.81753799999999999</v>
      </c>
      <c r="P1236">
        <v>19.333334000000001</v>
      </c>
      <c r="Q1236">
        <f>ROUND(Table1[[#This Row],[dass21_raw_score]],0)</f>
        <v>19</v>
      </c>
      <c r="R1236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1236">
        <v>0.80347500000000005</v>
      </c>
      <c r="T1236">
        <v>1.8983848999999999</v>
      </c>
      <c r="U1236">
        <v>10000</v>
      </c>
      <c r="V1236" s="1">
        <f>ROUND(Table1[[#This Row],[fmpce]],0)</f>
        <v>10000</v>
      </c>
      <c r="W1236">
        <v>136.04665</v>
      </c>
      <c r="X1236" s="4">
        <f>Table1[[#This Row],[mpce]]*89</f>
        <v>12108.15185</v>
      </c>
      <c r="Y1236" s="2" t="s">
        <v>35</v>
      </c>
      <c r="Z1236" s="3">
        <f>VLOOKUP(Y1236, rmpce_reference!$B$1:$D$7,3,FALSE) * 89</f>
        <v>9790</v>
      </c>
      <c r="AA1236" s="1" t="str">
        <f>IF(Table1[rmpce_inr]&lt;=rmpce_reference!$F$2, "Low Income", IF(Table1[rmpce_inr]&lt;=rmpce_reference!$F$3, "Middle Income", "High Income"))</f>
        <v>High Income</v>
      </c>
    </row>
    <row r="1237" spans="1:27" x14ac:dyDescent="0.25">
      <c r="A1237">
        <v>6174</v>
      </c>
      <c r="B1237" t="s">
        <v>44</v>
      </c>
      <c r="C1237" t="s">
        <v>36</v>
      </c>
      <c r="D1237">
        <v>59</v>
      </c>
      <c r="E1237" t="s">
        <v>25</v>
      </c>
      <c r="F1237" t="s">
        <v>26</v>
      </c>
      <c r="G1237">
        <v>12</v>
      </c>
      <c r="H1237" s="1" t="str">
        <f>IF(Table1[[#This Row],[anxiety_score]]&lt;=10, "Normal", IF(Table1[[#This Row],[anxiety_score]]&lt;=20, "Moderate", IF(Table1[[#This Row],[anxiety_score]]&lt;=30, "Severe", "Extremely Severe")))</f>
        <v>Moderate</v>
      </c>
      <c r="I1237">
        <v>0.19284514999999999</v>
      </c>
      <c r="J1237">
        <v>16</v>
      </c>
      <c r="K1237" s="1" t="str">
        <f>IF(Table1[[#This Row],[stress_score]]&lt;=10, "Normal", IF(Table1[[#This Row],[stress_score]]&lt;=20, "Moderate", IF(Table1[[#This Row],[stress_score]]&lt;=30, "Severe", "Extremely Severe")))</f>
        <v>Moderate</v>
      </c>
      <c r="L1237">
        <v>0.39481880000000003</v>
      </c>
      <c r="M1237">
        <v>16</v>
      </c>
      <c r="N1237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1237">
        <v>0.43226320000000001</v>
      </c>
      <c r="P1237">
        <v>14.666667</v>
      </c>
      <c r="Q1237">
        <f>ROUND(Table1[[#This Row],[dass21_raw_score]],0)</f>
        <v>15</v>
      </c>
      <c r="R1237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1237">
        <v>0.33997569999999999</v>
      </c>
      <c r="T1237">
        <v>1.4348856000000001</v>
      </c>
      <c r="U1237">
        <v>8000</v>
      </c>
      <c r="V1237" s="1">
        <f>ROUND(Table1[[#This Row],[fmpce]],0)</f>
        <v>8000</v>
      </c>
      <c r="W1237">
        <v>108.83732000000001</v>
      </c>
      <c r="X1237" s="4">
        <f>Table1[[#This Row],[mpce]]*89</f>
        <v>9686.5214800000012</v>
      </c>
      <c r="Y1237" s="2" t="s">
        <v>35</v>
      </c>
      <c r="Z1237" s="3">
        <f>VLOOKUP(Y1237, rmpce_reference!$B$1:$D$7,3,FALSE) * 89</f>
        <v>9790</v>
      </c>
      <c r="AA1237" s="1" t="str">
        <f>IF(Table1[rmpce_inr]&lt;=rmpce_reference!$F$2, "Low Income", IF(Table1[rmpce_inr]&lt;=rmpce_reference!$F$3, "Middle Income", "High Income"))</f>
        <v>High Income</v>
      </c>
    </row>
    <row r="1238" spans="1:27" x14ac:dyDescent="0.25">
      <c r="A1238">
        <v>6175</v>
      </c>
      <c r="B1238" t="s">
        <v>44</v>
      </c>
      <c r="C1238" t="s">
        <v>36</v>
      </c>
      <c r="D1238">
        <v>58</v>
      </c>
      <c r="E1238" t="s">
        <v>22</v>
      </c>
      <c r="F1238" t="s">
        <v>30</v>
      </c>
      <c r="G1238">
        <v>20</v>
      </c>
      <c r="H1238" s="1" t="str">
        <f>IF(Table1[[#This Row],[anxiety_score]]&lt;=10, "Normal", IF(Table1[[#This Row],[anxiety_score]]&lt;=20, "Moderate", IF(Table1[[#This Row],[anxiety_score]]&lt;=30, "Severe", "Extremely Severe")))</f>
        <v>Moderate</v>
      </c>
      <c r="I1238">
        <v>0.99702360000000001</v>
      </c>
      <c r="J1238">
        <v>24</v>
      </c>
      <c r="K1238" s="1" t="str">
        <f>IF(Table1[[#This Row],[stress_score]]&lt;=10, "Normal", IF(Table1[[#This Row],[stress_score]]&lt;=20, "Moderate", IF(Table1[[#This Row],[stress_score]]&lt;=30, "Severe", "Extremely Severe")))</f>
        <v>Severe</v>
      </c>
      <c r="L1238">
        <v>1.1734637999999999</v>
      </c>
      <c r="M1238">
        <v>18</v>
      </c>
      <c r="N1238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1238">
        <v>0.62490060000000003</v>
      </c>
      <c r="P1238">
        <v>20.666665999999999</v>
      </c>
      <c r="Q1238">
        <f>ROUND(Table1[[#This Row],[dass21_raw_score]],0)</f>
        <v>21</v>
      </c>
      <c r="R1238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238">
        <v>0.93179599999999996</v>
      </c>
      <c r="T1238">
        <v>2.0267059999999999</v>
      </c>
      <c r="U1238">
        <v>8333.3330000000005</v>
      </c>
      <c r="V1238" s="1">
        <f>ROUND(Table1[[#This Row],[fmpce]],0)</f>
        <v>8333</v>
      </c>
      <c r="W1238">
        <v>113.37220000000001</v>
      </c>
      <c r="X1238" s="4">
        <f>Table1[[#This Row],[mpce]]*89</f>
        <v>10090.1258</v>
      </c>
      <c r="Y1238" s="2" t="s">
        <v>35</v>
      </c>
      <c r="Z1238" s="3">
        <f>VLOOKUP(Y1238, rmpce_reference!$B$1:$D$7,3,FALSE) * 89</f>
        <v>9790</v>
      </c>
      <c r="AA1238" s="1" t="str">
        <f>IF(Table1[rmpce_inr]&lt;=rmpce_reference!$F$2, "Low Income", IF(Table1[rmpce_inr]&lt;=rmpce_reference!$F$3, "Middle Income", "High Income"))</f>
        <v>High Income</v>
      </c>
    </row>
    <row r="1239" spans="1:27" x14ac:dyDescent="0.25">
      <c r="A1239">
        <v>6176</v>
      </c>
      <c r="B1239" t="s">
        <v>44</v>
      </c>
      <c r="C1239" t="s">
        <v>36</v>
      </c>
      <c r="D1239">
        <v>52</v>
      </c>
      <c r="E1239" t="s">
        <v>22</v>
      </c>
      <c r="F1239" t="s">
        <v>23</v>
      </c>
      <c r="G1239">
        <v>20</v>
      </c>
      <c r="H1239" s="1" t="str">
        <f>IF(Table1[[#This Row],[anxiety_score]]&lt;=10, "Normal", IF(Table1[[#This Row],[anxiety_score]]&lt;=20, "Moderate", IF(Table1[[#This Row],[anxiety_score]]&lt;=30, "Severe", "Extremely Severe")))</f>
        <v>Moderate</v>
      </c>
      <c r="I1239">
        <v>0.99702360000000001</v>
      </c>
      <c r="J1239">
        <v>22</v>
      </c>
      <c r="K1239" s="1" t="str">
        <f>IF(Table1[[#This Row],[stress_score]]&lt;=10, "Normal", IF(Table1[[#This Row],[stress_score]]&lt;=20, "Moderate", IF(Table1[[#This Row],[stress_score]]&lt;=30, "Severe", "Extremely Severe")))</f>
        <v>Severe</v>
      </c>
      <c r="L1239">
        <v>0.97880255999999999</v>
      </c>
      <c r="M1239">
        <v>22</v>
      </c>
      <c r="N1239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1239">
        <v>1.0101753</v>
      </c>
      <c r="P1239">
        <v>21.333334000000001</v>
      </c>
      <c r="Q1239">
        <f>ROUND(Table1[[#This Row],[dass21_raw_score]],0)</f>
        <v>21</v>
      </c>
      <c r="R1239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239">
        <v>0.99533384999999996</v>
      </c>
      <c r="T1239">
        <v>2.0902438000000001</v>
      </c>
      <c r="U1239">
        <v>4000</v>
      </c>
      <c r="V1239" s="1">
        <f>ROUND(Table1[[#This Row],[fmpce]],0)</f>
        <v>4000</v>
      </c>
      <c r="W1239">
        <v>54.418660000000003</v>
      </c>
      <c r="X1239" s="4">
        <f>Table1[[#This Row],[mpce]]*89</f>
        <v>4843.2607400000006</v>
      </c>
      <c r="Y1239" s="2" t="s">
        <v>32</v>
      </c>
      <c r="Z1239" s="3">
        <f>VLOOKUP(Y1239, rmpce_reference!$B$1:$D$7,3,FALSE) * 89</f>
        <v>4450</v>
      </c>
      <c r="AA1239" s="1" t="str">
        <f>IF(Table1[rmpce_inr]&lt;=rmpce_reference!$F$2, "Low Income", IF(Table1[rmpce_inr]&lt;=rmpce_reference!$F$3, "Middle Income", "High Income"))</f>
        <v>Low Income</v>
      </c>
    </row>
    <row r="1240" spans="1:27" x14ac:dyDescent="0.25">
      <c r="A1240">
        <v>6177</v>
      </c>
      <c r="B1240" t="s">
        <v>44</v>
      </c>
      <c r="C1240" t="s">
        <v>36</v>
      </c>
      <c r="D1240">
        <v>53</v>
      </c>
      <c r="E1240" t="s">
        <v>22</v>
      </c>
      <c r="F1240" t="s">
        <v>30</v>
      </c>
      <c r="G1240">
        <v>26</v>
      </c>
      <c r="H1240" s="1" t="str">
        <f>IF(Table1[[#This Row],[anxiety_score]]&lt;=10, "Normal", IF(Table1[[#This Row],[anxiety_score]]&lt;=20, "Moderate", IF(Table1[[#This Row],[anxiety_score]]&lt;=30, "Severe", "Extremely Severe")))</f>
        <v>Severe</v>
      </c>
      <c r="I1240">
        <v>1.6001574999999999</v>
      </c>
      <c r="J1240">
        <v>28</v>
      </c>
      <c r="K1240" s="1" t="str">
        <f>IF(Table1[[#This Row],[stress_score]]&lt;=10, "Normal", IF(Table1[[#This Row],[stress_score]]&lt;=20, "Moderate", IF(Table1[[#This Row],[stress_score]]&lt;=30, "Severe", "Extremely Severe")))</f>
        <v>Severe</v>
      </c>
      <c r="L1240">
        <v>1.5627863</v>
      </c>
      <c r="M1240">
        <v>28</v>
      </c>
      <c r="N1240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1240">
        <v>1.5880875999999999</v>
      </c>
      <c r="P1240">
        <v>27.333334000000001</v>
      </c>
      <c r="Q1240">
        <f>ROUND(Table1[[#This Row],[dass21_raw_score]],0)</f>
        <v>27</v>
      </c>
      <c r="R1240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240">
        <v>1.5836771999999999</v>
      </c>
      <c r="T1240">
        <v>2.6785869999999998</v>
      </c>
      <c r="U1240">
        <v>3750</v>
      </c>
      <c r="V1240" s="1">
        <f>ROUND(Table1[[#This Row],[fmpce]],0)</f>
        <v>3750</v>
      </c>
      <c r="W1240">
        <v>51.017493999999999</v>
      </c>
      <c r="X1240" s="4">
        <f>Table1[[#This Row],[mpce]]*89</f>
        <v>4540.5569660000001</v>
      </c>
      <c r="Y1240" s="2" t="s">
        <v>32</v>
      </c>
      <c r="Z1240" s="3">
        <f>VLOOKUP(Y1240, rmpce_reference!$B$1:$D$7,3,FALSE) * 89</f>
        <v>4450</v>
      </c>
      <c r="AA1240" s="1" t="str">
        <f>IF(Table1[rmpce_inr]&lt;=rmpce_reference!$F$2, "Low Income", IF(Table1[rmpce_inr]&lt;=rmpce_reference!$F$3, "Middle Income", "High Income"))</f>
        <v>Low Income</v>
      </c>
    </row>
    <row r="1241" spans="1:27" x14ac:dyDescent="0.25">
      <c r="A1241">
        <v>6178</v>
      </c>
      <c r="B1241" t="s">
        <v>44</v>
      </c>
      <c r="C1241" t="s">
        <v>36</v>
      </c>
      <c r="D1241">
        <v>55</v>
      </c>
      <c r="E1241" t="s">
        <v>22</v>
      </c>
      <c r="F1241" t="s">
        <v>23</v>
      </c>
      <c r="G1241">
        <v>24</v>
      </c>
      <c r="H1241" s="1" t="str">
        <f>IF(Table1[[#This Row],[anxiety_score]]&lt;=10, "Normal", IF(Table1[[#This Row],[anxiety_score]]&lt;=20, "Moderate", IF(Table1[[#This Row],[anxiety_score]]&lt;=30, "Severe", "Extremely Severe")))</f>
        <v>Severe</v>
      </c>
      <c r="I1241">
        <v>1.3991127999999999</v>
      </c>
      <c r="J1241">
        <v>22</v>
      </c>
      <c r="K1241" s="1" t="str">
        <f>IF(Table1[[#This Row],[stress_score]]&lt;=10, "Normal", IF(Table1[[#This Row],[stress_score]]&lt;=20, "Moderate", IF(Table1[[#This Row],[stress_score]]&lt;=30, "Severe", "Extremely Severe")))</f>
        <v>Severe</v>
      </c>
      <c r="L1241">
        <v>0.97880255999999999</v>
      </c>
      <c r="M1241">
        <v>26</v>
      </c>
      <c r="N1241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1241">
        <v>1.3954502</v>
      </c>
      <c r="P1241">
        <v>24</v>
      </c>
      <c r="Q1241">
        <f>ROUND(Table1[[#This Row],[dass21_raw_score]],0)</f>
        <v>24</v>
      </c>
      <c r="R1241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241">
        <v>1.2577885</v>
      </c>
      <c r="T1241">
        <v>2.3526983000000001</v>
      </c>
      <c r="U1241">
        <v>2400</v>
      </c>
      <c r="V1241" s="1">
        <f>ROUND(Table1[[#This Row],[fmpce]],0)</f>
        <v>2400</v>
      </c>
      <c r="W1241">
        <v>32.651195999999999</v>
      </c>
      <c r="X1241" s="4">
        <f>Table1[[#This Row],[mpce]]*89</f>
        <v>2905.9564439999999</v>
      </c>
      <c r="Y1241" s="2" t="s">
        <v>34</v>
      </c>
      <c r="Z1241" s="3">
        <f>VLOOKUP(Y1241, rmpce_reference!$B$1:$D$7,3,FALSE) * 89</f>
        <v>2848</v>
      </c>
      <c r="AA1241" s="1" t="str">
        <f>IF(Table1[rmpce_inr]&lt;=rmpce_reference!$F$2, "Low Income", IF(Table1[rmpce_inr]&lt;=rmpce_reference!$F$3, "Middle Income", "High Income"))</f>
        <v>Low Income</v>
      </c>
    </row>
    <row r="1242" spans="1:27" x14ac:dyDescent="0.25">
      <c r="A1242">
        <v>6179</v>
      </c>
      <c r="B1242" t="s">
        <v>44</v>
      </c>
      <c r="C1242" t="s">
        <v>36</v>
      </c>
      <c r="D1242">
        <v>55</v>
      </c>
      <c r="E1242" t="s">
        <v>22</v>
      </c>
      <c r="F1242" t="s">
        <v>41</v>
      </c>
      <c r="G1242">
        <v>18</v>
      </c>
      <c r="H1242" s="1" t="str">
        <f>IF(Table1[[#This Row],[anxiety_score]]&lt;=10, "Normal", IF(Table1[[#This Row],[anxiety_score]]&lt;=20, "Moderate", IF(Table1[[#This Row],[anxiety_score]]&lt;=30, "Severe", "Extremely Severe")))</f>
        <v>Moderate</v>
      </c>
      <c r="I1242">
        <v>0.79597896000000001</v>
      </c>
      <c r="J1242">
        <v>22</v>
      </c>
      <c r="K1242" s="1" t="str">
        <f>IF(Table1[[#This Row],[stress_score]]&lt;=10, "Normal", IF(Table1[[#This Row],[stress_score]]&lt;=20, "Moderate", IF(Table1[[#This Row],[stress_score]]&lt;=30, "Severe", "Extremely Severe")))</f>
        <v>Severe</v>
      </c>
      <c r="L1242">
        <v>0.97880255999999999</v>
      </c>
      <c r="M1242">
        <v>20</v>
      </c>
      <c r="N1242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1242">
        <v>0.81753799999999999</v>
      </c>
      <c r="P1242">
        <v>20</v>
      </c>
      <c r="Q1242">
        <f>ROUND(Table1[[#This Row],[dass21_raw_score]],0)</f>
        <v>20</v>
      </c>
      <c r="R1242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1242">
        <v>0.86410653999999998</v>
      </c>
      <c r="T1242">
        <v>1.9590164000000001</v>
      </c>
      <c r="U1242">
        <v>5000</v>
      </c>
      <c r="V1242" s="1">
        <f>ROUND(Table1[[#This Row],[fmpce]],0)</f>
        <v>5000</v>
      </c>
      <c r="W1242">
        <v>68.023319999999998</v>
      </c>
      <c r="X1242" s="4">
        <f>Table1[[#This Row],[mpce]]*89</f>
        <v>6054.0754799999995</v>
      </c>
      <c r="Y1242" s="2" t="s">
        <v>28</v>
      </c>
      <c r="Z1242" s="3">
        <f>VLOOKUP(Y1242, rmpce_reference!$B$1:$D$7,3,FALSE) * 89</f>
        <v>6230</v>
      </c>
      <c r="AA1242" s="1" t="str">
        <f>IF(Table1[rmpce_inr]&lt;=rmpce_reference!$F$2, "Low Income", IF(Table1[rmpce_inr]&lt;=rmpce_reference!$F$3, "Middle Income", "High Income"))</f>
        <v>Middle Income</v>
      </c>
    </row>
    <row r="1243" spans="1:27" x14ac:dyDescent="0.25">
      <c r="A1243">
        <v>6180</v>
      </c>
      <c r="B1243" t="s">
        <v>44</v>
      </c>
      <c r="C1243" t="s">
        <v>36</v>
      </c>
      <c r="D1243">
        <v>51</v>
      </c>
      <c r="E1243" t="s">
        <v>22</v>
      </c>
      <c r="F1243" t="s">
        <v>23</v>
      </c>
      <c r="G1243">
        <v>18</v>
      </c>
      <c r="H1243" s="1" t="str">
        <f>IF(Table1[[#This Row],[anxiety_score]]&lt;=10, "Normal", IF(Table1[[#This Row],[anxiety_score]]&lt;=20, "Moderate", IF(Table1[[#This Row],[anxiety_score]]&lt;=30, "Severe", "Extremely Severe")))</f>
        <v>Moderate</v>
      </c>
      <c r="I1243">
        <v>0.79597896000000001</v>
      </c>
      <c r="J1243">
        <v>26</v>
      </c>
      <c r="K1243" s="1" t="str">
        <f>IF(Table1[[#This Row],[stress_score]]&lt;=10, "Normal", IF(Table1[[#This Row],[stress_score]]&lt;=20, "Moderate", IF(Table1[[#This Row],[stress_score]]&lt;=30, "Severe", "Extremely Severe")))</f>
        <v>Severe</v>
      </c>
      <c r="L1243">
        <v>1.3681251000000001</v>
      </c>
      <c r="M1243">
        <v>26</v>
      </c>
      <c r="N1243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1243">
        <v>1.3954502</v>
      </c>
      <c r="P1243">
        <v>23.333334000000001</v>
      </c>
      <c r="Q1243">
        <f>ROUND(Table1[[#This Row],[dass21_raw_score]],0)</f>
        <v>23</v>
      </c>
      <c r="R1243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243">
        <v>1.1865181</v>
      </c>
      <c r="T1243">
        <v>2.2814279000000002</v>
      </c>
      <c r="U1243">
        <v>3333.3332999999998</v>
      </c>
      <c r="V1243" s="1">
        <f>ROUND(Table1[[#This Row],[fmpce]],0)</f>
        <v>3333</v>
      </c>
      <c r="W1243">
        <v>45.348880000000001</v>
      </c>
      <c r="X1243" s="4">
        <f>Table1[[#This Row],[mpce]]*89</f>
        <v>4036.0503200000003</v>
      </c>
      <c r="Y1243" s="2" t="s">
        <v>32</v>
      </c>
      <c r="Z1243" s="3">
        <f>VLOOKUP(Y1243, rmpce_reference!$B$1:$D$7,3,FALSE) * 89</f>
        <v>4450</v>
      </c>
      <c r="AA1243" s="1" t="str">
        <f>IF(Table1[rmpce_inr]&lt;=rmpce_reference!$F$2, "Low Income", IF(Table1[rmpce_inr]&lt;=rmpce_reference!$F$3, "Middle Income", "High Income"))</f>
        <v>Low Income</v>
      </c>
    </row>
    <row r="1244" spans="1:27" x14ac:dyDescent="0.25">
      <c r="A1244">
        <v>6181</v>
      </c>
      <c r="B1244" t="s">
        <v>44</v>
      </c>
      <c r="C1244" t="s">
        <v>36</v>
      </c>
      <c r="D1244">
        <v>52</v>
      </c>
      <c r="E1244" t="s">
        <v>22</v>
      </c>
      <c r="F1244" t="s">
        <v>23</v>
      </c>
      <c r="G1244">
        <v>22</v>
      </c>
      <c r="H1244" s="1" t="str">
        <f>IF(Table1[[#This Row],[anxiety_score]]&lt;=10, "Normal", IF(Table1[[#This Row],[anxiety_score]]&lt;=20, "Moderate", IF(Table1[[#This Row],[anxiety_score]]&lt;=30, "Severe", "Extremely Severe")))</f>
        <v>Severe</v>
      </c>
      <c r="I1244">
        <v>1.1980683000000001</v>
      </c>
      <c r="J1244">
        <v>26</v>
      </c>
      <c r="K1244" s="1" t="str">
        <f>IF(Table1[[#This Row],[stress_score]]&lt;=10, "Normal", IF(Table1[[#This Row],[stress_score]]&lt;=20, "Moderate", IF(Table1[[#This Row],[stress_score]]&lt;=30, "Severe", "Extremely Severe")))</f>
        <v>Severe</v>
      </c>
      <c r="L1244">
        <v>1.3681251000000001</v>
      </c>
      <c r="M1244">
        <v>20</v>
      </c>
      <c r="N1244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1244">
        <v>0.81753799999999999</v>
      </c>
      <c r="P1244">
        <v>22.666665999999999</v>
      </c>
      <c r="Q1244">
        <f>ROUND(Table1[[#This Row],[dass21_raw_score]],0)</f>
        <v>23</v>
      </c>
      <c r="R1244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244">
        <v>1.1279105</v>
      </c>
      <c r="T1244">
        <v>2.2228203</v>
      </c>
      <c r="U1244">
        <v>3000</v>
      </c>
      <c r="V1244" s="1">
        <f>ROUND(Table1[[#This Row],[fmpce]],0)</f>
        <v>3000</v>
      </c>
      <c r="W1244">
        <v>40.813994999999998</v>
      </c>
      <c r="X1244" s="4">
        <f>Table1[[#This Row],[mpce]]*89</f>
        <v>3632.4455549999998</v>
      </c>
      <c r="Y1244" s="2" t="s">
        <v>32</v>
      </c>
      <c r="Z1244" s="3">
        <f>VLOOKUP(Y1244, rmpce_reference!$B$1:$D$7,3,FALSE) * 89</f>
        <v>4450</v>
      </c>
      <c r="AA1244" s="1" t="str">
        <f>IF(Table1[rmpce_inr]&lt;=rmpce_reference!$F$2, "Low Income", IF(Table1[rmpce_inr]&lt;=rmpce_reference!$F$3, "Middle Income", "High Income"))</f>
        <v>Low Income</v>
      </c>
    </row>
    <row r="1245" spans="1:27" x14ac:dyDescent="0.25">
      <c r="A1245">
        <v>6182</v>
      </c>
      <c r="B1245" t="s">
        <v>44</v>
      </c>
      <c r="C1245" t="s">
        <v>36</v>
      </c>
      <c r="D1245">
        <v>52</v>
      </c>
      <c r="E1245" t="s">
        <v>22</v>
      </c>
      <c r="F1245" t="s">
        <v>23</v>
      </c>
      <c r="G1245">
        <v>20</v>
      </c>
      <c r="H1245" s="1" t="str">
        <f>IF(Table1[[#This Row],[anxiety_score]]&lt;=10, "Normal", IF(Table1[[#This Row],[anxiety_score]]&lt;=20, "Moderate", IF(Table1[[#This Row],[anxiety_score]]&lt;=30, "Severe", "Extremely Severe")))</f>
        <v>Moderate</v>
      </c>
      <c r="I1245">
        <v>0.99702360000000001</v>
      </c>
      <c r="J1245">
        <v>22</v>
      </c>
      <c r="K1245" s="1" t="str">
        <f>IF(Table1[[#This Row],[stress_score]]&lt;=10, "Normal", IF(Table1[[#This Row],[stress_score]]&lt;=20, "Moderate", IF(Table1[[#This Row],[stress_score]]&lt;=30, "Severe", "Extremely Severe")))</f>
        <v>Severe</v>
      </c>
      <c r="L1245">
        <v>0.97880255999999999</v>
      </c>
      <c r="M1245">
        <v>24</v>
      </c>
      <c r="N1245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1245">
        <v>1.2028128</v>
      </c>
      <c r="P1245">
        <v>22</v>
      </c>
      <c r="Q1245">
        <f>ROUND(Table1[[#This Row],[dass21_raw_score]],0)</f>
        <v>22</v>
      </c>
      <c r="R1245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245">
        <v>1.0595464000000001</v>
      </c>
      <c r="T1245">
        <v>2.1544561</v>
      </c>
      <c r="U1245">
        <v>2500</v>
      </c>
      <c r="V1245" s="1">
        <f>ROUND(Table1[[#This Row],[fmpce]],0)</f>
        <v>2500</v>
      </c>
      <c r="W1245">
        <v>34.011659999999999</v>
      </c>
      <c r="X1245" s="4">
        <f>Table1[[#This Row],[mpce]]*89</f>
        <v>3027.0377399999998</v>
      </c>
      <c r="Y1245" s="2" t="s">
        <v>34</v>
      </c>
      <c r="Z1245" s="3">
        <f>VLOOKUP(Y1245, rmpce_reference!$B$1:$D$7,3,FALSE) * 89</f>
        <v>2848</v>
      </c>
      <c r="AA1245" s="1" t="str">
        <f>IF(Table1[rmpce_inr]&lt;=rmpce_reference!$F$2, "Low Income", IF(Table1[rmpce_inr]&lt;=rmpce_reference!$F$3, "Middle Income", "High Income"))</f>
        <v>Low Income</v>
      </c>
    </row>
    <row r="1246" spans="1:27" x14ac:dyDescent="0.25">
      <c r="A1246">
        <v>6183</v>
      </c>
      <c r="B1246" t="s">
        <v>44</v>
      </c>
      <c r="C1246" t="s">
        <v>36</v>
      </c>
      <c r="D1246">
        <v>52</v>
      </c>
      <c r="E1246" t="s">
        <v>22</v>
      </c>
      <c r="F1246" t="s">
        <v>23</v>
      </c>
      <c r="G1246">
        <v>30</v>
      </c>
      <c r="H1246" s="1" t="str">
        <f>IF(Table1[[#This Row],[anxiety_score]]&lt;=10, "Normal", IF(Table1[[#This Row],[anxiety_score]]&lt;=20, "Moderate", IF(Table1[[#This Row],[anxiety_score]]&lt;=30, "Severe", "Extremely Severe")))</f>
        <v>Severe</v>
      </c>
      <c r="I1246">
        <v>2.0022465999999999</v>
      </c>
      <c r="J1246">
        <v>34</v>
      </c>
      <c r="K1246" s="1" t="str">
        <f>IF(Table1[[#This Row],[stress_score]]&lt;=10, "Normal", IF(Table1[[#This Row],[stress_score]]&lt;=20, "Moderate", IF(Table1[[#This Row],[stress_score]]&lt;=30, "Severe", "Extremely Severe")))</f>
        <v>Extremely Severe</v>
      </c>
      <c r="L1246">
        <v>2.1467700000000001</v>
      </c>
      <c r="M1246">
        <v>26</v>
      </c>
      <c r="N1246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1246">
        <v>1.3954502</v>
      </c>
      <c r="P1246">
        <v>30</v>
      </c>
      <c r="Q1246">
        <f>ROUND(Table1[[#This Row],[dass21_raw_score]],0)</f>
        <v>30</v>
      </c>
      <c r="R1246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246">
        <v>1.8481555999999999</v>
      </c>
      <c r="T1246">
        <v>2.9430656000000002</v>
      </c>
      <c r="U1246">
        <v>3000</v>
      </c>
      <c r="V1246" s="1">
        <f>ROUND(Table1[[#This Row],[fmpce]],0)</f>
        <v>3000</v>
      </c>
      <c r="W1246">
        <v>40.813994999999998</v>
      </c>
      <c r="X1246" s="4">
        <f>Table1[[#This Row],[mpce]]*89</f>
        <v>3632.4455549999998</v>
      </c>
      <c r="Y1246" s="2" t="s">
        <v>32</v>
      </c>
      <c r="Z1246" s="3">
        <f>VLOOKUP(Y1246, rmpce_reference!$B$1:$D$7,3,FALSE) * 89</f>
        <v>4450</v>
      </c>
      <c r="AA1246" s="1" t="str">
        <f>IF(Table1[rmpce_inr]&lt;=rmpce_reference!$F$2, "Low Income", IF(Table1[rmpce_inr]&lt;=rmpce_reference!$F$3, "Middle Income", "High Income"))</f>
        <v>Low Income</v>
      </c>
    </row>
    <row r="1247" spans="1:27" x14ac:dyDescent="0.25">
      <c r="A1247">
        <v>6184</v>
      </c>
      <c r="B1247" t="s">
        <v>44</v>
      </c>
      <c r="C1247" t="s">
        <v>36</v>
      </c>
      <c r="D1247">
        <v>51</v>
      </c>
      <c r="E1247" t="s">
        <v>22</v>
      </c>
      <c r="F1247" t="s">
        <v>30</v>
      </c>
      <c r="G1247">
        <v>22</v>
      </c>
      <c r="H1247" s="1" t="str">
        <f>IF(Table1[[#This Row],[anxiety_score]]&lt;=10, "Normal", IF(Table1[[#This Row],[anxiety_score]]&lt;=20, "Moderate", IF(Table1[[#This Row],[anxiety_score]]&lt;=30, "Severe", "Extremely Severe")))</f>
        <v>Severe</v>
      </c>
      <c r="I1247">
        <v>1.1980683000000001</v>
      </c>
      <c r="J1247">
        <v>20</v>
      </c>
      <c r="K1247" s="1" t="str">
        <f>IF(Table1[[#This Row],[stress_score]]&lt;=10, "Normal", IF(Table1[[#This Row],[stress_score]]&lt;=20, "Moderate", IF(Table1[[#This Row],[stress_score]]&lt;=30, "Severe", "Extremely Severe")))</f>
        <v>Moderate</v>
      </c>
      <c r="L1247">
        <v>0.78414130000000004</v>
      </c>
      <c r="M1247">
        <v>24</v>
      </c>
      <c r="N1247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1247">
        <v>1.2028128</v>
      </c>
      <c r="P1247">
        <v>22</v>
      </c>
      <c r="Q1247">
        <f>ROUND(Table1[[#This Row],[dass21_raw_score]],0)</f>
        <v>22</v>
      </c>
      <c r="R1247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247">
        <v>1.0616741000000001</v>
      </c>
      <c r="T1247">
        <v>2.1565840000000001</v>
      </c>
      <c r="U1247">
        <v>3750</v>
      </c>
      <c r="V1247" s="1">
        <f>ROUND(Table1[[#This Row],[fmpce]],0)</f>
        <v>3750</v>
      </c>
      <c r="W1247">
        <v>51.017493999999999</v>
      </c>
      <c r="X1247" s="4">
        <f>Table1[[#This Row],[mpce]]*89</f>
        <v>4540.5569660000001</v>
      </c>
      <c r="Y1247" s="2" t="s">
        <v>32</v>
      </c>
      <c r="Z1247" s="3">
        <f>VLOOKUP(Y1247, rmpce_reference!$B$1:$D$7,3,FALSE) * 89</f>
        <v>4450</v>
      </c>
      <c r="AA1247" s="1" t="str">
        <f>IF(Table1[rmpce_inr]&lt;=rmpce_reference!$F$2, "Low Income", IF(Table1[rmpce_inr]&lt;=rmpce_reference!$F$3, "Middle Income", "High Income"))</f>
        <v>Low Income</v>
      </c>
    </row>
    <row r="1248" spans="1:27" x14ac:dyDescent="0.25">
      <c r="A1248">
        <v>6185</v>
      </c>
      <c r="B1248" t="s">
        <v>44</v>
      </c>
      <c r="C1248" t="s">
        <v>36</v>
      </c>
      <c r="D1248">
        <v>59</v>
      </c>
      <c r="E1248" t="s">
        <v>22</v>
      </c>
      <c r="F1248" t="s">
        <v>23</v>
      </c>
      <c r="G1248">
        <v>20</v>
      </c>
      <c r="H1248" s="1" t="str">
        <f>IF(Table1[[#This Row],[anxiety_score]]&lt;=10, "Normal", IF(Table1[[#This Row],[anxiety_score]]&lt;=20, "Moderate", IF(Table1[[#This Row],[anxiety_score]]&lt;=30, "Severe", "Extremely Severe")))</f>
        <v>Moderate</v>
      </c>
      <c r="I1248">
        <v>0.99702360000000001</v>
      </c>
      <c r="J1248">
        <v>20</v>
      </c>
      <c r="K1248" s="1" t="str">
        <f>IF(Table1[[#This Row],[stress_score]]&lt;=10, "Normal", IF(Table1[[#This Row],[stress_score]]&lt;=20, "Moderate", IF(Table1[[#This Row],[stress_score]]&lt;=30, "Severe", "Extremely Severe")))</f>
        <v>Moderate</v>
      </c>
      <c r="L1248">
        <v>0.78414130000000004</v>
      </c>
      <c r="M1248">
        <v>22</v>
      </c>
      <c r="N1248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1248">
        <v>1.0101753</v>
      </c>
      <c r="P1248">
        <v>20.666665999999999</v>
      </c>
      <c r="Q1248">
        <f>ROUND(Table1[[#This Row],[dass21_raw_score]],0)</f>
        <v>21</v>
      </c>
      <c r="R1248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248">
        <v>0.93044674000000005</v>
      </c>
      <c r="T1248">
        <v>2.0253568</v>
      </c>
      <c r="U1248">
        <v>3333.3332999999998</v>
      </c>
      <c r="V1248" s="1">
        <f>ROUND(Table1[[#This Row],[fmpce]],0)</f>
        <v>3333</v>
      </c>
      <c r="W1248">
        <v>45.348880000000001</v>
      </c>
      <c r="X1248" s="4">
        <f>Table1[[#This Row],[mpce]]*89</f>
        <v>4036.0503200000003</v>
      </c>
      <c r="Y1248" s="2" t="s">
        <v>32</v>
      </c>
      <c r="Z1248" s="3">
        <f>VLOOKUP(Y1248, rmpce_reference!$B$1:$D$7,3,FALSE) * 89</f>
        <v>4450</v>
      </c>
      <c r="AA1248" s="1" t="str">
        <f>IF(Table1[rmpce_inr]&lt;=rmpce_reference!$F$2, "Low Income", IF(Table1[rmpce_inr]&lt;=rmpce_reference!$F$3, "Middle Income", "High Income"))</f>
        <v>Low Income</v>
      </c>
    </row>
    <row r="1249" spans="1:27" x14ac:dyDescent="0.25">
      <c r="A1249">
        <v>6186</v>
      </c>
      <c r="B1249" t="s">
        <v>44</v>
      </c>
      <c r="C1249" t="s">
        <v>36</v>
      </c>
      <c r="D1249">
        <v>58</v>
      </c>
      <c r="E1249" t="s">
        <v>22</v>
      </c>
      <c r="F1249" t="s">
        <v>23</v>
      </c>
      <c r="G1249">
        <v>20</v>
      </c>
      <c r="H1249" s="1" t="str">
        <f>IF(Table1[[#This Row],[anxiety_score]]&lt;=10, "Normal", IF(Table1[[#This Row],[anxiety_score]]&lt;=20, "Moderate", IF(Table1[[#This Row],[anxiety_score]]&lt;=30, "Severe", "Extremely Severe")))</f>
        <v>Moderate</v>
      </c>
      <c r="I1249">
        <v>0.99702360000000001</v>
      </c>
      <c r="J1249">
        <v>20</v>
      </c>
      <c r="K1249" s="1" t="str">
        <f>IF(Table1[[#This Row],[stress_score]]&lt;=10, "Normal", IF(Table1[[#This Row],[stress_score]]&lt;=20, "Moderate", IF(Table1[[#This Row],[stress_score]]&lt;=30, "Severe", "Extremely Severe")))</f>
        <v>Moderate</v>
      </c>
      <c r="L1249">
        <v>0.78414130000000004</v>
      </c>
      <c r="M1249">
        <v>24</v>
      </c>
      <c r="N1249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1249">
        <v>1.2028128</v>
      </c>
      <c r="P1249">
        <v>21.333334000000001</v>
      </c>
      <c r="Q1249">
        <f>ROUND(Table1[[#This Row],[dass21_raw_score]],0)</f>
        <v>21</v>
      </c>
      <c r="R1249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249">
        <v>0.99465924999999999</v>
      </c>
      <c r="T1249">
        <v>2.089569</v>
      </c>
      <c r="U1249">
        <v>4000</v>
      </c>
      <c r="V1249" s="1">
        <f>ROUND(Table1[[#This Row],[fmpce]],0)</f>
        <v>4000</v>
      </c>
      <c r="W1249">
        <v>54.418660000000003</v>
      </c>
      <c r="X1249" s="4">
        <f>Table1[[#This Row],[mpce]]*89</f>
        <v>4843.2607400000006</v>
      </c>
      <c r="Y1249" s="2" t="s">
        <v>32</v>
      </c>
      <c r="Z1249" s="3">
        <f>VLOOKUP(Y1249, rmpce_reference!$B$1:$D$7,3,FALSE) * 89</f>
        <v>4450</v>
      </c>
      <c r="AA1249" s="1" t="str">
        <f>IF(Table1[rmpce_inr]&lt;=rmpce_reference!$F$2, "Low Income", IF(Table1[rmpce_inr]&lt;=rmpce_reference!$F$3, "Middle Income", "High Income"))</f>
        <v>Low Income</v>
      </c>
    </row>
    <row r="1250" spans="1:27" x14ac:dyDescent="0.25">
      <c r="A1250">
        <v>6187</v>
      </c>
      <c r="B1250" t="s">
        <v>44</v>
      </c>
      <c r="C1250" t="s">
        <v>36</v>
      </c>
      <c r="D1250">
        <v>54</v>
      </c>
      <c r="E1250" t="s">
        <v>22</v>
      </c>
      <c r="F1250" t="s">
        <v>23</v>
      </c>
      <c r="G1250">
        <v>22</v>
      </c>
      <c r="H1250" s="1" t="str">
        <f>IF(Table1[[#This Row],[anxiety_score]]&lt;=10, "Normal", IF(Table1[[#This Row],[anxiety_score]]&lt;=20, "Moderate", IF(Table1[[#This Row],[anxiety_score]]&lt;=30, "Severe", "Extremely Severe")))</f>
        <v>Severe</v>
      </c>
      <c r="I1250">
        <v>1.1980683000000001</v>
      </c>
      <c r="J1250">
        <v>30</v>
      </c>
      <c r="K1250" s="1" t="str">
        <f>IF(Table1[[#This Row],[stress_score]]&lt;=10, "Normal", IF(Table1[[#This Row],[stress_score]]&lt;=20, "Moderate", IF(Table1[[#This Row],[stress_score]]&lt;=30, "Severe", "Extremely Severe")))</f>
        <v>Severe</v>
      </c>
      <c r="L1250">
        <v>1.7574476000000001</v>
      </c>
      <c r="M1250">
        <v>20</v>
      </c>
      <c r="N1250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1250">
        <v>0.81753799999999999</v>
      </c>
      <c r="P1250">
        <v>24</v>
      </c>
      <c r="Q1250">
        <f>ROUND(Table1[[#This Row],[dass21_raw_score]],0)</f>
        <v>24</v>
      </c>
      <c r="R1250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250">
        <v>1.2576845999999999</v>
      </c>
      <c r="T1250">
        <v>2.3525944000000001</v>
      </c>
      <c r="U1250">
        <v>3000</v>
      </c>
      <c r="V1250" s="1">
        <f>ROUND(Table1[[#This Row],[fmpce]],0)</f>
        <v>3000</v>
      </c>
      <c r="W1250">
        <v>40.813994999999998</v>
      </c>
      <c r="X1250" s="4">
        <f>Table1[[#This Row],[mpce]]*89</f>
        <v>3632.4455549999998</v>
      </c>
      <c r="Y1250" s="2" t="s">
        <v>32</v>
      </c>
      <c r="Z1250" s="3">
        <f>VLOOKUP(Y1250, rmpce_reference!$B$1:$D$7,3,FALSE) * 89</f>
        <v>4450</v>
      </c>
      <c r="AA1250" s="1" t="str">
        <f>IF(Table1[rmpce_inr]&lt;=rmpce_reference!$F$2, "Low Income", IF(Table1[rmpce_inr]&lt;=rmpce_reference!$F$3, "Middle Income", "High Income"))</f>
        <v>Low Income</v>
      </c>
    </row>
    <row r="1251" spans="1:27" x14ac:dyDescent="0.25">
      <c r="A1251">
        <v>6188</v>
      </c>
      <c r="B1251" t="s">
        <v>44</v>
      </c>
      <c r="C1251" t="s">
        <v>36</v>
      </c>
      <c r="D1251">
        <v>54</v>
      </c>
      <c r="E1251" t="s">
        <v>22</v>
      </c>
      <c r="F1251" t="s">
        <v>23</v>
      </c>
      <c r="G1251">
        <v>20</v>
      </c>
      <c r="H1251" s="1" t="str">
        <f>IF(Table1[[#This Row],[anxiety_score]]&lt;=10, "Normal", IF(Table1[[#This Row],[anxiety_score]]&lt;=20, "Moderate", IF(Table1[[#This Row],[anxiety_score]]&lt;=30, "Severe", "Extremely Severe")))</f>
        <v>Moderate</v>
      </c>
      <c r="I1251">
        <v>0.99702360000000001</v>
      </c>
      <c r="J1251">
        <v>26</v>
      </c>
      <c r="K1251" s="1" t="str">
        <f>IF(Table1[[#This Row],[stress_score]]&lt;=10, "Normal", IF(Table1[[#This Row],[stress_score]]&lt;=20, "Moderate", IF(Table1[[#This Row],[stress_score]]&lt;=30, "Severe", "Extremely Severe")))</f>
        <v>Severe</v>
      </c>
      <c r="L1251">
        <v>1.3681251000000001</v>
      </c>
      <c r="M1251">
        <v>26</v>
      </c>
      <c r="N1251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1251">
        <v>1.3954502</v>
      </c>
      <c r="P1251">
        <v>24</v>
      </c>
      <c r="Q1251">
        <f>ROUND(Table1[[#This Row],[dass21_raw_score]],0)</f>
        <v>24</v>
      </c>
      <c r="R1251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251">
        <v>1.253533</v>
      </c>
      <c r="T1251">
        <v>2.3484430000000001</v>
      </c>
      <c r="U1251">
        <v>5000</v>
      </c>
      <c r="V1251" s="1">
        <f>ROUND(Table1[[#This Row],[fmpce]],0)</f>
        <v>5000</v>
      </c>
      <c r="W1251">
        <v>68.023319999999998</v>
      </c>
      <c r="X1251" s="4">
        <f>Table1[[#This Row],[mpce]]*89</f>
        <v>6054.0754799999995</v>
      </c>
      <c r="Y1251" s="2" t="s">
        <v>28</v>
      </c>
      <c r="Z1251" s="3">
        <f>VLOOKUP(Y1251, rmpce_reference!$B$1:$D$7,3,FALSE) * 89</f>
        <v>6230</v>
      </c>
      <c r="AA1251" s="1" t="str">
        <f>IF(Table1[rmpce_inr]&lt;=rmpce_reference!$F$2, "Low Income", IF(Table1[rmpce_inr]&lt;=rmpce_reference!$F$3, "Middle Income", "High Income"))</f>
        <v>Middle Income</v>
      </c>
    </row>
    <row r="1252" spans="1:27" x14ac:dyDescent="0.25">
      <c r="A1252">
        <v>6189</v>
      </c>
      <c r="B1252" t="s">
        <v>44</v>
      </c>
      <c r="C1252" t="s">
        <v>36</v>
      </c>
      <c r="D1252">
        <v>56</v>
      </c>
      <c r="E1252" t="s">
        <v>22</v>
      </c>
      <c r="F1252" t="s">
        <v>23</v>
      </c>
      <c r="G1252">
        <v>24</v>
      </c>
      <c r="H1252" s="1" t="str">
        <f>IF(Table1[[#This Row],[anxiety_score]]&lt;=10, "Normal", IF(Table1[[#This Row],[anxiety_score]]&lt;=20, "Moderate", IF(Table1[[#This Row],[anxiety_score]]&lt;=30, "Severe", "Extremely Severe")))</f>
        <v>Severe</v>
      </c>
      <c r="I1252">
        <v>1.3991127999999999</v>
      </c>
      <c r="J1252">
        <v>24</v>
      </c>
      <c r="K1252" s="1" t="str">
        <f>IF(Table1[[#This Row],[stress_score]]&lt;=10, "Normal", IF(Table1[[#This Row],[stress_score]]&lt;=20, "Moderate", IF(Table1[[#This Row],[stress_score]]&lt;=30, "Severe", "Extremely Severe")))</f>
        <v>Severe</v>
      </c>
      <c r="L1252">
        <v>1.1734637999999999</v>
      </c>
      <c r="M1252">
        <v>24</v>
      </c>
      <c r="N1252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1252">
        <v>1.2028128</v>
      </c>
      <c r="P1252">
        <v>24</v>
      </c>
      <c r="Q1252">
        <f>ROUND(Table1[[#This Row],[dass21_raw_score]],0)</f>
        <v>24</v>
      </c>
      <c r="R1252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252">
        <v>1.2584630999999999</v>
      </c>
      <c r="T1252">
        <v>2.3533729999999999</v>
      </c>
      <c r="U1252">
        <v>4500</v>
      </c>
      <c r="V1252" s="1">
        <f>ROUND(Table1[[#This Row],[fmpce]],0)</f>
        <v>4500</v>
      </c>
      <c r="W1252">
        <v>61.220993</v>
      </c>
      <c r="X1252" s="4">
        <f>Table1[[#This Row],[mpce]]*89</f>
        <v>5448.668377</v>
      </c>
      <c r="Y1252" s="2" t="s">
        <v>28</v>
      </c>
      <c r="Z1252" s="3">
        <f>VLOOKUP(Y1252, rmpce_reference!$B$1:$D$7,3,FALSE) * 89</f>
        <v>6230</v>
      </c>
      <c r="AA1252" s="1" t="str">
        <f>IF(Table1[rmpce_inr]&lt;=rmpce_reference!$F$2, "Low Income", IF(Table1[rmpce_inr]&lt;=rmpce_reference!$F$3, "Middle Income", "High Income"))</f>
        <v>Middle Income</v>
      </c>
    </row>
    <row r="1253" spans="1:27" x14ac:dyDescent="0.25">
      <c r="A1253">
        <v>6190</v>
      </c>
      <c r="B1253" t="s">
        <v>44</v>
      </c>
      <c r="C1253" t="s">
        <v>36</v>
      </c>
      <c r="D1253">
        <v>55</v>
      </c>
      <c r="E1253" t="s">
        <v>22</v>
      </c>
      <c r="F1253" t="s">
        <v>23</v>
      </c>
      <c r="G1253">
        <v>22</v>
      </c>
      <c r="H1253" s="1" t="str">
        <f>IF(Table1[[#This Row],[anxiety_score]]&lt;=10, "Normal", IF(Table1[[#This Row],[anxiety_score]]&lt;=20, "Moderate", IF(Table1[[#This Row],[anxiety_score]]&lt;=30, "Severe", "Extremely Severe")))</f>
        <v>Severe</v>
      </c>
      <c r="I1253">
        <v>1.1980683000000001</v>
      </c>
      <c r="J1253">
        <v>22</v>
      </c>
      <c r="K1253" s="1" t="str">
        <f>IF(Table1[[#This Row],[stress_score]]&lt;=10, "Normal", IF(Table1[[#This Row],[stress_score]]&lt;=20, "Moderate", IF(Table1[[#This Row],[stress_score]]&lt;=30, "Severe", "Extremely Severe")))</f>
        <v>Severe</v>
      </c>
      <c r="L1253">
        <v>0.97880255999999999</v>
      </c>
      <c r="M1253">
        <v>22</v>
      </c>
      <c r="N1253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1253">
        <v>1.0101753</v>
      </c>
      <c r="P1253">
        <v>22</v>
      </c>
      <c r="Q1253">
        <f>ROUND(Table1[[#This Row],[dass21_raw_score]],0)</f>
        <v>22</v>
      </c>
      <c r="R1253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253">
        <v>1.0623487</v>
      </c>
      <c r="T1253">
        <v>2.1572585000000002</v>
      </c>
      <c r="U1253">
        <v>4000</v>
      </c>
      <c r="V1253" s="1">
        <f>ROUND(Table1[[#This Row],[fmpce]],0)</f>
        <v>4000</v>
      </c>
      <c r="W1253">
        <v>54.418660000000003</v>
      </c>
      <c r="X1253" s="4">
        <f>Table1[[#This Row],[mpce]]*89</f>
        <v>4843.2607400000006</v>
      </c>
      <c r="Y1253" s="2" t="s">
        <v>32</v>
      </c>
      <c r="Z1253" s="3">
        <f>VLOOKUP(Y1253, rmpce_reference!$B$1:$D$7,3,FALSE) * 89</f>
        <v>4450</v>
      </c>
      <c r="AA1253" s="1" t="str">
        <f>IF(Table1[rmpce_inr]&lt;=rmpce_reference!$F$2, "Low Income", IF(Table1[rmpce_inr]&lt;=rmpce_reference!$F$3, "Middle Income", "High Income"))</f>
        <v>Low Income</v>
      </c>
    </row>
    <row r="1254" spans="1:27" x14ac:dyDescent="0.25">
      <c r="A1254">
        <v>6191</v>
      </c>
      <c r="B1254" t="s">
        <v>44</v>
      </c>
      <c r="C1254" t="s">
        <v>36</v>
      </c>
      <c r="D1254">
        <v>53</v>
      </c>
      <c r="E1254" t="s">
        <v>22</v>
      </c>
      <c r="F1254" t="s">
        <v>30</v>
      </c>
      <c r="G1254">
        <v>24</v>
      </c>
      <c r="H1254" s="1" t="str">
        <f>IF(Table1[[#This Row],[anxiety_score]]&lt;=10, "Normal", IF(Table1[[#This Row],[anxiety_score]]&lt;=20, "Moderate", IF(Table1[[#This Row],[anxiety_score]]&lt;=30, "Severe", "Extremely Severe")))</f>
        <v>Severe</v>
      </c>
      <c r="I1254">
        <v>1.3991127999999999</v>
      </c>
      <c r="J1254">
        <v>24</v>
      </c>
      <c r="K1254" s="1" t="str">
        <f>IF(Table1[[#This Row],[stress_score]]&lt;=10, "Normal", IF(Table1[[#This Row],[stress_score]]&lt;=20, "Moderate", IF(Table1[[#This Row],[stress_score]]&lt;=30, "Severe", "Extremely Severe")))</f>
        <v>Severe</v>
      </c>
      <c r="L1254">
        <v>1.1734637999999999</v>
      </c>
      <c r="M1254">
        <v>24</v>
      </c>
      <c r="N1254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1254">
        <v>1.2028128</v>
      </c>
      <c r="P1254">
        <v>24</v>
      </c>
      <c r="Q1254">
        <f>ROUND(Table1[[#This Row],[dass21_raw_score]],0)</f>
        <v>24</v>
      </c>
      <c r="R1254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254">
        <v>1.2584630999999999</v>
      </c>
      <c r="T1254">
        <v>2.3533729999999999</v>
      </c>
      <c r="U1254">
        <v>3750</v>
      </c>
      <c r="V1254" s="1">
        <f>ROUND(Table1[[#This Row],[fmpce]],0)</f>
        <v>3750</v>
      </c>
      <c r="W1254">
        <v>51.017493999999999</v>
      </c>
      <c r="X1254" s="4">
        <f>Table1[[#This Row],[mpce]]*89</f>
        <v>4540.5569660000001</v>
      </c>
      <c r="Y1254" s="2" t="s">
        <v>32</v>
      </c>
      <c r="Z1254" s="3">
        <f>VLOOKUP(Y1254, rmpce_reference!$B$1:$D$7,3,FALSE) * 89</f>
        <v>4450</v>
      </c>
      <c r="AA1254" s="1" t="str">
        <f>IF(Table1[rmpce_inr]&lt;=rmpce_reference!$F$2, "Low Income", IF(Table1[rmpce_inr]&lt;=rmpce_reference!$F$3, "Middle Income", "High Income"))</f>
        <v>Low Income</v>
      </c>
    </row>
    <row r="1255" spans="1:27" x14ac:dyDescent="0.25">
      <c r="A1255">
        <v>6192</v>
      </c>
      <c r="B1255" t="s">
        <v>44</v>
      </c>
      <c r="C1255" t="s">
        <v>29</v>
      </c>
      <c r="D1255">
        <v>40</v>
      </c>
      <c r="E1255" t="s">
        <v>22</v>
      </c>
      <c r="F1255" t="s">
        <v>30</v>
      </c>
      <c r="G1255">
        <v>22</v>
      </c>
      <c r="H1255" s="1" t="str">
        <f>IF(Table1[[#This Row],[anxiety_score]]&lt;=10, "Normal", IF(Table1[[#This Row],[anxiety_score]]&lt;=20, "Moderate", IF(Table1[[#This Row],[anxiety_score]]&lt;=30, "Severe", "Extremely Severe")))</f>
        <v>Severe</v>
      </c>
      <c r="I1255">
        <v>1.1980683000000001</v>
      </c>
      <c r="J1255">
        <v>22</v>
      </c>
      <c r="K1255" s="1" t="str">
        <f>IF(Table1[[#This Row],[stress_score]]&lt;=10, "Normal", IF(Table1[[#This Row],[stress_score]]&lt;=20, "Moderate", IF(Table1[[#This Row],[stress_score]]&lt;=30, "Severe", "Extremely Severe")))</f>
        <v>Severe</v>
      </c>
      <c r="L1255">
        <v>0.97880255999999999</v>
      </c>
      <c r="M1255">
        <v>18</v>
      </c>
      <c r="N1255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1255">
        <v>0.62490060000000003</v>
      </c>
      <c r="P1255">
        <v>20.666665999999999</v>
      </c>
      <c r="Q1255">
        <f>ROUND(Table1[[#This Row],[dass21_raw_score]],0)</f>
        <v>21</v>
      </c>
      <c r="R1255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255">
        <v>0.93392379999999997</v>
      </c>
      <c r="T1255">
        <v>2.0288336</v>
      </c>
      <c r="U1255">
        <v>3333.3332999999998</v>
      </c>
      <c r="V1255" s="1">
        <f>ROUND(Table1[[#This Row],[fmpce]],0)</f>
        <v>3333</v>
      </c>
      <c r="W1255">
        <v>45.348880000000001</v>
      </c>
      <c r="X1255" s="4">
        <f>Table1[[#This Row],[mpce]]*89</f>
        <v>4036.0503200000003</v>
      </c>
      <c r="Y1255" s="2" t="s">
        <v>32</v>
      </c>
      <c r="Z1255" s="3">
        <f>VLOOKUP(Y1255, rmpce_reference!$B$1:$D$7,3,FALSE) * 89</f>
        <v>4450</v>
      </c>
      <c r="AA1255" s="1" t="str">
        <f>IF(Table1[rmpce_inr]&lt;=rmpce_reference!$F$2, "Low Income", IF(Table1[rmpce_inr]&lt;=rmpce_reference!$F$3, "Middle Income", "High Income"))</f>
        <v>Low Income</v>
      </c>
    </row>
    <row r="1256" spans="1:27" x14ac:dyDescent="0.25">
      <c r="A1256">
        <v>6193</v>
      </c>
      <c r="B1256" t="s">
        <v>44</v>
      </c>
      <c r="C1256" t="s">
        <v>36</v>
      </c>
      <c r="D1256">
        <v>53</v>
      </c>
      <c r="E1256" t="s">
        <v>25</v>
      </c>
      <c r="F1256" t="s">
        <v>26</v>
      </c>
      <c r="G1256">
        <v>20</v>
      </c>
      <c r="H1256" s="1" t="str">
        <f>IF(Table1[[#This Row],[anxiety_score]]&lt;=10, "Normal", IF(Table1[[#This Row],[anxiety_score]]&lt;=20, "Moderate", IF(Table1[[#This Row],[anxiety_score]]&lt;=30, "Severe", "Extremely Severe")))</f>
        <v>Moderate</v>
      </c>
      <c r="I1256">
        <v>0.99702360000000001</v>
      </c>
      <c r="J1256">
        <v>18</v>
      </c>
      <c r="K1256" s="1" t="str">
        <f>IF(Table1[[#This Row],[stress_score]]&lt;=10, "Normal", IF(Table1[[#This Row],[stress_score]]&lt;=20, "Moderate", IF(Table1[[#This Row],[stress_score]]&lt;=30, "Severe", "Extremely Severe")))</f>
        <v>Moderate</v>
      </c>
      <c r="L1256">
        <v>0.58948003999999998</v>
      </c>
      <c r="M1256">
        <v>22</v>
      </c>
      <c r="N1256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1256">
        <v>1.0101753</v>
      </c>
      <c r="P1256">
        <v>20</v>
      </c>
      <c r="Q1256">
        <f>ROUND(Table1[[#This Row],[dass21_raw_score]],0)</f>
        <v>20</v>
      </c>
      <c r="R1256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1256">
        <v>0.86555963999999996</v>
      </c>
      <c r="T1256">
        <v>1.9604695000000001</v>
      </c>
      <c r="U1256">
        <v>1666.6666</v>
      </c>
      <c r="V1256" s="1">
        <f>ROUND(Table1[[#This Row],[fmpce]],0)</f>
        <v>1667</v>
      </c>
      <c r="W1256">
        <v>22.674440000000001</v>
      </c>
      <c r="X1256" s="4">
        <f>Table1[[#This Row],[mpce]]*89</f>
        <v>2018.0251600000001</v>
      </c>
      <c r="Y1256" s="2" t="s">
        <v>24</v>
      </c>
      <c r="Z1256" s="3">
        <f>VLOOKUP(Y1256, rmpce_reference!$B$1:$D$7,3,FALSE) * 89</f>
        <v>2225</v>
      </c>
      <c r="AA1256" s="1" t="str">
        <f>IF(Table1[rmpce_inr]&lt;=rmpce_reference!$F$2, "Low Income", IF(Table1[rmpce_inr]&lt;=rmpce_reference!$F$3, "Middle Income", "High Income"))</f>
        <v>Low Income</v>
      </c>
    </row>
    <row r="1257" spans="1:27" x14ac:dyDescent="0.25">
      <c r="A1257">
        <v>6194</v>
      </c>
      <c r="B1257" t="s">
        <v>44</v>
      </c>
      <c r="C1257" t="s">
        <v>36</v>
      </c>
      <c r="D1257">
        <v>59</v>
      </c>
      <c r="E1257" t="s">
        <v>25</v>
      </c>
      <c r="F1257" t="s">
        <v>26</v>
      </c>
      <c r="G1257">
        <v>18</v>
      </c>
      <c r="H1257" s="1" t="str">
        <f>IF(Table1[[#This Row],[anxiety_score]]&lt;=10, "Normal", IF(Table1[[#This Row],[anxiety_score]]&lt;=20, "Moderate", IF(Table1[[#This Row],[anxiety_score]]&lt;=30, "Severe", "Extremely Severe")))</f>
        <v>Moderate</v>
      </c>
      <c r="I1257">
        <v>0.79597896000000001</v>
      </c>
      <c r="J1257">
        <v>22</v>
      </c>
      <c r="K1257" s="1" t="str">
        <f>IF(Table1[[#This Row],[stress_score]]&lt;=10, "Normal", IF(Table1[[#This Row],[stress_score]]&lt;=20, "Moderate", IF(Table1[[#This Row],[stress_score]]&lt;=30, "Severe", "Extremely Severe")))</f>
        <v>Severe</v>
      </c>
      <c r="L1257">
        <v>0.97880255999999999</v>
      </c>
      <c r="M1257">
        <v>20</v>
      </c>
      <c r="N1257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1257">
        <v>0.81753799999999999</v>
      </c>
      <c r="P1257">
        <v>20</v>
      </c>
      <c r="Q1257">
        <f>ROUND(Table1[[#This Row],[dass21_raw_score]],0)</f>
        <v>20</v>
      </c>
      <c r="R1257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1257">
        <v>0.86410653999999998</v>
      </c>
      <c r="T1257">
        <v>1.9590164000000001</v>
      </c>
      <c r="U1257">
        <v>3333.3332999999998</v>
      </c>
      <c r="V1257" s="1">
        <f>ROUND(Table1[[#This Row],[fmpce]],0)</f>
        <v>3333</v>
      </c>
      <c r="W1257">
        <v>45.348880000000001</v>
      </c>
      <c r="X1257" s="4">
        <f>Table1[[#This Row],[mpce]]*89</f>
        <v>4036.0503200000003</v>
      </c>
      <c r="Y1257" s="2" t="s">
        <v>32</v>
      </c>
      <c r="Z1257" s="3">
        <f>VLOOKUP(Y1257, rmpce_reference!$B$1:$D$7,3,FALSE) * 89</f>
        <v>4450</v>
      </c>
      <c r="AA1257" s="1" t="str">
        <f>IF(Table1[rmpce_inr]&lt;=rmpce_reference!$F$2, "Low Income", IF(Table1[rmpce_inr]&lt;=rmpce_reference!$F$3, "Middle Income", "High Income"))</f>
        <v>Low Income</v>
      </c>
    </row>
    <row r="1258" spans="1:27" x14ac:dyDescent="0.25">
      <c r="A1258">
        <v>6195</v>
      </c>
      <c r="B1258" t="s">
        <v>44</v>
      </c>
      <c r="C1258" t="s">
        <v>21</v>
      </c>
      <c r="D1258">
        <v>41</v>
      </c>
      <c r="E1258" t="s">
        <v>25</v>
      </c>
      <c r="F1258" t="s">
        <v>26</v>
      </c>
      <c r="G1258">
        <v>24</v>
      </c>
      <c r="H1258" s="1" t="str">
        <f>IF(Table1[[#This Row],[anxiety_score]]&lt;=10, "Normal", IF(Table1[[#This Row],[anxiety_score]]&lt;=20, "Moderate", IF(Table1[[#This Row],[anxiety_score]]&lt;=30, "Severe", "Extremely Severe")))</f>
        <v>Severe</v>
      </c>
      <c r="I1258">
        <v>1.3991127999999999</v>
      </c>
      <c r="J1258">
        <v>18</v>
      </c>
      <c r="K1258" s="1" t="str">
        <f>IF(Table1[[#This Row],[stress_score]]&lt;=10, "Normal", IF(Table1[[#This Row],[stress_score]]&lt;=20, "Moderate", IF(Table1[[#This Row],[stress_score]]&lt;=30, "Severe", "Extremely Severe")))</f>
        <v>Moderate</v>
      </c>
      <c r="L1258">
        <v>0.58948003999999998</v>
      </c>
      <c r="M1258">
        <v>20</v>
      </c>
      <c r="N1258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1258">
        <v>0.81753799999999999</v>
      </c>
      <c r="P1258">
        <v>20.666665999999999</v>
      </c>
      <c r="Q1258">
        <f>ROUND(Table1[[#This Row],[dass21_raw_score]],0)</f>
        <v>21</v>
      </c>
      <c r="R1258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258">
        <v>0.93537694000000005</v>
      </c>
      <c r="T1258">
        <v>2.0302867999999998</v>
      </c>
      <c r="U1258">
        <v>3750</v>
      </c>
      <c r="V1258" s="1">
        <f>ROUND(Table1[[#This Row],[fmpce]],0)</f>
        <v>3750</v>
      </c>
      <c r="W1258">
        <v>51.017493999999999</v>
      </c>
      <c r="X1258" s="4">
        <f>Table1[[#This Row],[mpce]]*89</f>
        <v>4540.5569660000001</v>
      </c>
      <c r="Y1258" s="2" t="s">
        <v>32</v>
      </c>
      <c r="Z1258" s="3">
        <f>VLOOKUP(Y1258, rmpce_reference!$B$1:$D$7,3,FALSE) * 89</f>
        <v>4450</v>
      </c>
      <c r="AA1258" s="1" t="str">
        <f>IF(Table1[rmpce_inr]&lt;=rmpce_reference!$F$2, "Low Income", IF(Table1[rmpce_inr]&lt;=rmpce_reference!$F$3, "Middle Income", "High Income"))</f>
        <v>Low Income</v>
      </c>
    </row>
    <row r="1259" spans="1:27" x14ac:dyDescent="0.25">
      <c r="A1259">
        <v>6196</v>
      </c>
      <c r="B1259" t="s">
        <v>44</v>
      </c>
      <c r="C1259" t="s">
        <v>33</v>
      </c>
      <c r="D1259">
        <v>25</v>
      </c>
      <c r="E1259" t="s">
        <v>22</v>
      </c>
      <c r="F1259" t="s">
        <v>30</v>
      </c>
      <c r="G1259">
        <v>8</v>
      </c>
      <c r="H1259" s="1" t="str">
        <f>IF(Table1[[#This Row],[anxiety_score]]&lt;=10, "Normal", IF(Table1[[#This Row],[anxiety_score]]&lt;=20, "Moderate", IF(Table1[[#This Row],[anxiety_score]]&lt;=30, "Severe", "Extremely Severe")))</f>
        <v>Normal</v>
      </c>
      <c r="I1259">
        <v>-0.20924408999999999</v>
      </c>
      <c r="J1259">
        <v>14</v>
      </c>
      <c r="K1259" s="1" t="str">
        <f>IF(Table1[[#This Row],[stress_score]]&lt;=10, "Normal", IF(Table1[[#This Row],[stress_score]]&lt;=20, "Moderate", IF(Table1[[#This Row],[stress_score]]&lt;=30, "Severe", "Extremely Severe")))</f>
        <v>Moderate</v>
      </c>
      <c r="L1259">
        <v>0.20015757000000001</v>
      </c>
      <c r="M1259">
        <v>14</v>
      </c>
      <c r="N1259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1259">
        <v>0.23962580999999999</v>
      </c>
      <c r="P1259">
        <v>12</v>
      </c>
      <c r="Q1259">
        <f>ROUND(Table1[[#This Row],[dass21_raw_score]],0)</f>
        <v>12</v>
      </c>
      <c r="R1259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1259">
        <v>7.6846429999999993E-2</v>
      </c>
      <c r="T1259">
        <v>1.1717564</v>
      </c>
      <c r="U1259">
        <v>3750</v>
      </c>
      <c r="V1259" s="1">
        <f>ROUND(Table1[[#This Row],[fmpce]],0)</f>
        <v>3750</v>
      </c>
      <c r="W1259">
        <v>51.017493999999999</v>
      </c>
      <c r="X1259" s="4">
        <f>Table1[[#This Row],[mpce]]*89</f>
        <v>4540.5569660000001</v>
      </c>
      <c r="Y1259" s="2" t="s">
        <v>32</v>
      </c>
      <c r="Z1259" s="3">
        <f>VLOOKUP(Y1259, rmpce_reference!$B$1:$D$7,3,FALSE) * 89</f>
        <v>4450</v>
      </c>
      <c r="AA1259" s="1" t="str">
        <f>IF(Table1[rmpce_inr]&lt;=rmpce_reference!$F$2, "Low Income", IF(Table1[rmpce_inr]&lt;=rmpce_reference!$F$3, "Middle Income", "High Income"))</f>
        <v>Low Income</v>
      </c>
    </row>
    <row r="1260" spans="1:27" x14ac:dyDescent="0.25">
      <c r="A1260">
        <v>6197</v>
      </c>
      <c r="B1260" t="s">
        <v>44</v>
      </c>
      <c r="C1260" t="s">
        <v>21</v>
      </c>
      <c r="D1260">
        <v>45</v>
      </c>
      <c r="E1260" t="s">
        <v>22</v>
      </c>
      <c r="F1260" t="s">
        <v>23</v>
      </c>
      <c r="G1260">
        <v>20</v>
      </c>
      <c r="H1260" s="1" t="str">
        <f>IF(Table1[[#This Row],[anxiety_score]]&lt;=10, "Normal", IF(Table1[[#This Row],[anxiety_score]]&lt;=20, "Moderate", IF(Table1[[#This Row],[anxiety_score]]&lt;=30, "Severe", "Extremely Severe")))</f>
        <v>Moderate</v>
      </c>
      <c r="I1260">
        <v>0.99702360000000001</v>
      </c>
      <c r="J1260">
        <v>20</v>
      </c>
      <c r="K1260" s="1" t="str">
        <f>IF(Table1[[#This Row],[stress_score]]&lt;=10, "Normal", IF(Table1[[#This Row],[stress_score]]&lt;=20, "Moderate", IF(Table1[[#This Row],[stress_score]]&lt;=30, "Severe", "Extremely Severe")))</f>
        <v>Moderate</v>
      </c>
      <c r="L1260">
        <v>0.78414130000000004</v>
      </c>
      <c r="M1260">
        <v>16</v>
      </c>
      <c r="N1260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1260">
        <v>0.43226320000000001</v>
      </c>
      <c r="P1260">
        <v>18.666665999999999</v>
      </c>
      <c r="Q1260">
        <f>ROUND(Table1[[#This Row],[dass21_raw_score]],0)</f>
        <v>19</v>
      </c>
      <c r="R1260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1260">
        <v>0.73780935999999997</v>
      </c>
      <c r="T1260">
        <v>1.8327192999999999</v>
      </c>
      <c r="U1260">
        <v>3750</v>
      </c>
      <c r="V1260" s="1">
        <f>ROUND(Table1[[#This Row],[fmpce]],0)</f>
        <v>3750</v>
      </c>
      <c r="W1260">
        <v>51.017493999999999</v>
      </c>
      <c r="X1260" s="4">
        <f>Table1[[#This Row],[mpce]]*89</f>
        <v>4540.5569660000001</v>
      </c>
      <c r="Y1260" s="2" t="s">
        <v>32</v>
      </c>
      <c r="Z1260" s="3">
        <f>VLOOKUP(Y1260, rmpce_reference!$B$1:$D$7,3,FALSE) * 89</f>
        <v>4450</v>
      </c>
      <c r="AA1260" s="1" t="str">
        <f>IF(Table1[rmpce_inr]&lt;=rmpce_reference!$F$2, "Low Income", IF(Table1[rmpce_inr]&lt;=rmpce_reference!$F$3, "Middle Income", "High Income"))</f>
        <v>Low Income</v>
      </c>
    </row>
    <row r="1261" spans="1:27" x14ac:dyDescent="0.25">
      <c r="A1261">
        <v>6198</v>
      </c>
      <c r="B1261" t="s">
        <v>44</v>
      </c>
      <c r="C1261" t="s">
        <v>21</v>
      </c>
      <c r="D1261">
        <v>50</v>
      </c>
      <c r="E1261" t="s">
        <v>22</v>
      </c>
      <c r="F1261" t="s">
        <v>30</v>
      </c>
      <c r="G1261">
        <v>24</v>
      </c>
      <c r="H1261" s="1" t="str">
        <f>IF(Table1[[#This Row],[anxiety_score]]&lt;=10, "Normal", IF(Table1[[#This Row],[anxiety_score]]&lt;=20, "Moderate", IF(Table1[[#This Row],[anxiety_score]]&lt;=30, "Severe", "Extremely Severe")))</f>
        <v>Severe</v>
      </c>
      <c r="I1261">
        <v>1.3991127999999999</v>
      </c>
      <c r="J1261">
        <v>16</v>
      </c>
      <c r="K1261" s="1" t="str">
        <f>IF(Table1[[#This Row],[stress_score]]&lt;=10, "Normal", IF(Table1[[#This Row],[stress_score]]&lt;=20, "Moderate", IF(Table1[[#This Row],[stress_score]]&lt;=30, "Severe", "Extremely Severe")))</f>
        <v>Moderate</v>
      </c>
      <c r="L1261">
        <v>0.39481880000000003</v>
      </c>
      <c r="M1261">
        <v>22</v>
      </c>
      <c r="N1261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1261">
        <v>1.0101753</v>
      </c>
      <c r="P1261">
        <v>20.666665999999999</v>
      </c>
      <c r="Q1261">
        <f>ROUND(Table1[[#This Row],[dass21_raw_score]],0)</f>
        <v>21</v>
      </c>
      <c r="R1261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261">
        <v>0.93470233999999996</v>
      </c>
      <c r="T1261">
        <v>2.0296123000000001</v>
      </c>
      <c r="U1261">
        <v>3750</v>
      </c>
      <c r="V1261" s="1">
        <f>ROUND(Table1[[#This Row],[fmpce]],0)</f>
        <v>3750</v>
      </c>
      <c r="W1261">
        <v>51.017493999999999</v>
      </c>
      <c r="X1261" s="4">
        <f>Table1[[#This Row],[mpce]]*89</f>
        <v>4540.5569660000001</v>
      </c>
      <c r="Y1261" s="2" t="s">
        <v>32</v>
      </c>
      <c r="Z1261" s="3">
        <f>VLOOKUP(Y1261, rmpce_reference!$B$1:$D$7,3,FALSE) * 89</f>
        <v>4450</v>
      </c>
      <c r="AA1261" s="1" t="str">
        <f>IF(Table1[rmpce_inr]&lt;=rmpce_reference!$F$2, "Low Income", IF(Table1[rmpce_inr]&lt;=rmpce_reference!$F$3, "Middle Income", "High Income"))</f>
        <v>Low Income</v>
      </c>
    </row>
    <row r="1262" spans="1:27" x14ac:dyDescent="0.25">
      <c r="A1262">
        <v>6199</v>
      </c>
      <c r="B1262" t="s">
        <v>44</v>
      </c>
      <c r="C1262" t="s">
        <v>21</v>
      </c>
      <c r="D1262">
        <v>50</v>
      </c>
      <c r="E1262" t="s">
        <v>22</v>
      </c>
      <c r="F1262" t="s">
        <v>30</v>
      </c>
      <c r="G1262">
        <v>16</v>
      </c>
      <c r="H1262" s="1" t="str">
        <f>IF(Table1[[#This Row],[anxiety_score]]&lt;=10, "Normal", IF(Table1[[#This Row],[anxiety_score]]&lt;=20, "Moderate", IF(Table1[[#This Row],[anxiety_score]]&lt;=30, "Severe", "Extremely Severe")))</f>
        <v>Moderate</v>
      </c>
      <c r="I1262">
        <v>0.59493434000000001</v>
      </c>
      <c r="J1262">
        <v>20</v>
      </c>
      <c r="K1262" s="1" t="str">
        <f>IF(Table1[[#This Row],[stress_score]]&lt;=10, "Normal", IF(Table1[[#This Row],[stress_score]]&lt;=20, "Moderate", IF(Table1[[#This Row],[stress_score]]&lt;=30, "Severe", "Extremely Severe")))</f>
        <v>Moderate</v>
      </c>
      <c r="L1262">
        <v>0.78414130000000004</v>
      </c>
      <c r="M1262">
        <v>18</v>
      </c>
      <c r="N1262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1262">
        <v>0.62490060000000003</v>
      </c>
      <c r="P1262">
        <v>18</v>
      </c>
      <c r="Q1262">
        <f>ROUND(Table1[[#This Row],[dass21_raw_score]],0)</f>
        <v>18</v>
      </c>
      <c r="R1262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1262">
        <v>0.66799206</v>
      </c>
      <c r="T1262">
        <v>1.762902</v>
      </c>
      <c r="U1262">
        <v>5000</v>
      </c>
      <c r="V1262" s="1">
        <f>ROUND(Table1[[#This Row],[fmpce]],0)</f>
        <v>5000</v>
      </c>
      <c r="W1262">
        <v>68.023319999999998</v>
      </c>
      <c r="X1262" s="4">
        <f>Table1[[#This Row],[mpce]]*89</f>
        <v>6054.0754799999995</v>
      </c>
      <c r="Y1262" s="2" t="s">
        <v>28</v>
      </c>
      <c r="Z1262" s="3">
        <f>VLOOKUP(Y1262, rmpce_reference!$B$1:$D$7,3,FALSE) * 89</f>
        <v>6230</v>
      </c>
      <c r="AA1262" s="1" t="str">
        <f>IF(Table1[rmpce_inr]&lt;=rmpce_reference!$F$2, "Low Income", IF(Table1[rmpce_inr]&lt;=rmpce_reference!$F$3, "Middle Income", "High Income"))</f>
        <v>Middle Income</v>
      </c>
    </row>
    <row r="1263" spans="1:27" x14ac:dyDescent="0.25">
      <c r="A1263">
        <v>6200</v>
      </c>
      <c r="B1263" t="s">
        <v>44</v>
      </c>
      <c r="C1263" t="s">
        <v>29</v>
      </c>
      <c r="D1263">
        <v>31</v>
      </c>
      <c r="E1263" t="s">
        <v>22</v>
      </c>
      <c r="F1263" t="s">
        <v>30</v>
      </c>
      <c r="G1263">
        <v>22</v>
      </c>
      <c r="H1263" s="1" t="str">
        <f>IF(Table1[[#This Row],[anxiety_score]]&lt;=10, "Normal", IF(Table1[[#This Row],[anxiety_score]]&lt;=20, "Moderate", IF(Table1[[#This Row],[anxiety_score]]&lt;=30, "Severe", "Extremely Severe")))</f>
        <v>Severe</v>
      </c>
      <c r="I1263">
        <v>1.1980683000000001</v>
      </c>
      <c r="J1263">
        <v>18</v>
      </c>
      <c r="K1263" s="1" t="str">
        <f>IF(Table1[[#This Row],[stress_score]]&lt;=10, "Normal", IF(Table1[[#This Row],[stress_score]]&lt;=20, "Moderate", IF(Table1[[#This Row],[stress_score]]&lt;=30, "Severe", "Extremely Severe")))</f>
        <v>Moderate</v>
      </c>
      <c r="L1263">
        <v>0.58948003999999998</v>
      </c>
      <c r="M1263">
        <v>22</v>
      </c>
      <c r="N1263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1263">
        <v>1.0101753</v>
      </c>
      <c r="P1263">
        <v>20.666665999999999</v>
      </c>
      <c r="Q1263">
        <f>ROUND(Table1[[#This Row],[dass21_raw_score]],0)</f>
        <v>21</v>
      </c>
      <c r="R1263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263">
        <v>0.93257456999999999</v>
      </c>
      <c r="T1263">
        <v>2.0274844000000001</v>
      </c>
      <c r="U1263">
        <v>5000</v>
      </c>
      <c r="V1263" s="1">
        <f>ROUND(Table1[[#This Row],[fmpce]],0)</f>
        <v>5000</v>
      </c>
      <c r="W1263">
        <v>68.023319999999998</v>
      </c>
      <c r="X1263" s="4">
        <f>Table1[[#This Row],[mpce]]*89</f>
        <v>6054.0754799999995</v>
      </c>
      <c r="Y1263" s="2" t="s">
        <v>28</v>
      </c>
      <c r="Z1263" s="3">
        <f>VLOOKUP(Y1263, rmpce_reference!$B$1:$D$7,3,FALSE) * 89</f>
        <v>6230</v>
      </c>
      <c r="AA1263" s="1" t="str">
        <f>IF(Table1[rmpce_inr]&lt;=rmpce_reference!$F$2, "Low Income", IF(Table1[rmpce_inr]&lt;=rmpce_reference!$F$3, "Middle Income", "High Income"))</f>
        <v>Middle Income</v>
      </c>
    </row>
    <row r="1264" spans="1:27" x14ac:dyDescent="0.25">
      <c r="A1264">
        <v>6201</v>
      </c>
      <c r="B1264" t="s">
        <v>44</v>
      </c>
      <c r="C1264" t="s">
        <v>21</v>
      </c>
      <c r="D1264">
        <v>50</v>
      </c>
      <c r="E1264" t="s">
        <v>25</v>
      </c>
      <c r="F1264" t="s">
        <v>26</v>
      </c>
      <c r="G1264">
        <v>22</v>
      </c>
      <c r="H1264" s="1" t="str">
        <f>IF(Table1[[#This Row],[anxiety_score]]&lt;=10, "Normal", IF(Table1[[#This Row],[anxiety_score]]&lt;=20, "Moderate", IF(Table1[[#This Row],[anxiety_score]]&lt;=30, "Severe", "Extremely Severe")))</f>
        <v>Severe</v>
      </c>
      <c r="I1264">
        <v>1.1980683000000001</v>
      </c>
      <c r="J1264">
        <v>18</v>
      </c>
      <c r="K1264" s="1" t="str">
        <f>IF(Table1[[#This Row],[stress_score]]&lt;=10, "Normal", IF(Table1[[#This Row],[stress_score]]&lt;=20, "Moderate", IF(Table1[[#This Row],[stress_score]]&lt;=30, "Severe", "Extremely Severe")))</f>
        <v>Moderate</v>
      </c>
      <c r="L1264">
        <v>0.58948003999999998</v>
      </c>
      <c r="M1264">
        <v>24</v>
      </c>
      <c r="N1264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1264">
        <v>1.2028128</v>
      </c>
      <c r="P1264">
        <v>21.333334000000001</v>
      </c>
      <c r="Q1264">
        <f>ROUND(Table1[[#This Row],[dass21_raw_score]],0)</f>
        <v>21</v>
      </c>
      <c r="R1264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264">
        <v>0.99678699999999998</v>
      </c>
      <c r="T1264">
        <v>2.0916969999999999</v>
      </c>
      <c r="U1264">
        <v>3000</v>
      </c>
      <c r="V1264" s="1">
        <f>ROUND(Table1[[#This Row],[fmpce]],0)</f>
        <v>3000</v>
      </c>
      <c r="W1264">
        <v>40.813994999999998</v>
      </c>
      <c r="X1264" s="4">
        <f>Table1[[#This Row],[mpce]]*89</f>
        <v>3632.4455549999998</v>
      </c>
      <c r="Y1264" s="2" t="s">
        <v>32</v>
      </c>
      <c r="Z1264" s="3">
        <f>VLOOKUP(Y1264, rmpce_reference!$B$1:$D$7,3,FALSE) * 89</f>
        <v>4450</v>
      </c>
      <c r="AA1264" s="1" t="str">
        <f>IF(Table1[rmpce_inr]&lt;=rmpce_reference!$F$2, "Low Income", IF(Table1[rmpce_inr]&lt;=rmpce_reference!$F$3, "Middle Income", "High Income"))</f>
        <v>Low Income</v>
      </c>
    </row>
    <row r="1265" spans="1:27" x14ac:dyDescent="0.25">
      <c r="A1265">
        <v>6202</v>
      </c>
      <c r="B1265" t="s">
        <v>44</v>
      </c>
      <c r="C1265" t="s">
        <v>36</v>
      </c>
      <c r="D1265">
        <v>56</v>
      </c>
      <c r="E1265" t="s">
        <v>25</v>
      </c>
      <c r="F1265" t="s">
        <v>26</v>
      </c>
      <c r="G1265">
        <v>6</v>
      </c>
      <c r="H1265" s="1" t="str">
        <f>IF(Table1[[#This Row],[anxiety_score]]&lt;=10, "Normal", IF(Table1[[#This Row],[anxiety_score]]&lt;=20, "Moderate", IF(Table1[[#This Row],[anxiety_score]]&lt;=30, "Severe", "Extremely Severe")))</f>
        <v>Normal</v>
      </c>
      <c r="I1265">
        <v>-0.41028870000000001</v>
      </c>
      <c r="J1265">
        <v>6</v>
      </c>
      <c r="K1265" s="1" t="str">
        <f>IF(Table1[[#This Row],[stress_score]]&lt;=10, "Normal", IF(Table1[[#This Row],[stress_score]]&lt;=20, "Moderate", IF(Table1[[#This Row],[stress_score]]&lt;=30, "Severe", "Extremely Severe")))</f>
        <v>Normal</v>
      </c>
      <c r="L1265">
        <v>-0.57848745999999995</v>
      </c>
      <c r="M1265">
        <v>6</v>
      </c>
      <c r="N1265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265">
        <v>-0.53092379999999995</v>
      </c>
      <c r="P1265">
        <v>6</v>
      </c>
      <c r="Q1265">
        <f>ROUND(Table1[[#This Row],[dass21_raw_score]],0)</f>
        <v>6</v>
      </c>
      <c r="R1265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265">
        <v>-0.50656663999999996</v>
      </c>
      <c r="T1265">
        <v>0.58834326000000003</v>
      </c>
      <c r="U1265">
        <v>3750</v>
      </c>
      <c r="V1265" s="1">
        <f>ROUND(Table1[[#This Row],[fmpce]],0)</f>
        <v>3750</v>
      </c>
      <c r="W1265">
        <v>51.017493999999999</v>
      </c>
      <c r="X1265" s="4">
        <f>Table1[[#This Row],[mpce]]*89</f>
        <v>4540.5569660000001</v>
      </c>
      <c r="Y1265" s="2" t="s">
        <v>32</v>
      </c>
      <c r="Z1265" s="3">
        <f>VLOOKUP(Y1265, rmpce_reference!$B$1:$D$7,3,FALSE) * 89</f>
        <v>4450</v>
      </c>
      <c r="AA1265" s="1" t="str">
        <f>IF(Table1[rmpce_inr]&lt;=rmpce_reference!$F$2, "Low Income", IF(Table1[rmpce_inr]&lt;=rmpce_reference!$F$3, "Middle Income", "High Income"))</f>
        <v>Low Income</v>
      </c>
    </row>
    <row r="1266" spans="1:27" x14ac:dyDescent="0.25">
      <c r="A1266">
        <v>6203</v>
      </c>
      <c r="B1266" t="s">
        <v>44</v>
      </c>
      <c r="C1266" t="s">
        <v>36</v>
      </c>
      <c r="D1266">
        <v>51</v>
      </c>
      <c r="E1266" t="s">
        <v>25</v>
      </c>
      <c r="F1266" t="s">
        <v>26</v>
      </c>
      <c r="G1266">
        <v>12</v>
      </c>
      <c r="H1266" s="1" t="str">
        <f>IF(Table1[[#This Row],[anxiety_score]]&lt;=10, "Normal", IF(Table1[[#This Row],[anxiety_score]]&lt;=20, "Moderate", IF(Table1[[#This Row],[anxiety_score]]&lt;=30, "Severe", "Extremely Severe")))</f>
        <v>Moderate</v>
      </c>
      <c r="I1266">
        <v>0.19284514999999999</v>
      </c>
      <c r="J1266">
        <v>2</v>
      </c>
      <c r="K1266" s="1" t="str">
        <f>IF(Table1[[#This Row],[stress_score]]&lt;=10, "Normal", IF(Table1[[#This Row],[stress_score]]&lt;=20, "Moderate", IF(Table1[[#This Row],[stress_score]]&lt;=30, "Severe", "Extremely Severe")))</f>
        <v>Normal</v>
      </c>
      <c r="L1266">
        <v>-0.9678099</v>
      </c>
      <c r="M1266">
        <v>8</v>
      </c>
      <c r="N1266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266">
        <v>-0.33828637</v>
      </c>
      <c r="P1266">
        <v>7.3333335000000002</v>
      </c>
      <c r="Q1266">
        <f>ROUND(Table1[[#This Row],[dass21_raw_score]],0)</f>
        <v>7</v>
      </c>
      <c r="R1266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266">
        <v>-0.37108370000000002</v>
      </c>
      <c r="T1266">
        <v>0.72382617000000005</v>
      </c>
      <c r="U1266">
        <v>2333.3332999999998</v>
      </c>
      <c r="V1266" s="1">
        <f>ROUND(Table1[[#This Row],[fmpce]],0)</f>
        <v>2333</v>
      </c>
      <c r="W1266">
        <v>31.744216999999999</v>
      </c>
      <c r="X1266" s="4">
        <f>Table1[[#This Row],[mpce]]*89</f>
        <v>2825.2353130000001</v>
      </c>
      <c r="Y1266" s="2" t="s">
        <v>34</v>
      </c>
      <c r="Z1266" s="3">
        <f>VLOOKUP(Y1266, rmpce_reference!$B$1:$D$7,3,FALSE) * 89</f>
        <v>2848</v>
      </c>
      <c r="AA1266" s="1" t="str">
        <f>IF(Table1[rmpce_inr]&lt;=rmpce_reference!$F$2, "Low Income", IF(Table1[rmpce_inr]&lt;=rmpce_reference!$F$3, "Middle Income", "High Income"))</f>
        <v>Low Income</v>
      </c>
    </row>
    <row r="1267" spans="1:27" x14ac:dyDescent="0.25">
      <c r="A1267">
        <v>6204</v>
      </c>
      <c r="B1267" t="s">
        <v>44</v>
      </c>
      <c r="C1267" t="s">
        <v>36</v>
      </c>
      <c r="D1267">
        <v>55</v>
      </c>
      <c r="E1267" t="s">
        <v>25</v>
      </c>
      <c r="F1267" t="s">
        <v>26</v>
      </c>
      <c r="G1267">
        <v>10</v>
      </c>
      <c r="H1267" s="1" t="str">
        <f>IF(Table1[[#This Row],[anxiety_score]]&lt;=10, "Normal", IF(Table1[[#This Row],[anxiety_score]]&lt;=20, "Moderate", IF(Table1[[#This Row],[anxiety_score]]&lt;=30, "Severe", "Extremely Severe")))</f>
        <v>Normal</v>
      </c>
      <c r="I1267">
        <v>-8.1994660000000007E-3</v>
      </c>
      <c r="J1267">
        <v>6</v>
      </c>
      <c r="K1267" s="1" t="str">
        <f>IF(Table1[[#This Row],[stress_score]]&lt;=10, "Normal", IF(Table1[[#This Row],[stress_score]]&lt;=20, "Moderate", IF(Table1[[#This Row],[stress_score]]&lt;=30, "Severe", "Extremely Severe")))</f>
        <v>Normal</v>
      </c>
      <c r="L1267">
        <v>-0.57848745999999995</v>
      </c>
      <c r="M1267">
        <v>8</v>
      </c>
      <c r="N1267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267">
        <v>-0.33828637</v>
      </c>
      <c r="P1267">
        <v>8</v>
      </c>
      <c r="Q1267">
        <f>ROUND(Table1[[#This Row],[dass21_raw_score]],0)</f>
        <v>8</v>
      </c>
      <c r="R1267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267">
        <v>-0.30832442999999998</v>
      </c>
      <c r="T1267">
        <v>0.78658545000000002</v>
      </c>
      <c r="U1267">
        <v>5000</v>
      </c>
      <c r="V1267" s="1">
        <f>ROUND(Table1[[#This Row],[fmpce]],0)</f>
        <v>5000</v>
      </c>
      <c r="W1267">
        <v>68.023319999999998</v>
      </c>
      <c r="X1267" s="4">
        <f>Table1[[#This Row],[mpce]]*89</f>
        <v>6054.0754799999995</v>
      </c>
      <c r="Y1267" s="2" t="s">
        <v>28</v>
      </c>
      <c r="Z1267" s="3">
        <f>VLOOKUP(Y1267, rmpce_reference!$B$1:$D$7,3,FALSE) * 89</f>
        <v>6230</v>
      </c>
      <c r="AA1267" s="1" t="str">
        <f>IF(Table1[rmpce_inr]&lt;=rmpce_reference!$F$2, "Low Income", IF(Table1[rmpce_inr]&lt;=rmpce_reference!$F$3, "Middle Income", "High Income"))</f>
        <v>Middle Income</v>
      </c>
    </row>
    <row r="1268" spans="1:27" x14ac:dyDescent="0.25">
      <c r="A1268">
        <v>6205</v>
      </c>
      <c r="B1268" t="s">
        <v>44</v>
      </c>
      <c r="C1268" t="s">
        <v>36</v>
      </c>
      <c r="D1268">
        <v>52</v>
      </c>
      <c r="E1268" t="s">
        <v>25</v>
      </c>
      <c r="F1268" t="s">
        <v>26</v>
      </c>
      <c r="G1268">
        <v>10</v>
      </c>
      <c r="H1268" s="1" t="str">
        <f>IF(Table1[[#This Row],[anxiety_score]]&lt;=10, "Normal", IF(Table1[[#This Row],[anxiety_score]]&lt;=20, "Moderate", IF(Table1[[#This Row],[anxiety_score]]&lt;=30, "Severe", "Extremely Severe")))</f>
        <v>Normal</v>
      </c>
      <c r="I1268">
        <v>-8.1994660000000007E-3</v>
      </c>
      <c r="J1268">
        <v>4</v>
      </c>
      <c r="K1268" s="1" t="str">
        <f>IF(Table1[[#This Row],[stress_score]]&lt;=10, "Normal", IF(Table1[[#This Row],[stress_score]]&lt;=20, "Moderate", IF(Table1[[#This Row],[stress_score]]&lt;=30, "Severe", "Extremely Severe")))</f>
        <v>Normal</v>
      </c>
      <c r="L1268">
        <v>-0.77314866000000004</v>
      </c>
      <c r="M1268">
        <v>6</v>
      </c>
      <c r="N1268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268">
        <v>-0.53092379999999995</v>
      </c>
      <c r="P1268">
        <v>6.6666664999999998</v>
      </c>
      <c r="Q1268">
        <f>ROUND(Table1[[#This Row],[dass21_raw_score]],0)</f>
        <v>7</v>
      </c>
      <c r="R1268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268">
        <v>-0.43742397</v>
      </c>
      <c r="T1268">
        <v>0.65748596000000004</v>
      </c>
      <c r="U1268">
        <v>4500</v>
      </c>
      <c r="V1268" s="1">
        <f>ROUND(Table1[[#This Row],[fmpce]],0)</f>
        <v>4500</v>
      </c>
      <c r="W1268">
        <v>61.220993</v>
      </c>
      <c r="X1268" s="4">
        <f>Table1[[#This Row],[mpce]]*89</f>
        <v>5448.668377</v>
      </c>
      <c r="Y1268" s="2" t="s">
        <v>28</v>
      </c>
      <c r="Z1268" s="3">
        <f>VLOOKUP(Y1268, rmpce_reference!$B$1:$D$7,3,FALSE) * 89</f>
        <v>6230</v>
      </c>
      <c r="AA1268" s="1" t="str">
        <f>IF(Table1[rmpce_inr]&lt;=rmpce_reference!$F$2, "Low Income", IF(Table1[rmpce_inr]&lt;=rmpce_reference!$F$3, "Middle Income", "High Income"))</f>
        <v>Middle Income</v>
      </c>
    </row>
    <row r="1269" spans="1:27" x14ac:dyDescent="0.25">
      <c r="A1269">
        <v>6207</v>
      </c>
      <c r="B1269" t="s">
        <v>44</v>
      </c>
      <c r="C1269" t="s">
        <v>21</v>
      </c>
      <c r="D1269">
        <v>41</v>
      </c>
      <c r="E1269" t="s">
        <v>22</v>
      </c>
      <c r="F1269" t="s">
        <v>30</v>
      </c>
      <c r="G1269">
        <v>24</v>
      </c>
      <c r="H1269" s="1" t="str">
        <f>IF(Table1[[#This Row],[anxiety_score]]&lt;=10, "Normal", IF(Table1[[#This Row],[anxiety_score]]&lt;=20, "Moderate", IF(Table1[[#This Row],[anxiety_score]]&lt;=30, "Severe", "Extremely Severe")))</f>
        <v>Severe</v>
      </c>
      <c r="I1269">
        <v>1.3991127999999999</v>
      </c>
      <c r="J1269">
        <v>18</v>
      </c>
      <c r="K1269" s="1" t="str">
        <f>IF(Table1[[#This Row],[stress_score]]&lt;=10, "Normal", IF(Table1[[#This Row],[stress_score]]&lt;=20, "Moderate", IF(Table1[[#This Row],[stress_score]]&lt;=30, "Severe", "Extremely Severe")))</f>
        <v>Moderate</v>
      </c>
      <c r="L1269">
        <v>0.58948003999999998</v>
      </c>
      <c r="M1269">
        <v>18</v>
      </c>
      <c r="N1269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1269">
        <v>0.62490060000000003</v>
      </c>
      <c r="P1269">
        <v>20</v>
      </c>
      <c r="Q1269">
        <f>ROUND(Table1[[#This Row],[dass21_raw_score]],0)</f>
        <v>20</v>
      </c>
      <c r="R1269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1269">
        <v>0.87116450000000001</v>
      </c>
      <c r="T1269">
        <v>1.9660744999999999</v>
      </c>
      <c r="U1269">
        <v>4500</v>
      </c>
      <c r="V1269" s="1">
        <f>ROUND(Table1[[#This Row],[fmpce]],0)</f>
        <v>4500</v>
      </c>
      <c r="W1269">
        <v>61.220993</v>
      </c>
      <c r="X1269" s="4">
        <f>Table1[[#This Row],[mpce]]*89</f>
        <v>5448.668377</v>
      </c>
      <c r="Y1269" s="2" t="s">
        <v>28</v>
      </c>
      <c r="Z1269" s="3">
        <f>VLOOKUP(Y1269, rmpce_reference!$B$1:$D$7,3,FALSE) * 89</f>
        <v>6230</v>
      </c>
      <c r="AA1269" s="1" t="str">
        <f>IF(Table1[rmpce_inr]&lt;=rmpce_reference!$F$2, "Low Income", IF(Table1[rmpce_inr]&lt;=rmpce_reference!$F$3, "Middle Income", "High Income"))</f>
        <v>Middle Income</v>
      </c>
    </row>
    <row r="1270" spans="1:27" x14ac:dyDescent="0.25">
      <c r="A1270">
        <v>6208</v>
      </c>
      <c r="B1270" t="s">
        <v>44</v>
      </c>
      <c r="C1270" t="s">
        <v>21</v>
      </c>
      <c r="D1270">
        <v>45</v>
      </c>
      <c r="E1270" t="s">
        <v>22</v>
      </c>
      <c r="F1270" t="s">
        <v>30</v>
      </c>
      <c r="G1270">
        <v>22</v>
      </c>
      <c r="H1270" s="1" t="str">
        <f>IF(Table1[[#This Row],[anxiety_score]]&lt;=10, "Normal", IF(Table1[[#This Row],[anxiety_score]]&lt;=20, "Moderate", IF(Table1[[#This Row],[anxiety_score]]&lt;=30, "Severe", "Extremely Severe")))</f>
        <v>Severe</v>
      </c>
      <c r="I1270">
        <v>1.1980683000000001</v>
      </c>
      <c r="J1270">
        <v>20</v>
      </c>
      <c r="K1270" s="1" t="str">
        <f>IF(Table1[[#This Row],[stress_score]]&lt;=10, "Normal", IF(Table1[[#This Row],[stress_score]]&lt;=20, "Moderate", IF(Table1[[#This Row],[stress_score]]&lt;=30, "Severe", "Extremely Severe")))</f>
        <v>Moderate</v>
      </c>
      <c r="L1270">
        <v>0.78414130000000004</v>
      </c>
      <c r="M1270">
        <v>22</v>
      </c>
      <c r="N1270" s="1" t="str">
        <f>IF(Table1[[#This Row],[depression_score]]&lt;=10, "Normal", IF(Table1[[#This Row],[depression_score]]&lt;=20, "Moderate", IF(Table1[[#This Row],[depression_score]]&lt;=30, "Severe", "Extremely Severe")))</f>
        <v>Severe</v>
      </c>
      <c r="O1270">
        <v>1.0101753</v>
      </c>
      <c r="P1270">
        <v>21.333334000000001</v>
      </c>
      <c r="Q1270">
        <f>ROUND(Table1[[#This Row],[dass21_raw_score]],0)</f>
        <v>21</v>
      </c>
      <c r="R1270" s="1" t="str">
        <f>IF(Table1[[#This Row],[round_dass21_raw_score]]&lt;=10, "Normal", IF(Table1[[#This Row],[round_dass21_raw_score]]&lt;=20, "Moderate", IF(Table1[[#This Row],[round_dass21_raw_score]]&lt;=30, "Severe", "Extremely Severe")))</f>
        <v>Severe</v>
      </c>
      <c r="S1270">
        <v>0.99746159999999995</v>
      </c>
      <c r="T1270">
        <v>2.0923715000000001</v>
      </c>
      <c r="U1270">
        <v>5000</v>
      </c>
      <c r="V1270" s="1">
        <f>ROUND(Table1[[#This Row],[fmpce]],0)</f>
        <v>5000</v>
      </c>
      <c r="W1270">
        <v>68.023319999999998</v>
      </c>
      <c r="X1270" s="4">
        <f>Table1[[#This Row],[mpce]]*89</f>
        <v>6054.0754799999995</v>
      </c>
      <c r="Y1270" s="2" t="s">
        <v>28</v>
      </c>
      <c r="Z1270" s="3">
        <f>VLOOKUP(Y1270, rmpce_reference!$B$1:$D$7,3,FALSE) * 89</f>
        <v>6230</v>
      </c>
      <c r="AA1270" s="1" t="str">
        <f>IF(Table1[rmpce_inr]&lt;=rmpce_reference!$F$2, "Low Income", IF(Table1[rmpce_inr]&lt;=rmpce_reference!$F$3, "Middle Income", "High Income"))</f>
        <v>Middle Income</v>
      </c>
    </row>
    <row r="1271" spans="1:27" x14ac:dyDescent="0.25">
      <c r="A1271">
        <v>6209</v>
      </c>
      <c r="B1271" t="s">
        <v>44</v>
      </c>
      <c r="C1271" t="s">
        <v>21</v>
      </c>
      <c r="D1271">
        <v>42</v>
      </c>
      <c r="E1271" t="s">
        <v>22</v>
      </c>
      <c r="F1271" t="s">
        <v>30</v>
      </c>
      <c r="G1271">
        <v>10</v>
      </c>
      <c r="H1271" s="1" t="str">
        <f>IF(Table1[[#This Row],[anxiety_score]]&lt;=10, "Normal", IF(Table1[[#This Row],[anxiety_score]]&lt;=20, "Moderate", IF(Table1[[#This Row],[anxiety_score]]&lt;=30, "Severe", "Extremely Severe")))</f>
        <v>Normal</v>
      </c>
      <c r="I1271">
        <v>-8.1994660000000007E-3</v>
      </c>
      <c r="J1271">
        <v>6</v>
      </c>
      <c r="K1271" s="1" t="str">
        <f>IF(Table1[[#This Row],[stress_score]]&lt;=10, "Normal", IF(Table1[[#This Row],[stress_score]]&lt;=20, "Moderate", IF(Table1[[#This Row],[stress_score]]&lt;=30, "Severe", "Extremely Severe")))</f>
        <v>Normal</v>
      </c>
      <c r="L1271">
        <v>-0.57848745999999995</v>
      </c>
      <c r="M1271">
        <v>8</v>
      </c>
      <c r="N1271" s="1" t="str">
        <f>IF(Table1[[#This Row],[depression_score]]&lt;=10, "Normal", IF(Table1[[#This Row],[depression_score]]&lt;=20, "Moderate", IF(Table1[[#This Row],[depression_score]]&lt;=30, "Severe", "Extremely Severe")))</f>
        <v>Normal</v>
      </c>
      <c r="O1271">
        <v>-0.33828637</v>
      </c>
      <c r="P1271">
        <v>8</v>
      </c>
      <c r="Q1271">
        <f>ROUND(Table1[[#This Row],[dass21_raw_score]],0)</f>
        <v>8</v>
      </c>
      <c r="R1271" s="1" t="str">
        <f>IF(Table1[[#This Row],[round_dass21_raw_score]]&lt;=10, "Normal", IF(Table1[[#This Row],[round_dass21_raw_score]]&lt;=20, "Moderate", IF(Table1[[#This Row],[round_dass21_raw_score]]&lt;=30, "Severe", "Extremely Severe")))</f>
        <v>Normal</v>
      </c>
      <c r="S1271">
        <v>-0.30832442999999998</v>
      </c>
      <c r="T1271">
        <v>0.78658545000000002</v>
      </c>
      <c r="U1271">
        <v>3750</v>
      </c>
      <c r="V1271" s="1">
        <f>ROUND(Table1[[#This Row],[fmpce]],0)</f>
        <v>3750</v>
      </c>
      <c r="W1271">
        <v>51.017493999999999</v>
      </c>
      <c r="X1271" s="4">
        <f>Table1[[#This Row],[mpce]]*89</f>
        <v>4540.5569660000001</v>
      </c>
      <c r="Y1271" s="2" t="s">
        <v>32</v>
      </c>
      <c r="Z1271" s="3">
        <f>VLOOKUP(Y1271, rmpce_reference!$B$1:$D$7,3,FALSE) * 89</f>
        <v>4450</v>
      </c>
      <c r="AA1271" s="1" t="str">
        <f>IF(Table1[rmpce_inr]&lt;=rmpce_reference!$F$2, "Low Income", IF(Table1[rmpce_inr]&lt;=rmpce_reference!$F$3, "Middle Income", "High Income"))</f>
        <v>Low Income</v>
      </c>
    </row>
    <row r="1272" spans="1:27" x14ac:dyDescent="0.25">
      <c r="A1272">
        <v>6230</v>
      </c>
      <c r="B1272" t="s">
        <v>44</v>
      </c>
      <c r="C1272" t="s">
        <v>21</v>
      </c>
      <c r="D1272">
        <v>44</v>
      </c>
      <c r="E1272" t="s">
        <v>22</v>
      </c>
      <c r="F1272" t="s">
        <v>23</v>
      </c>
      <c r="G1272">
        <v>14</v>
      </c>
      <c r="H1272" s="1" t="str">
        <f>IF(Table1[[#This Row],[anxiety_score]]&lt;=10, "Normal", IF(Table1[[#This Row],[anxiety_score]]&lt;=20, "Moderate", IF(Table1[[#This Row],[anxiety_score]]&lt;=30, "Severe", "Extremely Severe")))</f>
        <v>Moderate</v>
      </c>
      <c r="I1272">
        <v>0.39388975999999998</v>
      </c>
      <c r="J1272">
        <v>22</v>
      </c>
      <c r="K1272" s="1" t="str">
        <f>IF(Table1[[#This Row],[stress_score]]&lt;=10, "Normal", IF(Table1[[#This Row],[stress_score]]&lt;=20, "Moderate", IF(Table1[[#This Row],[stress_score]]&lt;=30, "Severe", "Extremely Severe")))</f>
        <v>Severe</v>
      </c>
      <c r="L1272">
        <v>0.97880255999999999</v>
      </c>
      <c r="M1272">
        <v>18</v>
      </c>
      <c r="N1272" s="1" t="str">
        <f>IF(Table1[[#This Row],[depression_score]]&lt;=10, "Normal", IF(Table1[[#This Row],[depression_score]]&lt;=20, "Moderate", IF(Table1[[#This Row],[depression_score]]&lt;=30, "Severe", "Extremely Severe")))</f>
        <v>Moderate</v>
      </c>
      <c r="O1272">
        <v>0.62490060000000003</v>
      </c>
      <c r="P1272">
        <v>18</v>
      </c>
      <c r="Q1272">
        <f>ROUND(Table1[[#This Row],[dass21_raw_score]],0)</f>
        <v>18</v>
      </c>
      <c r="R1272" s="1" t="str">
        <f>IF(Table1[[#This Row],[round_dass21_raw_score]]&lt;=10, "Normal", IF(Table1[[#This Row],[round_dass21_raw_score]]&lt;=20, "Moderate", IF(Table1[[#This Row],[round_dass21_raw_score]]&lt;=30, "Severe", "Extremely Severe")))</f>
        <v>Moderate</v>
      </c>
      <c r="S1272">
        <v>0.66586429999999996</v>
      </c>
      <c r="T1272">
        <v>1.7607740999999999</v>
      </c>
      <c r="U1272">
        <v>2142.8571999999999</v>
      </c>
      <c r="V1272" s="1">
        <f>ROUND(Table1[[#This Row],[fmpce]],0)</f>
        <v>2143</v>
      </c>
      <c r="W1272">
        <v>29.152853</v>
      </c>
      <c r="X1272" s="4">
        <f>Table1[[#This Row],[mpce]]*89</f>
        <v>2594.6039169999999</v>
      </c>
      <c r="Y1272" s="2" t="s">
        <v>34</v>
      </c>
      <c r="Z1272" s="3">
        <f>VLOOKUP(Y1272, rmpce_reference!$B$1:$D$7,3,FALSE) * 89</f>
        <v>2848</v>
      </c>
      <c r="AA1272" s="1" t="str">
        <f>IF(Table1[rmpce_inr]&lt;=rmpce_reference!$F$2, "Low Income", IF(Table1[rmpce_inr]&lt;=rmpce_reference!$F$3, "Middle Income", "High Income"))</f>
        <v>Low Income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7"/>
  <sheetViews>
    <sheetView workbookViewId="0">
      <selection activeCell="H16" sqref="H16"/>
    </sheetView>
  </sheetViews>
  <sheetFormatPr defaultRowHeight="15" x14ac:dyDescent="0.25"/>
  <cols>
    <col min="2" max="2" width="17.5703125" customWidth="1"/>
    <col min="3" max="3" width="8.85546875" customWidth="1"/>
    <col min="4" max="4" width="16.5703125" customWidth="1"/>
    <col min="6" max="6" width="12.85546875" customWidth="1"/>
  </cols>
  <sheetData>
    <row r="1" spans="2:6" x14ac:dyDescent="0.25">
      <c r="B1" s="5" t="s">
        <v>50</v>
      </c>
      <c r="C1" s="5"/>
      <c r="D1" s="5" t="s">
        <v>49</v>
      </c>
      <c r="F1" s="7" t="s">
        <v>51</v>
      </c>
    </row>
    <row r="2" spans="2:6" x14ac:dyDescent="0.25">
      <c r="B2" s="5" t="s">
        <v>35</v>
      </c>
      <c r="C2" s="5"/>
      <c r="D2" s="5">
        <v>110</v>
      </c>
      <c r="F2" s="7">
        <f>_xlfn.PERCENTILE.INC(Table1[rmpce_inr], 0.33)</f>
        <v>4450</v>
      </c>
    </row>
    <row r="3" spans="2:6" x14ac:dyDescent="0.25">
      <c r="B3" s="5" t="s">
        <v>24</v>
      </c>
      <c r="C3" s="5"/>
      <c r="D3" s="5">
        <v>25</v>
      </c>
      <c r="F3" s="7">
        <f>_xlfn.PERCENTILE.INC(Table1[rmpce_inr],0.66)</f>
        <v>6230</v>
      </c>
    </row>
    <row r="4" spans="2:6" x14ac:dyDescent="0.25">
      <c r="B4" s="5" t="s">
        <v>34</v>
      </c>
      <c r="C4" s="5"/>
      <c r="D4" s="5">
        <v>32</v>
      </c>
    </row>
    <row r="5" spans="2:6" x14ac:dyDescent="0.25">
      <c r="B5" s="5" t="s">
        <v>32</v>
      </c>
      <c r="C5" s="5"/>
      <c r="D5" s="5">
        <v>50</v>
      </c>
    </row>
    <row r="6" spans="2:6" x14ac:dyDescent="0.25">
      <c r="B6" s="5" t="s">
        <v>28</v>
      </c>
      <c r="C6" s="5"/>
      <c r="D6" s="5">
        <v>70</v>
      </c>
    </row>
    <row r="7" spans="2:6" x14ac:dyDescent="0.25">
      <c r="B7" s="6" t="s">
        <v>31</v>
      </c>
      <c r="C7" s="6"/>
      <c r="D7" s="6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40"/>
  <sheetViews>
    <sheetView workbookViewId="0">
      <selection activeCell="F43" sqref="F43"/>
    </sheetView>
  </sheetViews>
  <sheetFormatPr defaultRowHeight="15" x14ac:dyDescent="0.25"/>
  <cols>
    <col min="1" max="1" width="24.140625" customWidth="1"/>
    <col min="2" max="2" width="26.28515625" customWidth="1"/>
    <col min="3" max="3" width="23.7109375" customWidth="1"/>
    <col min="4" max="4" width="27.140625" customWidth="1"/>
    <col min="5" max="76" width="9.7109375" customWidth="1"/>
    <col min="77" max="80" width="10.7109375" customWidth="1"/>
    <col min="81" max="82" width="10.7109375" bestFit="1" customWidth="1"/>
    <col min="83" max="89" width="10.7109375" customWidth="1"/>
    <col min="90" max="90" width="10.7109375" bestFit="1" customWidth="1"/>
    <col min="91" max="93" width="10.7109375" customWidth="1"/>
    <col min="94" max="97" width="10.7109375" bestFit="1" customWidth="1"/>
    <col min="98" max="103" width="10.7109375" customWidth="1"/>
    <col min="104" max="104" width="10.7109375" bestFit="1" customWidth="1"/>
    <col min="105" max="109" width="10.7109375" customWidth="1"/>
    <col min="110" max="111" width="12.28515625" bestFit="1" customWidth="1"/>
    <col min="112" max="112" width="11.28515625" bestFit="1" customWidth="1"/>
    <col min="113" max="113" width="11" bestFit="1" customWidth="1"/>
    <col min="114" max="114" width="10" bestFit="1" customWidth="1"/>
    <col min="115" max="116" width="10" customWidth="1"/>
    <col min="117" max="118" width="11" bestFit="1" customWidth="1"/>
    <col min="119" max="119" width="9" customWidth="1"/>
    <col min="120" max="120" width="10" bestFit="1" customWidth="1"/>
    <col min="121" max="121" width="11" bestFit="1" customWidth="1"/>
    <col min="122" max="123" width="10" customWidth="1"/>
    <col min="124" max="124" width="11" bestFit="1" customWidth="1"/>
    <col min="125" max="128" width="10" bestFit="1" customWidth="1"/>
    <col min="129" max="130" width="10" customWidth="1"/>
    <col min="131" max="131" width="10" bestFit="1" customWidth="1"/>
    <col min="132" max="132" width="10" customWidth="1"/>
    <col min="133" max="134" width="11" bestFit="1" customWidth="1"/>
    <col min="135" max="136" width="10" bestFit="1" customWidth="1"/>
    <col min="137" max="137" width="11" bestFit="1" customWidth="1"/>
    <col min="138" max="138" width="10" customWidth="1"/>
    <col min="139" max="139" width="8" customWidth="1"/>
    <col min="140" max="140" width="10" customWidth="1"/>
    <col min="141" max="141" width="11" bestFit="1" customWidth="1"/>
    <col min="142" max="142" width="11" customWidth="1"/>
    <col min="143" max="144" width="10" customWidth="1"/>
    <col min="145" max="146" width="11" bestFit="1" customWidth="1"/>
    <col min="147" max="147" width="10" customWidth="1"/>
    <col min="148" max="148" width="9" customWidth="1"/>
    <col min="149" max="149" width="10" customWidth="1"/>
    <col min="150" max="151" width="11" bestFit="1" customWidth="1"/>
    <col min="152" max="152" width="10" customWidth="1"/>
    <col min="153" max="153" width="11" bestFit="1" customWidth="1"/>
    <col min="154" max="156" width="10" customWidth="1"/>
    <col min="157" max="159" width="11" bestFit="1" customWidth="1"/>
    <col min="160" max="160" width="10" bestFit="1" customWidth="1"/>
    <col min="161" max="161" width="10" customWidth="1"/>
    <col min="162" max="162" width="11" bestFit="1" customWidth="1"/>
    <col min="163" max="163" width="10" customWidth="1"/>
    <col min="164" max="165" width="11" bestFit="1" customWidth="1"/>
    <col min="166" max="166" width="11" customWidth="1"/>
    <col min="167" max="167" width="10" bestFit="1" customWidth="1"/>
    <col min="168" max="168" width="10" customWidth="1"/>
    <col min="169" max="171" width="11" bestFit="1" customWidth="1"/>
    <col min="172" max="172" width="10" bestFit="1" customWidth="1"/>
    <col min="173" max="173" width="11" bestFit="1" customWidth="1"/>
    <col min="174" max="174" width="10" bestFit="1" customWidth="1"/>
    <col min="175" max="175" width="11" bestFit="1" customWidth="1"/>
    <col min="176" max="180" width="10" bestFit="1" customWidth="1"/>
    <col min="181" max="181" width="9" customWidth="1"/>
    <col min="182" max="183" width="10" bestFit="1" customWidth="1"/>
    <col min="184" max="184" width="10" customWidth="1"/>
    <col min="185" max="185" width="9" customWidth="1"/>
    <col min="186" max="186" width="10" customWidth="1"/>
    <col min="187" max="190" width="10" bestFit="1" customWidth="1"/>
    <col min="191" max="191" width="9" customWidth="1"/>
    <col min="192" max="192" width="10" bestFit="1" customWidth="1"/>
    <col min="193" max="193" width="9" customWidth="1"/>
    <col min="194" max="194" width="10" bestFit="1" customWidth="1"/>
    <col min="195" max="195" width="10" customWidth="1"/>
    <col min="196" max="196" width="10" bestFit="1" customWidth="1"/>
    <col min="197" max="197" width="10" customWidth="1"/>
    <col min="198" max="199" width="10" bestFit="1" customWidth="1"/>
    <col min="200" max="201" width="10" customWidth="1"/>
    <col min="202" max="202" width="9" customWidth="1"/>
    <col min="203" max="204" width="10" bestFit="1" customWidth="1"/>
    <col min="205" max="207" width="10" customWidth="1"/>
    <col min="208" max="208" width="10" bestFit="1" customWidth="1"/>
    <col min="209" max="209" width="10" customWidth="1"/>
    <col min="210" max="210" width="10" bestFit="1" customWidth="1"/>
    <col min="211" max="211" width="9" customWidth="1"/>
    <col min="212" max="213" width="10" customWidth="1"/>
    <col min="214" max="214" width="10" bestFit="1" customWidth="1"/>
    <col min="215" max="216" width="10" customWidth="1"/>
    <col min="217" max="219" width="10" bestFit="1" customWidth="1"/>
    <col min="220" max="220" width="9" customWidth="1"/>
    <col min="221" max="222" width="10" customWidth="1"/>
    <col min="223" max="226" width="10" bestFit="1" customWidth="1"/>
    <col min="227" max="228" width="10" customWidth="1"/>
    <col min="229" max="229" width="10" bestFit="1" customWidth="1"/>
    <col min="230" max="230" width="10" customWidth="1"/>
    <col min="231" max="231" width="9" customWidth="1"/>
    <col min="232" max="233" width="10" customWidth="1"/>
    <col min="234" max="234" width="10" bestFit="1" customWidth="1"/>
    <col min="235" max="237" width="10" customWidth="1"/>
    <col min="238" max="240" width="10" bestFit="1" customWidth="1"/>
    <col min="241" max="244" width="10" customWidth="1"/>
    <col min="245" max="246" width="10" bestFit="1" customWidth="1"/>
    <col min="247" max="247" width="9" customWidth="1"/>
    <col min="248" max="248" width="10" customWidth="1"/>
    <col min="249" max="250" width="10" bestFit="1" customWidth="1"/>
    <col min="251" max="251" width="10" customWidth="1"/>
    <col min="252" max="258" width="10" bestFit="1" customWidth="1"/>
    <col min="259" max="259" width="10" customWidth="1"/>
    <col min="260" max="266" width="10" bestFit="1" customWidth="1"/>
    <col min="267" max="267" width="10" customWidth="1"/>
    <col min="268" max="274" width="10" bestFit="1" customWidth="1"/>
    <col min="275" max="275" width="10" customWidth="1"/>
    <col min="276" max="278" width="10" bestFit="1" customWidth="1"/>
    <col min="279" max="279" width="9" customWidth="1"/>
    <col min="280" max="280" width="10" bestFit="1" customWidth="1"/>
    <col min="281" max="281" width="9" customWidth="1"/>
    <col min="282" max="283" width="10" bestFit="1" customWidth="1"/>
    <col min="284" max="284" width="9" customWidth="1"/>
    <col min="285" max="285" width="10" bestFit="1" customWidth="1"/>
    <col min="286" max="286" width="9" customWidth="1"/>
    <col min="287" max="289" width="10" bestFit="1" customWidth="1"/>
    <col min="290" max="290" width="10" customWidth="1"/>
    <col min="291" max="293" width="10" bestFit="1" customWidth="1"/>
    <col min="294" max="294" width="9" customWidth="1"/>
    <col min="295" max="297" width="10" bestFit="1" customWidth="1"/>
    <col min="298" max="298" width="10" customWidth="1"/>
    <col min="299" max="300" width="9" customWidth="1"/>
    <col min="301" max="301" width="10" bestFit="1" customWidth="1"/>
    <col min="302" max="302" width="10" customWidth="1"/>
    <col min="303" max="306" width="10" bestFit="1" customWidth="1"/>
    <col min="307" max="308" width="9" customWidth="1"/>
    <col min="309" max="309" width="10" customWidth="1"/>
    <col min="310" max="310" width="8" customWidth="1"/>
    <col min="311" max="311" width="10" bestFit="1" customWidth="1"/>
    <col min="312" max="312" width="9" customWidth="1"/>
    <col min="313" max="314" width="10" bestFit="1" customWidth="1"/>
    <col min="315" max="315" width="9" customWidth="1"/>
    <col min="316" max="317" width="10" bestFit="1" customWidth="1"/>
    <col min="318" max="318" width="9" customWidth="1"/>
    <col min="319" max="322" width="10" bestFit="1" customWidth="1"/>
    <col min="323" max="323" width="9" customWidth="1"/>
    <col min="324" max="324" width="10" customWidth="1"/>
    <col min="325" max="325" width="10" bestFit="1" customWidth="1"/>
    <col min="326" max="326" width="9" customWidth="1"/>
    <col min="327" max="330" width="10" bestFit="1" customWidth="1"/>
    <col min="331" max="331" width="10" customWidth="1"/>
    <col min="332" max="339" width="10" bestFit="1" customWidth="1"/>
    <col min="340" max="340" width="9" customWidth="1"/>
    <col min="341" max="342" width="10" bestFit="1" customWidth="1"/>
    <col min="343" max="345" width="9" customWidth="1"/>
    <col min="346" max="348" width="10" bestFit="1" customWidth="1"/>
    <col min="349" max="349" width="9" customWidth="1"/>
    <col min="350" max="354" width="10" bestFit="1" customWidth="1"/>
    <col min="355" max="356" width="9" customWidth="1"/>
    <col min="357" max="359" width="10" bestFit="1" customWidth="1"/>
    <col min="360" max="360" width="9" customWidth="1"/>
    <col min="361" max="361" width="10" bestFit="1" customWidth="1"/>
    <col min="362" max="362" width="9" customWidth="1"/>
    <col min="363" max="367" width="10" bestFit="1" customWidth="1"/>
    <col min="368" max="368" width="9" customWidth="1"/>
    <col min="369" max="373" width="10" bestFit="1" customWidth="1"/>
    <col min="374" max="374" width="10" customWidth="1"/>
    <col min="375" max="375" width="9" customWidth="1"/>
    <col min="376" max="378" width="10" bestFit="1" customWidth="1"/>
    <col min="379" max="379" width="10" customWidth="1"/>
    <col min="380" max="380" width="9" customWidth="1"/>
    <col min="381" max="382" width="10" bestFit="1" customWidth="1"/>
    <col min="383" max="383" width="9" customWidth="1"/>
    <col min="384" max="385" width="10" bestFit="1" customWidth="1"/>
    <col min="386" max="386" width="10" customWidth="1"/>
    <col min="387" max="387" width="12.42578125" bestFit="1" customWidth="1"/>
    <col min="388" max="388" width="7.42578125" customWidth="1"/>
    <col min="389" max="389" width="11" bestFit="1" customWidth="1"/>
    <col min="390" max="390" width="12" bestFit="1" customWidth="1"/>
    <col min="391" max="401" width="11" bestFit="1" customWidth="1"/>
    <col min="402" max="402" width="11" customWidth="1"/>
    <col min="403" max="404" width="11" bestFit="1" customWidth="1"/>
    <col min="405" max="405" width="10" bestFit="1" customWidth="1"/>
    <col min="406" max="406" width="11" customWidth="1"/>
    <col min="407" max="409" width="11" bestFit="1" customWidth="1"/>
    <col min="410" max="411" width="10" bestFit="1" customWidth="1"/>
    <col min="412" max="414" width="11" bestFit="1" customWidth="1"/>
    <col min="415" max="415" width="9" customWidth="1"/>
    <col min="416" max="417" width="10" bestFit="1" customWidth="1"/>
    <col min="418" max="421" width="11" bestFit="1" customWidth="1"/>
    <col min="422" max="423" width="10" bestFit="1" customWidth="1"/>
    <col min="424" max="424" width="9" customWidth="1"/>
    <col min="425" max="425" width="11" bestFit="1" customWidth="1"/>
    <col min="426" max="426" width="10" bestFit="1" customWidth="1"/>
    <col min="427" max="427" width="11" bestFit="1" customWidth="1"/>
    <col min="428" max="429" width="10" customWidth="1"/>
    <col min="430" max="432" width="11" bestFit="1" customWidth="1"/>
    <col min="433" max="433" width="11" customWidth="1"/>
    <col min="434" max="437" width="11" bestFit="1" customWidth="1"/>
    <col min="438" max="438" width="10" bestFit="1" customWidth="1"/>
    <col min="439" max="442" width="11" bestFit="1" customWidth="1"/>
    <col min="443" max="443" width="11" customWidth="1"/>
    <col min="444" max="444" width="11" bestFit="1" customWidth="1"/>
    <col min="445" max="445" width="11" customWidth="1"/>
    <col min="446" max="446" width="11" bestFit="1" customWidth="1"/>
    <col min="447" max="447" width="10" customWidth="1"/>
    <col min="448" max="449" width="11" bestFit="1" customWidth="1"/>
    <col min="450" max="450" width="11" customWidth="1"/>
    <col min="451" max="451" width="11" bestFit="1" customWidth="1"/>
    <col min="452" max="453" width="10" bestFit="1" customWidth="1"/>
    <col min="454" max="454" width="11" bestFit="1" customWidth="1"/>
    <col min="455" max="455" width="9" customWidth="1"/>
    <col min="456" max="456" width="11" bestFit="1" customWidth="1"/>
    <col min="457" max="457" width="11" customWidth="1"/>
    <col min="458" max="458" width="9" customWidth="1"/>
    <col min="459" max="459" width="10" bestFit="1" customWidth="1"/>
    <col min="460" max="460" width="11" bestFit="1" customWidth="1"/>
    <col min="461" max="461" width="11" customWidth="1"/>
    <col min="462" max="462" width="10" bestFit="1" customWidth="1"/>
    <col min="463" max="463" width="9" customWidth="1"/>
    <col min="464" max="464" width="10" bestFit="1" customWidth="1"/>
    <col min="465" max="465" width="10" customWidth="1"/>
    <col min="466" max="467" width="10" bestFit="1" customWidth="1"/>
    <col min="468" max="468" width="9" customWidth="1"/>
    <col min="469" max="469" width="10" customWidth="1"/>
    <col min="470" max="471" width="10" bestFit="1" customWidth="1"/>
    <col min="472" max="472" width="11" bestFit="1" customWidth="1"/>
    <col min="473" max="473" width="10" bestFit="1" customWidth="1"/>
    <col min="474" max="474" width="11" bestFit="1" customWidth="1"/>
    <col min="475" max="476" width="10" bestFit="1" customWidth="1"/>
    <col min="477" max="477" width="10" customWidth="1"/>
    <col min="478" max="480" width="11" bestFit="1" customWidth="1"/>
    <col min="481" max="483" width="10" bestFit="1" customWidth="1"/>
    <col min="484" max="485" width="11" bestFit="1" customWidth="1"/>
    <col min="486" max="486" width="10" customWidth="1"/>
    <col min="487" max="487" width="11" bestFit="1" customWidth="1"/>
    <col min="488" max="488" width="10" bestFit="1" customWidth="1"/>
    <col min="489" max="490" width="11" bestFit="1" customWidth="1"/>
    <col min="491" max="491" width="11" customWidth="1"/>
    <col min="492" max="492" width="10" bestFit="1" customWidth="1"/>
    <col min="493" max="493" width="9" customWidth="1"/>
    <col min="494" max="494" width="11" bestFit="1" customWidth="1"/>
    <col min="495" max="495" width="11" customWidth="1"/>
    <col min="496" max="496" width="11" bestFit="1" customWidth="1"/>
    <col min="497" max="498" width="11" customWidth="1"/>
    <col min="499" max="499" width="11" bestFit="1" customWidth="1"/>
    <col min="500" max="500" width="10" bestFit="1" customWidth="1"/>
    <col min="501" max="502" width="11" bestFit="1" customWidth="1"/>
    <col min="503" max="503" width="11" customWidth="1"/>
    <col min="504" max="506" width="10" bestFit="1" customWidth="1"/>
    <col min="507" max="507" width="11" bestFit="1" customWidth="1"/>
    <col min="508" max="508" width="11" customWidth="1"/>
    <col min="509" max="509" width="10" bestFit="1" customWidth="1"/>
    <col min="510" max="510" width="11" bestFit="1" customWidth="1"/>
    <col min="511" max="511" width="9" customWidth="1"/>
    <col min="512" max="512" width="11" bestFit="1" customWidth="1"/>
    <col min="513" max="513" width="10" customWidth="1"/>
    <col min="514" max="514" width="10" bestFit="1" customWidth="1"/>
    <col min="515" max="515" width="10" customWidth="1"/>
    <col min="516" max="516" width="10" bestFit="1" customWidth="1"/>
    <col min="517" max="517" width="10" customWidth="1"/>
    <col min="518" max="518" width="10" bestFit="1" customWidth="1"/>
    <col min="519" max="519" width="11" bestFit="1" customWidth="1"/>
    <col min="520" max="521" width="11" customWidth="1"/>
    <col min="522" max="522" width="10" customWidth="1"/>
    <col min="523" max="523" width="10" bestFit="1" customWidth="1"/>
    <col min="524" max="524" width="10" customWidth="1"/>
    <col min="525" max="526" width="10" bestFit="1" customWidth="1"/>
    <col min="527" max="527" width="10" customWidth="1"/>
    <col min="528" max="528" width="8" customWidth="1"/>
    <col min="529" max="529" width="10" bestFit="1" customWidth="1"/>
    <col min="530" max="530" width="11" bestFit="1" customWidth="1"/>
    <col min="531" max="531" width="11" customWidth="1"/>
    <col min="532" max="533" width="10" bestFit="1" customWidth="1"/>
    <col min="534" max="534" width="11" bestFit="1" customWidth="1"/>
    <col min="535" max="535" width="11" customWidth="1"/>
    <col min="536" max="536" width="10" bestFit="1" customWidth="1"/>
    <col min="537" max="538" width="11" bestFit="1" customWidth="1"/>
    <col min="539" max="540" width="10" bestFit="1" customWidth="1"/>
    <col min="541" max="542" width="11" bestFit="1" customWidth="1"/>
    <col min="543" max="543" width="10" bestFit="1" customWidth="1"/>
    <col min="544" max="544" width="11" bestFit="1" customWidth="1"/>
    <col min="545" max="545" width="11" customWidth="1"/>
    <col min="546" max="546" width="10" bestFit="1" customWidth="1"/>
    <col min="547" max="547" width="11" bestFit="1" customWidth="1"/>
    <col min="548" max="548" width="10" bestFit="1" customWidth="1"/>
    <col min="549" max="549" width="11" customWidth="1"/>
    <col min="550" max="551" width="10" bestFit="1" customWidth="1"/>
    <col min="552" max="552" width="11" bestFit="1" customWidth="1"/>
    <col min="553" max="559" width="10" bestFit="1" customWidth="1"/>
    <col min="560" max="560" width="9" customWidth="1"/>
    <col min="561" max="570" width="10" bestFit="1" customWidth="1"/>
    <col min="571" max="571" width="9" customWidth="1"/>
    <col min="572" max="574" width="10" bestFit="1" customWidth="1"/>
    <col min="575" max="575" width="10" customWidth="1"/>
    <col min="576" max="576" width="9" customWidth="1"/>
    <col min="577" max="577" width="10" bestFit="1" customWidth="1"/>
    <col min="578" max="578" width="9" customWidth="1"/>
    <col min="579" max="582" width="10" customWidth="1"/>
    <col min="583" max="583" width="9" customWidth="1"/>
    <col min="584" max="584" width="10" customWidth="1"/>
    <col min="585" max="586" width="10" bestFit="1" customWidth="1"/>
    <col min="587" max="587" width="10" customWidth="1"/>
    <col min="588" max="591" width="10" bestFit="1" customWidth="1"/>
    <col min="592" max="592" width="9" customWidth="1"/>
    <col min="593" max="594" width="10" bestFit="1" customWidth="1"/>
    <col min="595" max="595" width="10" customWidth="1"/>
    <col min="596" max="596" width="9" customWidth="1"/>
    <col min="597" max="597" width="10" customWidth="1"/>
    <col min="598" max="602" width="10" bestFit="1" customWidth="1"/>
    <col min="603" max="603" width="10" customWidth="1"/>
    <col min="604" max="605" width="10" bestFit="1" customWidth="1"/>
    <col min="606" max="608" width="10" customWidth="1"/>
    <col min="609" max="610" width="10" bestFit="1" customWidth="1"/>
    <col min="611" max="611" width="10" customWidth="1"/>
    <col min="612" max="612" width="9" customWidth="1"/>
    <col min="613" max="614" width="10" bestFit="1" customWidth="1"/>
    <col min="615" max="615" width="10" customWidth="1"/>
    <col min="616" max="618" width="10" bestFit="1" customWidth="1"/>
    <col min="619" max="619" width="9" customWidth="1"/>
    <col min="620" max="624" width="10" bestFit="1" customWidth="1"/>
    <col min="625" max="625" width="10" customWidth="1"/>
    <col min="626" max="626" width="9" customWidth="1"/>
    <col min="627" max="634" width="10" bestFit="1" customWidth="1"/>
    <col min="635" max="636" width="9" customWidth="1"/>
    <col min="637" max="639" width="10" bestFit="1" customWidth="1"/>
    <col min="640" max="640" width="10" customWidth="1"/>
    <col min="641" max="648" width="10" bestFit="1" customWidth="1"/>
    <col min="649" max="649" width="10" customWidth="1"/>
    <col min="650" max="651" width="9" customWidth="1"/>
    <col min="652" max="652" width="10" customWidth="1"/>
    <col min="653" max="653" width="10" bestFit="1" customWidth="1"/>
    <col min="654" max="654" width="9" customWidth="1"/>
    <col min="655" max="655" width="10" customWidth="1"/>
    <col min="656" max="657" width="10" bestFit="1" customWidth="1"/>
    <col min="658" max="658" width="10" customWidth="1"/>
    <col min="659" max="661" width="10" bestFit="1" customWidth="1"/>
    <col min="662" max="662" width="9" customWidth="1"/>
    <col min="663" max="664" width="10" bestFit="1" customWidth="1"/>
    <col min="665" max="665" width="9" customWidth="1"/>
    <col min="666" max="667" width="10" bestFit="1" customWidth="1"/>
    <col min="668" max="668" width="9" customWidth="1"/>
    <col min="669" max="674" width="10" bestFit="1" customWidth="1"/>
    <col min="675" max="675" width="9" customWidth="1"/>
    <col min="676" max="677" width="10" bestFit="1" customWidth="1"/>
    <col min="678" max="678" width="9" customWidth="1"/>
    <col min="679" max="688" width="10" bestFit="1" customWidth="1"/>
    <col min="689" max="689" width="9" customWidth="1"/>
    <col min="690" max="697" width="10" bestFit="1" customWidth="1"/>
    <col min="698" max="698" width="9" customWidth="1"/>
    <col min="699" max="699" width="10" bestFit="1" customWidth="1"/>
    <col min="700" max="701" width="9" customWidth="1"/>
    <col min="702" max="705" width="10" bestFit="1" customWidth="1"/>
    <col min="706" max="706" width="9" customWidth="1"/>
    <col min="707" max="709" width="10" bestFit="1" customWidth="1"/>
    <col min="710" max="710" width="9" customWidth="1"/>
    <col min="711" max="712" width="10" bestFit="1" customWidth="1"/>
    <col min="713" max="713" width="9" customWidth="1"/>
    <col min="714" max="714" width="10" bestFit="1" customWidth="1"/>
    <col min="715" max="715" width="9" customWidth="1"/>
    <col min="716" max="716" width="10" bestFit="1" customWidth="1"/>
    <col min="717" max="718" width="9" customWidth="1"/>
    <col min="719" max="719" width="8" customWidth="1"/>
    <col min="720" max="729" width="10" bestFit="1" customWidth="1"/>
    <col min="730" max="730" width="9" customWidth="1"/>
    <col min="731" max="744" width="10" bestFit="1" customWidth="1"/>
    <col min="745" max="746" width="9" customWidth="1"/>
    <col min="747" max="749" width="10" bestFit="1" customWidth="1"/>
    <col min="750" max="750" width="9" customWidth="1"/>
    <col min="751" max="753" width="10" bestFit="1" customWidth="1"/>
    <col min="754" max="756" width="9" customWidth="1"/>
    <col min="757" max="758" width="10" bestFit="1" customWidth="1"/>
    <col min="759" max="759" width="9" customWidth="1"/>
    <col min="760" max="761" width="10" bestFit="1" customWidth="1"/>
    <col min="762" max="762" width="7" customWidth="1"/>
    <col min="763" max="781" width="10" bestFit="1" customWidth="1"/>
    <col min="782" max="782" width="9" customWidth="1"/>
    <col min="783" max="783" width="10" bestFit="1" customWidth="1"/>
    <col min="784" max="784" width="8" customWidth="1"/>
    <col min="785" max="785" width="10" bestFit="1" customWidth="1"/>
    <col min="786" max="786" width="9" customWidth="1"/>
    <col min="787" max="788" width="10" bestFit="1" customWidth="1"/>
    <col min="789" max="789" width="9" customWidth="1"/>
    <col min="790" max="793" width="10" bestFit="1" customWidth="1"/>
    <col min="794" max="794" width="10.42578125" bestFit="1" customWidth="1"/>
  </cols>
  <sheetData>
    <row r="2" spans="1:4" x14ac:dyDescent="0.25">
      <c r="A2" s="11" t="s">
        <v>61</v>
      </c>
      <c r="B2" s="11"/>
      <c r="C2" s="11"/>
    </row>
    <row r="3" spans="1:4" x14ac:dyDescent="0.25">
      <c r="D3" s="15"/>
    </row>
    <row r="5" spans="1:4" x14ac:dyDescent="0.25">
      <c r="A5" s="8" t="s">
        <v>52</v>
      </c>
      <c r="B5" t="s">
        <v>60</v>
      </c>
    </row>
    <row r="6" spans="1:4" x14ac:dyDescent="0.25">
      <c r="A6" s="9" t="s">
        <v>20</v>
      </c>
      <c r="B6" s="12">
        <v>13.664062508203134</v>
      </c>
      <c r="D6" s="14"/>
    </row>
    <row r="7" spans="1:4" x14ac:dyDescent="0.25">
      <c r="A7" s="9" t="s">
        <v>39</v>
      </c>
      <c r="B7" s="12">
        <v>18.416666625000008</v>
      </c>
      <c r="D7" s="14"/>
    </row>
    <row r="8" spans="1:4" x14ac:dyDescent="0.25">
      <c r="A8" s="9" t="s">
        <v>40</v>
      </c>
      <c r="B8" s="12">
        <v>5.694308947317066</v>
      </c>
      <c r="D8" s="14"/>
    </row>
    <row r="9" spans="1:4" x14ac:dyDescent="0.25">
      <c r="A9" s="9" t="s">
        <v>42</v>
      </c>
      <c r="B9" s="12">
        <v>7.0640394403940867</v>
      </c>
    </row>
    <row r="10" spans="1:4" x14ac:dyDescent="0.25">
      <c r="A10" s="9" t="s">
        <v>43</v>
      </c>
      <c r="B10" s="12">
        <v>4.5862646643216083</v>
      </c>
    </row>
    <row r="11" spans="1:4" x14ac:dyDescent="0.25">
      <c r="A11" s="9" t="s">
        <v>44</v>
      </c>
      <c r="B11" s="12">
        <v>17.044871788942309</v>
      </c>
    </row>
    <row r="14" spans="1:4" x14ac:dyDescent="0.25">
      <c r="A14" s="11" t="s">
        <v>62</v>
      </c>
      <c r="B14" s="11"/>
      <c r="C14" s="11"/>
      <c r="D14" s="11"/>
    </row>
    <row r="15" spans="1:4" x14ac:dyDescent="0.25">
      <c r="A15" s="8" t="s">
        <v>4</v>
      </c>
      <c r="B15" t="s">
        <v>59</v>
      </c>
    </row>
    <row r="17" spans="1:4" x14ac:dyDescent="0.25">
      <c r="A17" s="8" t="s">
        <v>52</v>
      </c>
      <c r="B17" t="s">
        <v>58</v>
      </c>
      <c r="C17" t="s">
        <v>57</v>
      </c>
    </row>
    <row r="18" spans="1:4" x14ac:dyDescent="0.25">
      <c r="A18" s="9" t="s">
        <v>54</v>
      </c>
      <c r="B18" s="10">
        <v>6.2928039702233249</v>
      </c>
      <c r="C18" s="10">
        <v>8.4813895781637711</v>
      </c>
    </row>
    <row r="19" spans="1:4" x14ac:dyDescent="0.25">
      <c r="A19" s="9" t="s">
        <v>55</v>
      </c>
      <c r="B19" s="10">
        <v>12.289269051321929</v>
      </c>
      <c r="C19" s="10">
        <v>13.760497667185071</v>
      </c>
    </row>
    <row r="20" spans="1:4" x14ac:dyDescent="0.25">
      <c r="A20" s="9" t="s">
        <v>56</v>
      </c>
      <c r="B20" s="10">
        <v>10.684444444444445</v>
      </c>
      <c r="C20" s="10">
        <v>13.102222222222222</v>
      </c>
    </row>
    <row r="23" spans="1:4" x14ac:dyDescent="0.25">
      <c r="A23" s="13" t="s">
        <v>65</v>
      </c>
      <c r="B23" s="11"/>
      <c r="C23" s="11"/>
      <c r="D23" s="11"/>
    </row>
    <row r="26" spans="1:4" x14ac:dyDescent="0.25">
      <c r="A26" s="8" t="s">
        <v>64</v>
      </c>
      <c r="B26" t="s">
        <v>57</v>
      </c>
      <c r="C26" t="s">
        <v>58</v>
      </c>
      <c r="D26" t="s">
        <v>63</v>
      </c>
    </row>
    <row r="27" spans="1:4" x14ac:dyDescent="0.25">
      <c r="A27" s="9" t="s">
        <v>30</v>
      </c>
      <c r="B27" s="2">
        <v>12.029962546816479</v>
      </c>
      <c r="C27" s="2">
        <v>9.7677902621722854</v>
      </c>
      <c r="D27" s="2">
        <v>11.108614232209737</v>
      </c>
    </row>
    <row r="28" spans="1:4" x14ac:dyDescent="0.25">
      <c r="A28" s="9" t="s">
        <v>37</v>
      </c>
      <c r="B28" s="2">
        <v>12</v>
      </c>
      <c r="C28" s="2">
        <v>10.666666666666666</v>
      </c>
      <c r="D28" s="2">
        <v>11.047619047619047</v>
      </c>
    </row>
    <row r="29" spans="1:4" x14ac:dyDescent="0.25">
      <c r="A29" s="9" t="s">
        <v>26</v>
      </c>
      <c r="B29" s="2">
        <v>10.527777777777779</v>
      </c>
      <c r="C29" s="2">
        <v>9.0111111111111111</v>
      </c>
      <c r="D29" s="2">
        <v>10.083333333333334</v>
      </c>
    </row>
    <row r="30" spans="1:4" x14ac:dyDescent="0.25">
      <c r="A30" s="9" t="s">
        <v>27</v>
      </c>
      <c r="B30" s="2">
        <v>9.8333333333333339</v>
      </c>
      <c r="C30" s="2">
        <v>9.7222222222222214</v>
      </c>
      <c r="D30" s="2">
        <v>12</v>
      </c>
    </row>
    <row r="31" spans="1:4" x14ac:dyDescent="0.25">
      <c r="A31" s="9" t="s">
        <v>41</v>
      </c>
      <c r="B31" s="2">
        <v>18</v>
      </c>
      <c r="C31" s="2">
        <v>17.2</v>
      </c>
      <c r="D31" s="2">
        <v>15.6</v>
      </c>
    </row>
    <row r="32" spans="1:4" x14ac:dyDescent="0.25">
      <c r="A32" s="9" t="s">
        <v>23</v>
      </c>
      <c r="B32" s="2">
        <v>13.572881355932203</v>
      </c>
      <c r="C32" s="2">
        <v>11.708474576271186</v>
      </c>
      <c r="D32" s="2">
        <v>13.701694915254237</v>
      </c>
    </row>
    <row r="33" spans="1:4" x14ac:dyDescent="0.25">
      <c r="A33" s="9" t="s">
        <v>45</v>
      </c>
      <c r="B33" s="2">
        <v>30</v>
      </c>
      <c r="C33" s="2">
        <v>14</v>
      </c>
      <c r="D33" s="2">
        <v>16</v>
      </c>
    </row>
    <row r="34" spans="1:4" x14ac:dyDescent="0.25">
      <c r="A34" s="9" t="s">
        <v>38</v>
      </c>
      <c r="B34" s="2">
        <v>14.210526315789474</v>
      </c>
      <c r="C34" s="2">
        <v>13.368421052631579</v>
      </c>
      <c r="D34" s="2">
        <v>16</v>
      </c>
    </row>
    <row r="36" spans="1:4" x14ac:dyDescent="0.25">
      <c r="A36" s="15"/>
    </row>
    <row r="38" spans="1:4" x14ac:dyDescent="0.25">
      <c r="A38" s="15"/>
    </row>
    <row r="40" spans="1:4" x14ac:dyDescent="0.25">
      <c r="A40" s="15"/>
    </row>
  </sheetData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mental_health_india (Autosaved)</vt:lpstr>
      <vt:lpstr>rmpce_reference</vt:lpstr>
      <vt:lpstr>Pivot_analysis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2025-11-28T09:18:18Z</dcterms:created>
  <dcterms:modified xsi:type="dcterms:W3CDTF">2025-12-01T18:23:38Z</dcterms:modified>
</cp:coreProperties>
</file>